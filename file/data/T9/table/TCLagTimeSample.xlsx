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QH9\table\"/>
    </mc:Choice>
  </mc:AlternateContent>
  <xr:revisionPtr revIDLastSave="0" documentId="13_ncr:1_{9DE4C3C3-0DA9-4833-868D-36493E0997A3}" xr6:coauthVersionLast="47" xr6:coauthVersionMax="47" xr10:uidLastSave="{00000000-0000-0000-0000-000000000000}"/>
  <bookViews>
    <workbookView xWindow="-98" yWindow="-98" windowWidth="28996" windowHeight="15675" activeTab="1" xr2:uid="{D85C3411-DA8B-4905-8B8A-4936970E9C8A}"/>
  </bookViews>
  <sheets>
    <sheet name="LagTime" sheetId="2" r:id="rId1"/>
    <sheet name="Refs" sheetId="3" r:id="rId2"/>
  </sheets>
  <definedNames>
    <definedName name="_xlnm._FilterDatabase" localSheetId="0" hidden="1">LagTime!$A$1:$D$79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G69" i="2"/>
  <c r="G5" i="2"/>
  <c r="F69" i="2"/>
  <c r="F61" i="2"/>
  <c r="F59" i="2"/>
  <c r="F57" i="2"/>
  <c r="F53" i="2"/>
  <c r="F51" i="2"/>
  <c r="G51" i="2" s="1"/>
  <c r="F49" i="2"/>
  <c r="F37" i="2"/>
  <c r="F29" i="2"/>
  <c r="G29" i="2" s="1"/>
  <c r="F27" i="2"/>
  <c r="G27" i="2" s="1"/>
  <c r="F25" i="2"/>
  <c r="G25" i="2" s="1"/>
  <c r="F21" i="2"/>
  <c r="F19" i="2"/>
  <c r="G19" i="2" s="1"/>
  <c r="F17" i="2"/>
  <c r="F5" i="2"/>
  <c r="D79" i="2"/>
  <c r="F79" i="2" s="1"/>
  <c r="D77" i="2"/>
  <c r="F77" i="2" s="1"/>
  <c r="D75" i="2"/>
  <c r="E75" i="2" s="1"/>
  <c r="D73" i="2"/>
  <c r="E73" i="2" s="1"/>
  <c r="D71" i="2"/>
  <c r="E71" i="2" s="1"/>
  <c r="D69" i="2"/>
  <c r="D67" i="2"/>
  <c r="E67" i="2" s="1"/>
  <c r="D65" i="2"/>
  <c r="F65" i="2" s="1"/>
  <c r="D63" i="2"/>
  <c r="F63" i="2" s="1"/>
  <c r="D61" i="2"/>
  <c r="D59" i="2"/>
  <c r="D57" i="2"/>
  <c r="D55" i="2"/>
  <c r="F55" i="2" s="1"/>
  <c r="D53" i="2"/>
  <c r="E53" i="2" s="1"/>
  <c r="G53" i="2" s="1"/>
  <c r="D51" i="2"/>
  <c r="E51" i="2" s="1"/>
  <c r="D49" i="2"/>
  <c r="E49" i="2" s="1"/>
  <c r="G49" i="2" s="1"/>
  <c r="D47" i="2"/>
  <c r="F47" i="2" s="1"/>
  <c r="D45" i="2"/>
  <c r="E45" i="2" s="1"/>
  <c r="D43" i="2"/>
  <c r="E43" i="2" s="1"/>
  <c r="D41" i="2"/>
  <c r="E41" i="2" s="1"/>
  <c r="D39" i="2"/>
  <c r="E39" i="2" s="1"/>
  <c r="D37" i="2"/>
  <c r="D35" i="2"/>
  <c r="F35" i="2" s="1"/>
  <c r="D33" i="2"/>
  <c r="E33" i="2" s="1"/>
  <c r="D31" i="2"/>
  <c r="E31" i="2" s="1"/>
  <c r="D29" i="2"/>
  <c r="D27" i="2"/>
  <c r="E27" i="2" s="1"/>
  <c r="D25" i="2"/>
  <c r="E25" i="2" s="1"/>
  <c r="D23" i="2"/>
  <c r="E23" i="2" s="1"/>
  <c r="D21" i="2"/>
  <c r="E21" i="2" s="1"/>
  <c r="G21" i="2" s="1"/>
  <c r="D19" i="2"/>
  <c r="E19" i="2" s="1"/>
  <c r="D17" i="2"/>
  <c r="E17" i="2" s="1"/>
  <c r="G17" i="2" s="1"/>
  <c r="D15" i="2"/>
  <c r="F15" i="2" s="1"/>
  <c r="D13" i="2"/>
  <c r="E13" i="2" s="1"/>
  <c r="D11" i="2"/>
  <c r="E11" i="2" s="1"/>
  <c r="D9" i="2"/>
  <c r="E9" i="2" s="1"/>
  <c r="D7" i="2"/>
  <c r="E7" i="2" s="1"/>
  <c r="D5" i="2"/>
  <c r="D3" i="2"/>
  <c r="E61" i="2"/>
  <c r="G61" i="2" s="1"/>
  <c r="E59" i="2"/>
  <c r="G59" i="2" s="1"/>
  <c r="E29" i="2"/>
  <c r="E5" i="2"/>
  <c r="E69" i="2"/>
  <c r="E63" i="2"/>
  <c r="G63" i="2" s="1"/>
  <c r="E57" i="2"/>
  <c r="G57" i="2" s="1"/>
  <c r="E55" i="2"/>
  <c r="E47" i="2"/>
  <c r="E37" i="2"/>
  <c r="G37" i="2" s="1"/>
  <c r="E35" i="2"/>
  <c r="G35" i="2" s="1"/>
  <c r="G41" i="2" l="1"/>
  <c r="G73" i="2"/>
  <c r="G47" i="2"/>
  <c r="G55" i="2"/>
  <c r="G31" i="2"/>
  <c r="G33" i="2"/>
  <c r="F3" i="2"/>
  <c r="G3" i="2" s="1"/>
  <c r="F31" i="2"/>
  <c r="F67" i="2"/>
  <c r="G67" i="2" s="1"/>
  <c r="E65" i="2"/>
  <c r="G65" i="2" s="1"/>
  <c r="F33" i="2"/>
  <c r="E79" i="2"/>
  <c r="G79" i="2" s="1"/>
  <c r="E77" i="2"/>
  <c r="G77" i="2" s="1"/>
  <c r="F39" i="2"/>
  <c r="G39" i="2" s="1"/>
  <c r="F9" i="2"/>
  <c r="G9" i="2" s="1"/>
  <c r="F75" i="2"/>
  <c r="G75" i="2" s="1"/>
  <c r="F45" i="2"/>
  <c r="G45" i="2" s="1"/>
  <c r="F7" i="2"/>
  <c r="G7" i="2" s="1"/>
  <c r="F71" i="2"/>
  <c r="G71" i="2" s="1"/>
  <c r="E15" i="2"/>
  <c r="G15" i="2" s="1"/>
  <c r="F41" i="2"/>
  <c r="F73" i="2"/>
  <c r="F11" i="2"/>
  <c r="G11" i="2" s="1"/>
  <c r="F43" i="2"/>
  <c r="G43" i="2" s="1"/>
  <c r="F13" i="2"/>
  <c r="G13" i="2" s="1"/>
  <c r="F23" i="2"/>
  <c r="G23" i="2" s="1"/>
</calcChain>
</file>

<file path=xl/sharedStrings.xml><?xml version="1.0" encoding="utf-8"?>
<sst xmlns="http://schemas.openxmlformats.org/spreadsheetml/2006/main" count="87" uniqueCount="48">
  <si>
    <t>W1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</si>
  <si>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</si>
  <si>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</si>
  <si>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</si>
  <si>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</si>
  <si>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</si>
  <si>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</si>
  <si>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</si>
  <si>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</si>
  <si>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</si>
  <si>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</si>
  <si>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</si>
  <si>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</si>
  <si>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</si>
  <si>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</si>
  <si>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</si>
  <si>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</si>
  <si>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</si>
  <si>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</si>
  <si>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</si>
  <si>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</si>
  <si>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</si>
  <si>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</si>
  <si>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</si>
  <si>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</si>
  <si>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</si>
  <si>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</si>
  <si>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</si>
  <si>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</si>
  <si>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</si>
  <si>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</si>
  <si>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</si>
  <si>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</si>
  <si>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</t>
  </si>
  <si>
    <t>W5</t>
  </si>
  <si>
    <t>W6</t>
  </si>
  <si>
    <t>W7</t>
  </si>
  <si>
    <t>W8</t>
  </si>
  <si>
    <t>W9</t>
  </si>
  <si>
    <t>subbasin</t>
  </si>
  <si>
    <t>distance</t>
  </si>
  <si>
    <t>Elev_1</t>
  </si>
  <si>
    <t>Slp</t>
  </si>
  <si>
    <t>LagTimeTemez_min</t>
  </si>
  <si>
    <t>LagTimeTKirpich_min</t>
  </si>
  <si>
    <t>LagTimeMed</t>
  </si>
  <si>
    <t>http://lab-hidrologia.uca.es/metodo_temez_modificado/index.php</t>
  </si>
  <si>
    <t>References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</si>
</sst>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Segoe UI Light"/>
      <family val="2"/>
    </font>
    <font>
      <u/>
      <sz val="11"/>
      <color theme="10"/>
      <name val="Aptos Narrow"/>
      <family val="2"/>
      <scheme val="minor"/>
    </font>
    <font>
      <u/>
      <sz val="11"/>
      <color theme="10"/>
      <name val="Segoe UI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3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lab-hidrologia.uca.es/metodo_temez_modificado/index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5618E-339C-4C46-8A2C-4DDFE78F9F2A}">
  <sheetPr filterMode="1"/>
  <dimension ref="A1:G79"/>
  <sheetViews>
    <sheetView zoomScale="130" zoomScaleNormal="13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F3" sqref="F3"/>
    </sheetView>
  </sheetViews>
  <sheetFormatPr defaultRowHeight="16.5" x14ac:dyDescent="0.6"/>
  <cols>
    <col min="1" max="1" width="10" style="1" bestFit="1" customWidth="1"/>
    <col min="2" max="4" width="11.9296875" style="1" bestFit="1" customWidth="1"/>
    <col min="5" max="5" width="17.06640625" style="1" bestFit="1" customWidth="1"/>
    <col min="6" max="6" width="18.06640625" style="1" bestFit="1" customWidth="1"/>
    <col min="7" max="7" width="11.9296875" style="1" bestFit="1" customWidth="1"/>
    <col min="8" max="16384" width="9.06640625" style="1"/>
  </cols>
  <sheetData>
    <row r="1" spans="1:7" x14ac:dyDescent="0.6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hidden="1" x14ac:dyDescent="0.6">
      <c r="A2" s="1" t="s">
        <v>0</v>
      </c>
      <c r="B2" s="1">
        <v>0</v>
      </c>
      <c r="C2" s="1">
        <v>151.19297790527301</v>
      </c>
    </row>
    <row r="3" spans="1:7" x14ac:dyDescent="0.6">
      <c r="A3" s="1" t="s">
        <v>0</v>
      </c>
      <c r="B3" s="1">
        <v>6842.7075017307097</v>
      </c>
      <c r="C3" s="1">
        <v>1071.64465332031</v>
      </c>
      <c r="D3" s="1">
        <f>IF((C3-C2)/B3&gt;0, (C3-C2)/B3,0.001)</f>
        <v>0.13451571255708789</v>
      </c>
      <c r="E3" s="1">
        <f>(0.3*((LagTime!B3/1000)/LagTime!D3^0.25)^0.76)*60</f>
        <v>113.65247395431697</v>
      </c>
      <c r="F3" s="1">
        <f>(0.00013*B3^0.77/D3^0.385)*60</f>
        <v>15.158021994148411</v>
      </c>
      <c r="G3" s="1">
        <f>AVERAGE(E3:F3)</f>
        <v>64.405247974232694</v>
      </c>
    </row>
    <row r="4" spans="1:7" hidden="1" x14ac:dyDescent="0.6">
      <c r="A4" s="1" t="s">
        <v>1</v>
      </c>
      <c r="B4" s="1">
        <v>0</v>
      </c>
      <c r="C4" s="1">
        <v>83.987960815429602</v>
      </c>
    </row>
    <row r="5" spans="1:7" x14ac:dyDescent="0.6">
      <c r="A5" s="1" t="s">
        <v>1</v>
      </c>
      <c r="B5" s="1">
        <v>5185.7634875699696</v>
      </c>
      <c r="C5" s="1">
        <v>86.233955383300696</v>
      </c>
      <c r="D5" s="1">
        <f>IF((C5-C4)/B5&gt;0, (C5-C4)/B5,0.001)</f>
        <v>4.3310779083053762E-4</v>
      </c>
      <c r="E5" s="1">
        <f>(0.3*((LagTime!B5/1000)/LagTime!D5^0.25)^0.76)*60</f>
        <v>273.89047052448882</v>
      </c>
      <c r="F5" s="1">
        <f>(0.00013*B5^0.77/D5^0.385)*60</f>
        <v>111.53493731438454</v>
      </c>
      <c r="G5" s="1">
        <f>AVERAGE(E5:F5)</f>
        <v>192.71270391943668</v>
      </c>
    </row>
    <row r="6" spans="1:7" hidden="1" x14ac:dyDescent="0.6">
      <c r="A6" s="1" t="s">
        <v>2</v>
      </c>
      <c r="B6" s="1">
        <v>0</v>
      </c>
      <c r="C6" s="1">
        <v>135.71276855468699</v>
      </c>
    </row>
    <row r="7" spans="1:7" x14ac:dyDescent="0.6">
      <c r="A7" s="1" t="s">
        <v>2</v>
      </c>
      <c r="B7" s="1">
        <v>2897.3720214282598</v>
      </c>
      <c r="C7" s="1">
        <v>180.31683349609301</v>
      </c>
      <c r="D7" s="1">
        <f>IF((C7-C6)/B7&gt;0, (C7-C6)/B7,0.001)</f>
        <v>1.5394662684503471E-2</v>
      </c>
      <c r="E7" s="1">
        <f>(0.3*((LagTime!B7/1000)/LagTime!D7^0.25)^0.76)*60</f>
        <v>89.288476032615648</v>
      </c>
      <c r="F7" s="1">
        <f>(0.00013*B7^0.77/D7^0.385)*60</f>
        <v>18.017742094148211</v>
      </c>
      <c r="G7" s="1">
        <f>AVERAGE(E7:F7)</f>
        <v>53.653109063381933</v>
      </c>
    </row>
    <row r="8" spans="1:7" hidden="1" x14ac:dyDescent="0.6">
      <c r="A8" s="1" t="s">
        <v>3</v>
      </c>
      <c r="B8" s="1">
        <v>0</v>
      </c>
      <c r="C8" s="1">
        <v>93.398422241210895</v>
      </c>
    </row>
    <row r="9" spans="1:7" x14ac:dyDescent="0.6">
      <c r="A9" s="1" t="s">
        <v>3</v>
      </c>
      <c r="B9" s="1">
        <v>4501.1421904489798</v>
      </c>
      <c r="C9" s="1">
        <v>109.236999511718</v>
      </c>
      <c r="D9" s="1">
        <f>IF((C9-C8)/B9&gt;0, (C9-C8)/B9,0.001)</f>
        <v>3.518790698084398E-3</v>
      </c>
      <c r="E9" s="1">
        <f>(0.3*((LagTime!B9/1000)/LagTime!D9^0.25)^0.76)*60</f>
        <v>165.18972457777096</v>
      </c>
      <c r="F9" s="1">
        <f>(0.00013*B9^0.77/D9^0.385)*60</f>
        <v>44.646933361735421</v>
      </c>
      <c r="G9" s="1">
        <f>AVERAGE(E9:F9)</f>
        <v>104.91832896975319</v>
      </c>
    </row>
    <row r="10" spans="1:7" hidden="1" x14ac:dyDescent="0.6">
      <c r="A10" s="1" t="s">
        <v>4</v>
      </c>
      <c r="B10" s="1">
        <v>0</v>
      </c>
      <c r="C10" s="1">
        <v>82.905014038085895</v>
      </c>
    </row>
    <row r="11" spans="1:7" x14ac:dyDescent="0.6">
      <c r="A11" s="1" t="s">
        <v>4</v>
      </c>
      <c r="B11" s="1">
        <v>10111.7044281786</v>
      </c>
      <c r="C11" s="1">
        <v>133.22206115722599</v>
      </c>
      <c r="D11" s="1">
        <f>IF((C11-C10)/B11&gt;0, (C11-C10)/B11,0.001)</f>
        <v>4.9761192563065847E-3</v>
      </c>
      <c r="E11" s="1">
        <f>(0.3*((LagTime!B11/1000)/LagTime!D11^0.25)^0.76)*60</f>
        <v>286.10785104070567</v>
      </c>
      <c r="F11" s="1">
        <f>(0.00013*B11^0.77/D11^0.385)*60</f>
        <v>72.862893628208454</v>
      </c>
      <c r="G11" s="1">
        <f>AVERAGE(E11:F11)</f>
        <v>179.48537233445705</v>
      </c>
    </row>
    <row r="12" spans="1:7" hidden="1" x14ac:dyDescent="0.6">
      <c r="A12" s="1" t="s">
        <v>5</v>
      </c>
      <c r="B12" s="1">
        <v>0</v>
      </c>
      <c r="C12" s="1">
        <v>71.477233886718693</v>
      </c>
    </row>
    <row r="13" spans="1:7" x14ac:dyDescent="0.6">
      <c r="A13" s="1" t="s">
        <v>5</v>
      </c>
      <c r="B13" s="1">
        <v>10365.508892441399</v>
      </c>
      <c r="C13" s="1">
        <v>85.723693847656193</v>
      </c>
      <c r="D13" s="1">
        <f>IF((C13-C12)/B13&gt;0, (C13-C12)/B13,0.001)</f>
        <v>1.3744100852902761E-3</v>
      </c>
      <c r="E13" s="1">
        <f>(0.3*((LagTime!B13/1000)/LagTime!D13^0.25)^0.76)*60</f>
        <v>372.28820718145471</v>
      </c>
      <c r="F13" s="1">
        <f>(0.00013*B13^0.77/D13^0.385)*60</f>
        <v>121.87779778821087</v>
      </c>
      <c r="G13" s="1">
        <f>AVERAGE(E13:F13)</f>
        <v>247.08300248483278</v>
      </c>
    </row>
    <row r="14" spans="1:7" hidden="1" x14ac:dyDescent="0.6">
      <c r="A14" s="1" t="s">
        <v>6</v>
      </c>
      <c r="B14" s="1">
        <v>0</v>
      </c>
      <c r="C14" s="1">
        <v>101.337287902832</v>
      </c>
    </row>
    <row r="15" spans="1:7" x14ac:dyDescent="0.6">
      <c r="A15" s="1" t="s">
        <v>6</v>
      </c>
      <c r="B15" s="1">
        <v>6167.4490738794902</v>
      </c>
      <c r="C15" s="1">
        <v>146.51240539550699</v>
      </c>
      <c r="D15" s="1">
        <f>IF((C15-C14)/B15&gt;0, (C15-C14)/B15,0.001)</f>
        <v>7.324765385417059E-3</v>
      </c>
      <c r="E15" s="1">
        <f>(0.3*((LagTime!B15/1000)/LagTime!D15^0.25)^0.76)*60</f>
        <v>182.57526234413203</v>
      </c>
      <c r="F15" s="1">
        <f>(0.00013*B15^0.77/D15^0.385)*60</f>
        <v>42.907213522663739</v>
      </c>
      <c r="G15" s="1">
        <f>AVERAGE(E15:F15)</f>
        <v>112.74123793339788</v>
      </c>
    </row>
    <row r="16" spans="1:7" hidden="1" x14ac:dyDescent="0.6">
      <c r="A16" s="1" t="s">
        <v>7</v>
      </c>
      <c r="B16" s="1">
        <v>0</v>
      </c>
      <c r="C16" s="1">
        <v>81.172805786132798</v>
      </c>
    </row>
    <row r="17" spans="1:7" x14ac:dyDescent="0.6">
      <c r="A17" s="1" t="s">
        <v>7</v>
      </c>
      <c r="B17" s="1">
        <v>6826.3678516883401</v>
      </c>
      <c r="C17" s="1">
        <v>104.889961242675</v>
      </c>
      <c r="D17" s="1">
        <f>IF((C17-C16)/B17&gt;0, (C17-C16)/B17,0.001)</f>
        <v>3.4743447718945187E-3</v>
      </c>
      <c r="E17" s="1">
        <f>(0.3*((LagTime!B17/1000)/LagTime!D17^0.25)^0.76)*60</f>
        <v>227.2431569543771</v>
      </c>
      <c r="F17" s="1">
        <f>(0.00013*B17^0.77/D17^0.385)*60</f>
        <v>61.827913476707018</v>
      </c>
      <c r="G17" s="1">
        <f>AVERAGE(E17:F17)</f>
        <v>144.53553521554207</v>
      </c>
    </row>
    <row r="18" spans="1:7" hidden="1" x14ac:dyDescent="0.6">
      <c r="A18" s="1" t="s">
        <v>8</v>
      </c>
      <c r="B18" s="1">
        <v>0</v>
      </c>
      <c r="C18" s="1">
        <v>95.631912231445298</v>
      </c>
    </row>
    <row r="19" spans="1:7" x14ac:dyDescent="0.6">
      <c r="A19" s="1" t="s">
        <v>8</v>
      </c>
      <c r="B19" s="1">
        <v>8738.3666498070397</v>
      </c>
      <c r="C19" s="1">
        <v>127.127136230468</v>
      </c>
      <c r="D19" s="1">
        <f>IF((C19-C18)/B19&gt;0, (C19-C18)/B19,0.001)</f>
        <v>3.6042461092792638E-3</v>
      </c>
      <c r="E19" s="1">
        <f>(0.3*((LagTime!B19/1000)/LagTime!D19^0.25)^0.76)*60</f>
        <v>272.24804000279158</v>
      </c>
      <c r="F19" s="1">
        <f>(0.00013*B19^0.77/D19^0.385)*60</f>
        <v>73.726284289372714</v>
      </c>
      <c r="G19" s="1">
        <f>AVERAGE(E19:F19)</f>
        <v>172.98716214608214</v>
      </c>
    </row>
    <row r="20" spans="1:7" hidden="1" x14ac:dyDescent="0.6">
      <c r="A20" s="1" t="s">
        <v>9</v>
      </c>
      <c r="B20" s="1">
        <v>0</v>
      </c>
      <c r="C20" s="1">
        <v>80.321762084960895</v>
      </c>
    </row>
    <row r="21" spans="1:7" x14ac:dyDescent="0.6">
      <c r="A21" s="1" t="s">
        <v>9</v>
      </c>
      <c r="B21" s="1">
        <v>1098.6836546458601</v>
      </c>
      <c r="C21" s="1">
        <v>85.432220458984304</v>
      </c>
      <c r="D21" s="1">
        <f>IF((C21-C20)/B21&gt;0, (C21-C20)/B21,0.001)</f>
        <v>4.6514375201756036E-3</v>
      </c>
      <c r="E21" s="1">
        <f>(0.3*((LagTime!B21/1000)/LagTime!D21^0.25)^0.76)*60</f>
        <v>53.640666187718125</v>
      </c>
      <c r="F21" s="1">
        <f>(0.00013*B21^0.77/D21^0.385)*60</f>
        <v>13.537718671617199</v>
      </c>
      <c r="G21" s="1">
        <f>AVERAGE(E21:F21)</f>
        <v>33.589192429667662</v>
      </c>
    </row>
    <row r="22" spans="1:7" hidden="1" x14ac:dyDescent="0.6">
      <c r="A22" s="1" t="s">
        <v>10</v>
      </c>
      <c r="B22" s="1">
        <v>0</v>
      </c>
      <c r="C22" s="1">
        <v>82.256156921386705</v>
      </c>
    </row>
    <row r="23" spans="1:7" x14ac:dyDescent="0.6">
      <c r="A23" s="1" t="s">
        <v>10</v>
      </c>
      <c r="B23" s="1">
        <v>4678.9680482639596</v>
      </c>
      <c r="C23" s="1">
        <v>86.696685791015597</v>
      </c>
      <c r="D23" s="1">
        <f>IF((C23-C22)/B23&gt;0, (C23-C22)/B23,0.001)</f>
        <v>9.490402207975035E-4</v>
      </c>
      <c r="E23" s="1">
        <f>(0.3*((LagTime!B23/1000)/LagTime!D23^0.25)^0.76)*60</f>
        <v>218.22398792903337</v>
      </c>
      <c r="F23" s="1">
        <f>(0.00013*B23^0.77/D23^0.385)*60</f>
        <v>76.182564108513276</v>
      </c>
      <c r="G23" s="1">
        <f>AVERAGE(E23:F23)</f>
        <v>147.20327601877332</v>
      </c>
    </row>
    <row r="24" spans="1:7" hidden="1" x14ac:dyDescent="0.6">
      <c r="A24" s="1" t="s">
        <v>11</v>
      </c>
      <c r="B24" s="1">
        <v>0</v>
      </c>
      <c r="C24" s="1">
        <v>105.530303955078</v>
      </c>
    </row>
    <row r="25" spans="1:7" x14ac:dyDescent="0.6">
      <c r="A25" s="1" t="s">
        <v>11</v>
      </c>
      <c r="B25" s="1">
        <v>14172.494803978199</v>
      </c>
      <c r="C25" s="1">
        <v>1075.38098144531</v>
      </c>
      <c r="D25" s="1">
        <f>IF((C25-C24)/B25&gt;0, (C25-C24)/B25,0.001)</f>
        <v>6.8431895083002348E-2</v>
      </c>
      <c r="E25" s="1">
        <f>(0.3*((LagTime!B25/1000)/LagTime!D25^0.25)^0.76)*60</f>
        <v>224.73596042218293</v>
      </c>
      <c r="F25" s="1">
        <f>(0.00013*B25^0.77/D25^0.385)*60</f>
        <v>34.445596533686576</v>
      </c>
      <c r="G25" s="1">
        <f>AVERAGE(E25:F25)</f>
        <v>129.59077847793475</v>
      </c>
    </row>
    <row r="26" spans="1:7" hidden="1" x14ac:dyDescent="0.6">
      <c r="A26" s="1" t="s">
        <v>12</v>
      </c>
      <c r="B26" s="1">
        <v>0</v>
      </c>
      <c r="C26" s="1">
        <v>80.576576232910099</v>
      </c>
    </row>
    <row r="27" spans="1:7" x14ac:dyDescent="0.6">
      <c r="A27" s="1" t="s">
        <v>12</v>
      </c>
      <c r="B27" s="1">
        <v>2533.3471660784999</v>
      </c>
      <c r="C27" s="1">
        <v>85.432220458984304</v>
      </c>
      <c r="D27" s="1">
        <f>IF((C27-C26)/B27&gt;0, (C27-C26)/B27,0.001)</f>
        <v>1.9166912024894359E-3</v>
      </c>
      <c r="E27" s="1">
        <f>(0.3*((LagTime!B27/1000)/LagTime!D27^0.25)^0.76)*60</f>
        <v>119.78310744913009</v>
      </c>
      <c r="F27" s="1">
        <f>(0.00013*B27^0.77/D27^0.385)*60</f>
        <v>36.23739341888497</v>
      </c>
      <c r="G27" s="1">
        <f>AVERAGE(E27:F27)</f>
        <v>78.010250434007531</v>
      </c>
    </row>
    <row r="28" spans="1:7" hidden="1" x14ac:dyDescent="0.6">
      <c r="A28" s="1" t="s">
        <v>13</v>
      </c>
      <c r="B28" s="1">
        <v>0</v>
      </c>
      <c r="C28" s="1">
        <v>82.905014038085895</v>
      </c>
    </row>
    <row r="29" spans="1:7" x14ac:dyDescent="0.6">
      <c r="A29" s="1" t="s">
        <v>13</v>
      </c>
      <c r="B29" s="1">
        <v>3307.9607155908898</v>
      </c>
      <c r="C29" s="1">
        <v>90.092536926269503</v>
      </c>
      <c r="D29" s="1">
        <f>IF((C29-C28)/B29&gt;0, (C29-C28)/B29,0.001)</f>
        <v>2.1727957210337444E-3</v>
      </c>
      <c r="E29" s="1">
        <f>(0.3*((LagTime!B29/1000)/LagTime!D29^0.25)^0.76)*60</f>
        <v>143.25334629310112</v>
      </c>
      <c r="F29" s="1">
        <f>(0.00013*B29^0.77/D29^0.385)*60</f>
        <v>42.403703741641266</v>
      </c>
      <c r="G29" s="1">
        <f>AVERAGE(E29:F29)</f>
        <v>92.828525017371192</v>
      </c>
    </row>
    <row r="30" spans="1:7" hidden="1" x14ac:dyDescent="0.6">
      <c r="A30" s="1" t="s">
        <v>14</v>
      </c>
      <c r="B30" s="1">
        <v>0</v>
      </c>
      <c r="C30" s="1">
        <v>128.72071838378901</v>
      </c>
    </row>
    <row r="31" spans="1:7" x14ac:dyDescent="0.6">
      <c r="A31" s="1" t="s">
        <v>14</v>
      </c>
      <c r="B31" s="1">
        <v>5738.9711964046801</v>
      </c>
      <c r="C31" s="1">
        <v>661.610595703125</v>
      </c>
      <c r="D31" s="1">
        <f>IF((C31-C30)/B31&gt;0, (C31-C30)/B31,0.001)</f>
        <v>9.2854600429634129E-2</v>
      </c>
      <c r="E31" s="1">
        <f>(0.3*((LagTime!B31/1000)/LagTime!D31^0.25)^0.76)*60</f>
        <v>106.68509014158907</v>
      </c>
      <c r="F31" s="1">
        <f>(0.00013*B31^0.77/D31^0.385)*60</f>
        <v>15.268363772308152</v>
      </c>
      <c r="G31" s="1">
        <f>AVERAGE(E31:F31)</f>
        <v>60.97672695694861</v>
      </c>
    </row>
    <row r="32" spans="1:7" hidden="1" x14ac:dyDescent="0.6">
      <c r="A32" s="1" t="s">
        <v>15</v>
      </c>
      <c r="B32" s="1">
        <v>0</v>
      </c>
      <c r="C32" s="1">
        <v>105.530303955078</v>
      </c>
    </row>
    <row r="33" spans="1:7" x14ac:dyDescent="0.6">
      <c r="A33" s="1" t="s">
        <v>15</v>
      </c>
      <c r="B33" s="1">
        <v>7498.7417032437197</v>
      </c>
      <c r="C33" s="1">
        <v>705.22106933593705</v>
      </c>
      <c r="D33" s="1">
        <f>IF((C33-C32)/B33&gt;0, (C33-C32)/B33,0.001)</f>
        <v>7.9972185883059779E-2</v>
      </c>
      <c r="E33" s="1">
        <f>(0.3*((LagTime!B33/1000)/LagTime!D33^0.25)^0.76)*60</f>
        <v>134.49473426626059</v>
      </c>
      <c r="F33" s="1">
        <f>(0.00013*B33^0.77/D33^0.385)*60</f>
        <v>19.870288108798455</v>
      </c>
      <c r="G33" s="1">
        <f>AVERAGE(E33:F33)</f>
        <v>77.182511187529528</v>
      </c>
    </row>
    <row r="34" spans="1:7" hidden="1" x14ac:dyDescent="0.6">
      <c r="A34" s="1" t="s">
        <v>16</v>
      </c>
      <c r="B34" s="1">
        <v>0</v>
      </c>
      <c r="C34" s="1">
        <v>151.19297790527301</v>
      </c>
    </row>
    <row r="35" spans="1:7" x14ac:dyDescent="0.6">
      <c r="A35" s="1" t="s">
        <v>16</v>
      </c>
      <c r="B35" s="1">
        <v>8009.5091230104299</v>
      </c>
      <c r="C35" s="1">
        <v>1206.3544921875</v>
      </c>
      <c r="D35" s="1">
        <f>IF((C35-C34)/B35&gt;0, (C35-C34)/B35,0.001)</f>
        <v>0.13173859946683439</v>
      </c>
      <c r="E35" s="1">
        <f>(0.3*((LagTime!B35/1000)/LagTime!D35^0.25)^0.76)*60</f>
        <v>128.60785989870647</v>
      </c>
      <c r="F35" s="1">
        <f>(0.00013*B35^0.77/D35^0.385)*60</f>
        <v>17.249703113772661</v>
      </c>
      <c r="G35" s="1">
        <f>AVERAGE(E35:F35)</f>
        <v>72.928781506239559</v>
      </c>
    </row>
    <row r="36" spans="1:7" hidden="1" x14ac:dyDescent="0.6">
      <c r="A36" s="1" t="s">
        <v>17</v>
      </c>
      <c r="B36" s="1">
        <v>0</v>
      </c>
      <c r="C36" s="1">
        <v>94.568061828613196</v>
      </c>
    </row>
    <row r="37" spans="1:7" x14ac:dyDescent="0.6">
      <c r="A37" s="1" t="s">
        <v>17</v>
      </c>
      <c r="B37" s="1">
        <v>6544.2753623012204</v>
      </c>
      <c r="C37" s="1">
        <v>142.64549255371</v>
      </c>
      <c r="D37" s="1">
        <f>IF((C37-C36)/B37&gt;0, (C37-C36)/B37,0.001)</f>
        <v>7.3464865188971693E-3</v>
      </c>
      <c r="E37" s="1">
        <f>(0.3*((LagTime!B37/1000)/LagTime!D37^0.25)^0.76)*60</f>
        <v>190.88515458587432</v>
      </c>
      <c r="F37" s="1">
        <f>(0.00013*B37^0.77/D37^0.385)*60</f>
        <v>44.860832476413123</v>
      </c>
      <c r="G37" s="1">
        <f>AVERAGE(E37:F37)</f>
        <v>117.87299353114372</v>
      </c>
    </row>
    <row r="38" spans="1:7" hidden="1" x14ac:dyDescent="0.6">
      <c r="A38" s="1" t="s">
        <v>18</v>
      </c>
      <c r="B38" s="1">
        <v>0</v>
      </c>
      <c r="C38" s="1">
        <v>80.417152404785099</v>
      </c>
    </row>
    <row r="39" spans="1:7" x14ac:dyDescent="0.6">
      <c r="A39" s="1" t="s">
        <v>18</v>
      </c>
      <c r="B39" s="1">
        <v>17659.193975556798</v>
      </c>
      <c r="C39" s="1">
        <v>388.12628173828102</v>
      </c>
      <c r="D39" s="1">
        <f>IF((C39-C38)/B39&gt;0, (C39-C38)/B39,0.001)</f>
        <v>1.7424868301430717E-2</v>
      </c>
      <c r="E39" s="1">
        <f>(0.3*((LagTime!B39/1000)/LagTime!D39^0.25)^0.76)*60</f>
        <v>344.46743075600574</v>
      </c>
      <c r="F39" s="1">
        <f>(0.00013*B39^0.77/D39^0.385)*60</f>
        <v>69.089479180859897</v>
      </c>
      <c r="G39" s="1">
        <f>AVERAGE(E39:F39)</f>
        <v>206.77845496843281</v>
      </c>
    </row>
    <row r="40" spans="1:7" hidden="1" x14ac:dyDescent="0.6">
      <c r="A40" s="1" t="s">
        <v>19</v>
      </c>
      <c r="B40" s="1">
        <v>0</v>
      </c>
      <c r="C40" s="1">
        <v>80.0975341796875</v>
      </c>
    </row>
    <row r="41" spans="1:7" x14ac:dyDescent="0.6">
      <c r="A41" s="1" t="s">
        <v>19</v>
      </c>
      <c r="B41" s="1">
        <v>2922.7114608646898</v>
      </c>
      <c r="C41" s="1">
        <v>93.7757568359375</v>
      </c>
      <c r="D41" s="1">
        <f>IF((C41-C40)/B41&gt;0, (C41-C40)/B41,0.001)</f>
        <v>4.6799770827200549E-3</v>
      </c>
      <c r="E41" s="1">
        <f>(0.3*((LagTime!B41/1000)/LagTime!D41^0.25)^0.76)*60</f>
        <v>112.69989552497117</v>
      </c>
      <c r="F41" s="1">
        <f>(0.00013*B41^0.77/D41^0.385)*60</f>
        <v>28.688374648516863</v>
      </c>
      <c r="G41" s="1">
        <f>AVERAGE(E41:F41)</f>
        <v>70.694135086744012</v>
      </c>
    </row>
    <row r="42" spans="1:7" hidden="1" x14ac:dyDescent="0.6">
      <c r="A42" s="1" t="s">
        <v>20</v>
      </c>
      <c r="B42" s="1">
        <v>0</v>
      </c>
      <c r="C42" s="1">
        <v>93.398422241210895</v>
      </c>
    </row>
    <row r="43" spans="1:7" x14ac:dyDescent="0.6">
      <c r="A43" s="1" t="s">
        <v>20</v>
      </c>
      <c r="B43" s="1">
        <v>5471.29491427427</v>
      </c>
      <c r="C43" s="1">
        <v>107.92343139648401</v>
      </c>
      <c r="D43" s="1">
        <f>IF((C43-C42)/B43&gt;0, (C43-C42)/B43,0.001)</f>
        <v>2.6547662633535363E-3</v>
      </c>
      <c r="E43" s="1">
        <f>(0.3*((LagTime!B43/1000)/LagTime!D43^0.25)^0.76)*60</f>
        <v>202.14174238915552</v>
      </c>
      <c r="F43" s="1">
        <f>(0.00013*B43^0.77/D43^0.385)*60</f>
        <v>57.83275442545758</v>
      </c>
      <c r="G43" s="1">
        <f>AVERAGE(E43:F43)</f>
        <v>129.98724840730654</v>
      </c>
    </row>
    <row r="44" spans="1:7" hidden="1" x14ac:dyDescent="0.6">
      <c r="A44" s="1" t="s">
        <v>21</v>
      </c>
      <c r="B44" s="1">
        <v>0</v>
      </c>
      <c r="C44" s="1">
        <v>81.172805786132798</v>
      </c>
    </row>
    <row r="45" spans="1:7" x14ac:dyDescent="0.6">
      <c r="A45" s="1" t="s">
        <v>21</v>
      </c>
      <c r="B45" s="1">
        <v>426.83986658119102</v>
      </c>
      <c r="C45" s="1">
        <v>81.837051391601506</v>
      </c>
      <c r="D45" s="1">
        <f>IF((C45-C44)/B45&gt;0, (C45-C44)/B45,0.001)</f>
        <v>1.5561939206593732E-3</v>
      </c>
      <c r="E45" s="1">
        <f>(0.3*((LagTime!B45/1000)/LagTime!D45^0.25)^0.76)*60</f>
        <v>32.194507124820063</v>
      </c>
      <c r="F45" s="1">
        <f>(0.00013*B45^0.77/D45^0.385)*60</f>
        <v>9.9644677010659493</v>
      </c>
      <c r="G45" s="1">
        <f>AVERAGE(E45:F45)</f>
        <v>21.079487412943006</v>
      </c>
    </row>
    <row r="46" spans="1:7" hidden="1" x14ac:dyDescent="0.6">
      <c r="A46" s="1" t="s">
        <v>22</v>
      </c>
      <c r="B46" s="1">
        <v>0</v>
      </c>
      <c r="C46" s="1">
        <v>82.256156921386705</v>
      </c>
    </row>
    <row r="47" spans="1:7" x14ac:dyDescent="0.6">
      <c r="A47" s="1" t="s">
        <v>22</v>
      </c>
      <c r="B47" s="1">
        <v>11958.022576969301</v>
      </c>
      <c r="C47" s="1">
        <v>97.595741271972599</v>
      </c>
      <c r="D47" s="1">
        <f>IF((C47-C46)/B47&gt;0, (C47-C46)/B47,0.001)</f>
        <v>1.2827860335478337E-3</v>
      </c>
      <c r="E47" s="1">
        <f>(0.3*((LagTime!B47/1000)/LagTime!D47^0.25)^0.76)*60</f>
        <v>420.47901214357188</v>
      </c>
      <c r="F47" s="1">
        <f>(0.00013*B47^0.77/D47^0.385)*60</f>
        <v>139.71818684106088</v>
      </c>
      <c r="G47" s="1">
        <f>AVERAGE(E47:F47)</f>
        <v>280.0985994923164</v>
      </c>
    </row>
    <row r="48" spans="1:7" hidden="1" x14ac:dyDescent="0.6">
      <c r="A48" s="1" t="s">
        <v>23</v>
      </c>
      <c r="B48" s="1">
        <v>0</v>
      </c>
      <c r="C48" s="1">
        <v>128.72071838378901</v>
      </c>
    </row>
    <row r="49" spans="1:7" x14ac:dyDescent="0.6">
      <c r="A49" s="1" t="s">
        <v>23</v>
      </c>
      <c r="B49" s="1">
        <v>6718.9670264058104</v>
      </c>
      <c r="C49" s="1">
        <v>1106.60266113281</v>
      </c>
      <c r="D49" s="1">
        <f>IF((C49-C48)/B49&gt;0, (C49-C48)/B49,0.001)</f>
        <v>0.1455405181936309</v>
      </c>
      <c r="E49" s="1">
        <f>(0.3*((LagTime!B49/1000)/LagTime!D49^0.25)^0.76)*60</f>
        <v>110.42196424271258</v>
      </c>
      <c r="F49" s="1">
        <f>(0.00013*B49^0.77/D49^0.385)*60</f>
        <v>14.500024205418478</v>
      </c>
      <c r="G49" s="1">
        <f>AVERAGE(E49:F49)</f>
        <v>62.46099422406553</v>
      </c>
    </row>
    <row r="50" spans="1:7" hidden="1" x14ac:dyDescent="0.6">
      <c r="A50" s="1" t="s">
        <v>24</v>
      </c>
      <c r="B50" s="1">
        <v>0</v>
      </c>
      <c r="C50" s="1">
        <v>102.969360351562</v>
      </c>
    </row>
    <row r="51" spans="1:7" x14ac:dyDescent="0.6">
      <c r="A51" s="1" t="s">
        <v>24</v>
      </c>
      <c r="B51" s="1">
        <v>2851.6812396274099</v>
      </c>
      <c r="C51" s="1">
        <v>102.428939819335</v>
      </c>
      <c r="D51" s="1">
        <f>IF((C51-C50)/B51&gt;0, (C51-C50)/B51,0.001)</f>
        <v>1E-3</v>
      </c>
      <c r="E51" s="1">
        <f>(0.3*((LagTime!B51/1000)/LagTime!D51^0.25)^0.76)*60</f>
        <v>148.30276519708354</v>
      </c>
      <c r="F51" s="1">
        <f>(0.00013*B51^0.77/D51^0.385)*60</f>
        <v>50.994384726635474</v>
      </c>
      <c r="G51" s="1">
        <f>AVERAGE(E51:F51)</f>
        <v>99.648574961859509</v>
      </c>
    </row>
    <row r="52" spans="1:7" hidden="1" x14ac:dyDescent="0.6">
      <c r="A52" s="1" t="s">
        <v>25</v>
      </c>
      <c r="B52" s="1">
        <v>0</v>
      </c>
      <c r="C52" s="1">
        <v>79.864044189453097</v>
      </c>
    </row>
    <row r="53" spans="1:7" x14ac:dyDescent="0.6">
      <c r="A53" s="1" t="s">
        <v>25</v>
      </c>
      <c r="B53" s="1">
        <v>10946.3779767262</v>
      </c>
      <c r="C53" s="1">
        <v>95.383010864257798</v>
      </c>
      <c r="D53" s="1">
        <f>IF((C53-C52)/B53&gt;0, (C53-C52)/B53,0.001)</f>
        <v>1.4177261837477727E-3</v>
      </c>
      <c r="E53" s="1">
        <f>(0.3*((LagTime!B53/1000)/LagTime!D53^0.25)^0.76)*60</f>
        <v>385.75848833898579</v>
      </c>
      <c r="F53" s="1">
        <f>(0.00013*B53^0.77/D53^0.385)*60</f>
        <v>125.59425753822944</v>
      </c>
      <c r="G53" s="1">
        <f>AVERAGE(E53:F53)</f>
        <v>255.67637293860761</v>
      </c>
    </row>
    <row r="54" spans="1:7" hidden="1" x14ac:dyDescent="0.6">
      <c r="A54" s="1" t="s">
        <v>26</v>
      </c>
      <c r="B54" s="1">
        <v>0</v>
      </c>
      <c r="C54" s="1">
        <v>99.379646301269503</v>
      </c>
    </row>
    <row r="55" spans="1:7" x14ac:dyDescent="0.6">
      <c r="A55" s="1" t="s">
        <v>26</v>
      </c>
      <c r="B55" s="1">
        <v>6743.2660517002496</v>
      </c>
      <c r="C55" s="1">
        <v>301.83801269531199</v>
      </c>
      <c r="D55" s="1">
        <f>IF((C55-C54)/B55&gt;0, (C55-C54)/B55,0.001)</f>
        <v>3.0023784445371921E-2</v>
      </c>
      <c r="E55" s="1">
        <f>(0.3*((LagTime!B55/1000)/LagTime!D55^0.25)^0.76)*60</f>
        <v>149.44985459802845</v>
      </c>
      <c r="F55" s="1">
        <f>(0.00013*B55^0.77/D55^0.385)*60</f>
        <v>26.699340737793964</v>
      </c>
      <c r="G55" s="1">
        <f>AVERAGE(E55:F55)</f>
        <v>88.074597667911206</v>
      </c>
    </row>
    <row r="56" spans="1:7" hidden="1" x14ac:dyDescent="0.6">
      <c r="A56" s="1" t="s">
        <v>27</v>
      </c>
      <c r="B56" s="1">
        <v>0</v>
      </c>
      <c r="C56" s="1">
        <v>95.631912231445298</v>
      </c>
    </row>
    <row r="57" spans="1:7" x14ac:dyDescent="0.6">
      <c r="A57" s="1" t="s">
        <v>27</v>
      </c>
      <c r="B57" s="1">
        <v>13284.729670574699</v>
      </c>
      <c r="C57" s="1">
        <v>281.98745727539</v>
      </c>
      <c r="D57" s="1">
        <f>IF((C57-C56)/B57&gt;0, (C57-C56)/B57,0.001)</f>
        <v>1.4027801066717749E-2</v>
      </c>
      <c r="E57" s="1">
        <f>(0.3*((LagTime!B57/1000)/LagTime!D57^0.25)^0.76)*60</f>
        <v>289.1295962172743</v>
      </c>
      <c r="F57" s="1">
        <f>(0.00013*B57^0.77/D57^0.385)*60</f>
        <v>60.323315435579843</v>
      </c>
      <c r="G57" s="1">
        <f>AVERAGE(E57:F57)</f>
        <v>174.72645582642707</v>
      </c>
    </row>
    <row r="58" spans="1:7" hidden="1" x14ac:dyDescent="0.6">
      <c r="A58" s="1" t="s">
        <v>28</v>
      </c>
      <c r="B58" s="1">
        <v>0</v>
      </c>
      <c r="C58" s="1">
        <v>71.705101013183594</v>
      </c>
    </row>
    <row r="59" spans="1:7" x14ac:dyDescent="0.6">
      <c r="A59" s="1" t="s">
        <v>28</v>
      </c>
      <c r="B59" s="1">
        <v>7169.6246205531397</v>
      </c>
      <c r="C59" s="1">
        <v>74.120056152343693</v>
      </c>
      <c r="D59" s="1">
        <f>IF((C59-C58)/B59&gt;0, (C59-C58)/B59,0.001)</f>
        <v>3.3683146147389019E-4</v>
      </c>
      <c r="E59" s="1">
        <f>(0.3*((LagTime!B59/1000)/LagTime!D59^0.25)^0.76)*60</f>
        <v>367.48649141432708</v>
      </c>
      <c r="F59" s="1">
        <f>(0.00013*B59^0.77/D59^0.385)*60</f>
        <v>157.6786795572377</v>
      </c>
      <c r="G59" s="1">
        <f>AVERAGE(E59:F59)</f>
        <v>262.58258548578237</v>
      </c>
    </row>
    <row r="60" spans="1:7" hidden="1" x14ac:dyDescent="0.6">
      <c r="A60" s="1" t="s">
        <v>29</v>
      </c>
      <c r="B60" s="1">
        <v>0</v>
      </c>
      <c r="C60" s="1">
        <v>99.504417419433594</v>
      </c>
    </row>
    <row r="61" spans="1:7" x14ac:dyDescent="0.6">
      <c r="A61" s="1" t="s">
        <v>29</v>
      </c>
      <c r="B61" s="1">
        <v>9356.4484233959793</v>
      </c>
      <c r="C61" s="1">
        <v>184.94523620605401</v>
      </c>
      <c r="D61" s="1">
        <f>IF((C61-C60)/B61&gt;0, (C61-C60)/B61,0.001)</f>
        <v>9.1317575772633993E-3</v>
      </c>
      <c r="E61" s="1">
        <f>(0.3*((LagTime!B61/1000)/LagTime!D61^0.25)^0.76)*60</f>
        <v>240.3319749520754</v>
      </c>
      <c r="F61" s="1">
        <f>(0.00013*B61^0.77/D61^0.385)*60</f>
        <v>54.329619110773493</v>
      </c>
      <c r="G61" s="1">
        <f>AVERAGE(E61:F61)</f>
        <v>147.33079703142445</v>
      </c>
    </row>
    <row r="62" spans="1:7" hidden="1" x14ac:dyDescent="0.6">
      <c r="A62" s="1" t="s">
        <v>30</v>
      </c>
      <c r="B62" s="1">
        <v>0</v>
      </c>
      <c r="C62" s="1">
        <v>81.21240234375</v>
      </c>
    </row>
    <row r="63" spans="1:7" x14ac:dyDescent="0.6">
      <c r="A63" s="1" t="s">
        <v>30</v>
      </c>
      <c r="B63" s="1">
        <v>1253.1544582163101</v>
      </c>
      <c r="C63" s="1">
        <v>87.94873046875</v>
      </c>
      <c r="D63" s="1">
        <f>IF((C63-C62)/B63&gt;0, (C63-C62)/B63,0.001)</f>
        <v>5.3754970752673374E-3</v>
      </c>
      <c r="E63" s="1">
        <f>(0.3*((LagTime!B63/1000)/LagTime!D63^0.25)^0.76)*60</f>
        <v>57.673520726189402</v>
      </c>
      <c r="F63" s="1">
        <f>(0.00013*B63^0.77/D63^0.385)*60</f>
        <v>14.16925365013218</v>
      </c>
      <c r="G63" s="1">
        <f>AVERAGE(E63:F63)</f>
        <v>35.921387188160793</v>
      </c>
    </row>
    <row r="64" spans="1:7" hidden="1" x14ac:dyDescent="0.6">
      <c r="A64" s="1" t="s">
        <v>31</v>
      </c>
      <c r="B64" s="1">
        <v>0</v>
      </c>
      <c r="C64" s="1">
        <v>99.419143676757798</v>
      </c>
    </row>
    <row r="65" spans="1:7" x14ac:dyDescent="0.6">
      <c r="A65" s="1" t="s">
        <v>31</v>
      </c>
      <c r="B65" s="1">
        <v>7000.21889248139</v>
      </c>
      <c r="C65" s="1">
        <v>192.39219665527301</v>
      </c>
      <c r="D65" s="1">
        <f>IF((C65-C64)/B65&gt;0, (C65-C64)/B65,0.001)</f>
        <v>1.3281449395585794E-2</v>
      </c>
      <c r="E65" s="1">
        <f>(0.3*((LagTime!B65/1000)/LagTime!D65^0.25)^0.76)*60</f>
        <v>179.53151547798331</v>
      </c>
      <c r="F65" s="1">
        <f>(0.00013*B65^0.77/D65^0.385)*60</f>
        <v>37.616730328063269</v>
      </c>
      <c r="G65" s="1">
        <f>AVERAGE(E65:F65)</f>
        <v>108.57412290302329</v>
      </c>
    </row>
    <row r="66" spans="1:7" hidden="1" x14ac:dyDescent="0.6">
      <c r="A66" s="1" t="s">
        <v>32</v>
      </c>
      <c r="B66" s="1">
        <v>0</v>
      </c>
      <c r="C66" s="1">
        <v>94.568061828613196</v>
      </c>
    </row>
    <row r="67" spans="1:7" x14ac:dyDescent="0.6">
      <c r="A67" s="1" t="s">
        <v>32</v>
      </c>
      <c r="B67" s="1">
        <v>539.03046005267902</v>
      </c>
      <c r="C67" s="1">
        <v>102.07388305664</v>
      </c>
      <c r="D67" s="1">
        <f>IF((C67-C66)/B67&gt;0, (C67-C66)/B67,0.001)</f>
        <v>1.3924669910663798E-2</v>
      </c>
      <c r="E67" s="1">
        <f>(0.3*((LagTime!B67/1000)/LagTime!D67^0.25)^0.76)*60</f>
        <v>25.350088862467953</v>
      </c>
      <c r="F67" s="1">
        <f>(0.00013*B67^0.77/D67^0.385)*60</f>
        <v>5.1295546306212172</v>
      </c>
      <c r="G67" s="1">
        <f>AVERAGE(E67:F67)</f>
        <v>15.239821746544585</v>
      </c>
    </row>
    <row r="68" spans="1:7" hidden="1" x14ac:dyDescent="0.6">
      <c r="A68" s="1" t="s">
        <v>33</v>
      </c>
      <c r="B68" s="1">
        <v>0</v>
      </c>
      <c r="C68" s="1">
        <v>135.71276855468699</v>
      </c>
    </row>
    <row r="69" spans="1:7" x14ac:dyDescent="0.6">
      <c r="A69" s="1" t="s">
        <v>33</v>
      </c>
      <c r="B69" s="1">
        <v>8301.5326519810296</v>
      </c>
      <c r="C69" s="1">
        <v>706.30535888671795</v>
      </c>
      <c r="D69" s="1">
        <f>IF((C69-C68)/B69&gt;0, (C69-C68)/B69,0.001)</f>
        <v>6.873340312597194E-2</v>
      </c>
      <c r="E69" s="1">
        <f>(0.3*((LagTime!B69/1000)/LagTime!D69^0.25)^0.76)*60</f>
        <v>149.5446591648705</v>
      </c>
      <c r="F69" s="1">
        <f>(0.00013*B69^0.77/D69^0.385)*60</f>
        <v>22.77911554087132</v>
      </c>
      <c r="G69" s="1">
        <f>AVERAGE(E69:F69)</f>
        <v>86.161887352870906</v>
      </c>
    </row>
    <row r="70" spans="1:7" hidden="1" x14ac:dyDescent="0.6">
      <c r="A70" s="1" t="s">
        <v>34</v>
      </c>
      <c r="B70" s="1">
        <v>0</v>
      </c>
      <c r="C70" s="1">
        <v>79.581344604492102</v>
      </c>
    </row>
    <row r="71" spans="1:7" x14ac:dyDescent="0.6">
      <c r="A71" s="1" t="s">
        <v>34</v>
      </c>
      <c r="B71" s="1">
        <v>12490.1647338732</v>
      </c>
      <c r="C71" s="1">
        <v>136.02680969238199</v>
      </c>
      <c r="D71" s="1">
        <f>IF((C71-C70)/B71&gt;0, (C71-C70)/B71,0.001)</f>
        <v>4.5191930043012446E-3</v>
      </c>
      <c r="E71" s="1">
        <f>(0.3*((LagTime!B71/1000)/LagTime!D71^0.25)^0.76)*60</f>
        <v>342.13912671591208</v>
      </c>
      <c r="F71" s="1">
        <f>(0.00013*B71^0.77/D71^0.385)*60</f>
        <v>88.972060471507874</v>
      </c>
      <c r="G71" s="1">
        <f>AVERAGE(E71:F71)</f>
        <v>215.55559359370997</v>
      </c>
    </row>
    <row r="72" spans="1:7" hidden="1" x14ac:dyDescent="0.6">
      <c r="A72" s="1" t="s">
        <v>35</v>
      </c>
      <c r="B72" s="1">
        <v>0</v>
      </c>
      <c r="C72" s="1">
        <v>64.512664794921804</v>
      </c>
    </row>
    <row r="73" spans="1:7" x14ac:dyDescent="0.6">
      <c r="A73" s="1" t="s">
        <v>35</v>
      </c>
      <c r="B73" s="1">
        <v>9428.3010170527396</v>
      </c>
      <c r="C73" s="1">
        <v>70.0302734375</v>
      </c>
      <c r="D73" s="1">
        <f>IF((C73-C72)/B73&gt;0, (C73-C72)/B73,0.001)</f>
        <v>5.8521770068633054E-4</v>
      </c>
      <c r="E73" s="1">
        <f>(0.3*((LagTime!B73/1000)/LagTime!D73^0.25)^0.76)*60</f>
        <v>407.42868589230801</v>
      </c>
      <c r="F73" s="1">
        <f>(0.00013*B73^0.77/D73^0.385)*60</f>
        <v>157.39507241716785</v>
      </c>
      <c r="G73" s="1">
        <f>AVERAGE(E73:F73)</f>
        <v>282.4118791547379</v>
      </c>
    </row>
    <row r="74" spans="1:7" hidden="1" x14ac:dyDescent="0.6">
      <c r="A74" s="1" t="s">
        <v>36</v>
      </c>
      <c r="B74" s="1">
        <v>0</v>
      </c>
      <c r="C74" s="1">
        <v>101.890075683593</v>
      </c>
    </row>
    <row r="75" spans="1:7" x14ac:dyDescent="0.6">
      <c r="A75" s="1" t="s">
        <v>36</v>
      </c>
      <c r="B75" s="1">
        <v>7813.8779472057104</v>
      </c>
      <c r="C75" s="1">
        <v>996.52868652343705</v>
      </c>
      <c r="D75" s="1">
        <f>IF((C75-C74)/B75&gt;0, (C75-C74)/B75,0.001)</f>
        <v>0.11449354813121598</v>
      </c>
      <c r="E75" s="1">
        <f>(0.3*((LagTime!B75/1000)/LagTime!D75^0.25)^0.76)*60</f>
        <v>129.62320221421541</v>
      </c>
      <c r="F75" s="1">
        <f>(0.00013*B75^0.77/D75^0.385)*60</f>
        <v>17.863691586314598</v>
      </c>
      <c r="G75" s="1">
        <f>AVERAGE(E75:F75)</f>
        <v>73.743446900264999</v>
      </c>
    </row>
    <row r="76" spans="1:7" hidden="1" x14ac:dyDescent="0.6">
      <c r="A76" s="1" t="s">
        <v>37</v>
      </c>
      <c r="B76" s="1">
        <v>0</v>
      </c>
      <c r="C76" s="1">
        <v>80.0975341796875</v>
      </c>
    </row>
    <row r="77" spans="1:7" x14ac:dyDescent="0.6">
      <c r="A77" s="1" t="s">
        <v>37</v>
      </c>
      <c r="B77" s="1">
        <v>17497.164753009001</v>
      </c>
      <c r="C77" s="1">
        <v>107.51016998291</v>
      </c>
      <c r="D77" s="1">
        <f>IF((C77-C76)/B77&gt;0, (C77-C76)/B77,0.001)</f>
        <v>1.5666901575301408E-3</v>
      </c>
      <c r="E77" s="1">
        <f>(0.3*((LagTime!B77/1000)/LagTime!D77^0.25)^0.76)*60</f>
        <v>540.60636029649152</v>
      </c>
      <c r="F77" s="1">
        <f>(0.00013*B77^0.77/D77^0.385)*60</f>
        <v>173.42480621116243</v>
      </c>
      <c r="G77" s="1">
        <f>AVERAGE(E77:F77)</f>
        <v>357.015583253827</v>
      </c>
    </row>
    <row r="78" spans="1:7" hidden="1" x14ac:dyDescent="0.6">
      <c r="A78" s="1" t="s">
        <v>38</v>
      </c>
      <c r="B78" s="1">
        <v>0</v>
      </c>
      <c r="C78" s="1">
        <v>81.21240234375</v>
      </c>
    </row>
    <row r="79" spans="1:7" x14ac:dyDescent="0.6">
      <c r="A79" s="1" t="s">
        <v>38</v>
      </c>
      <c r="B79" s="1">
        <v>7646.6069420867098</v>
      </c>
      <c r="C79" s="1">
        <v>108.03353118896401</v>
      </c>
      <c r="D79" s="1">
        <f>IF((C79-C78)/B79&gt;0, (C79-C78)/B79,0.001)</f>
        <v>3.507585658364531E-3</v>
      </c>
      <c r="E79" s="1">
        <f>(0.3*((LagTime!B79/1000)/LagTime!D79^0.25)^0.76)*60</f>
        <v>247.26189513212455</v>
      </c>
      <c r="F79" s="1">
        <f>(0.00013*B79^0.77/D79^0.385)*60</f>
        <v>67.226014232585442</v>
      </c>
      <c r="G79" s="1">
        <f>AVERAGE(E79:F79)</f>
        <v>157.243954682355</v>
      </c>
    </row>
  </sheetData>
  <autoFilter ref="A1:D79" xr:uid="{E0C5618E-339C-4C46-8A2C-4DDFE78F9F2A}">
    <filterColumn colId="3">
      <customFilters>
        <customFilter operator="notEqual" val=" "/>
      </customFilters>
    </filterColumn>
    <sortState xmlns:xlrd2="http://schemas.microsoft.com/office/spreadsheetml/2017/richdata2" ref="A3:D79">
      <sortCondition ref="A2:A79"/>
      <sortCondition ref="B2:B7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E9019-975E-458D-A667-D01B2299C025}">
  <dimension ref="B2:B3"/>
  <sheetViews>
    <sheetView showGridLines="0" tabSelected="1" zoomScale="130" zoomScaleNormal="130" workbookViewId="0">
      <selection activeCell="B4" sqref="B4"/>
    </sheetView>
  </sheetViews>
  <sheetFormatPr defaultRowHeight="16.5" x14ac:dyDescent="0.6"/>
  <cols>
    <col min="1" max="1" width="2.59765625" style="1" customWidth="1"/>
    <col min="2" max="16384" width="9.06640625" style="1"/>
  </cols>
  <sheetData>
    <row r="2" spans="2:2" x14ac:dyDescent="0.6">
      <c r="B2" s="1" t="s">
        <v>47</v>
      </c>
    </row>
    <row r="3" spans="2:2" x14ac:dyDescent="0.6">
      <c r="B3" s="2" t="s">
        <v>46</v>
      </c>
    </row>
  </sheetData>
  <hyperlinks>
    <hyperlink ref="B3" r:id="rId1" xr:uid="{8BCC30CF-386E-4AE1-AC40-E33B160AF8D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LagTime</vt:lpstr>
      <vt:lpstr>Refs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RICARDO AGUILAR PIÑA</dc:creator>
  <cp:lastModifiedBy>WILLIAM RICARDO AGUILAR PIÑA</cp:lastModifiedBy>
  <dcterms:created xsi:type="dcterms:W3CDTF">2025-05-01T18:28:32Z</dcterms:created>
  <dcterms:modified xsi:type="dcterms:W3CDTF">2025-05-01T19:20:38Z</dcterms:modified>
</cp:coreProperties>
</file>