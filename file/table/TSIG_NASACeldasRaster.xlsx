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ESCUELA COLOMBIANA DE INGENIERIA JULIO GARAVITO\ECIJG.ClassSourcecode\TSIG\Taller6\"/>
    </mc:Choice>
  </mc:AlternateContent>
  <xr:revisionPtr revIDLastSave="0" documentId="13_ncr:1_{AD4D0047-964C-42AA-A659-723BB9DCDA8A}" xr6:coauthVersionLast="47" xr6:coauthVersionMax="47" xr10:uidLastSave="{00000000-0000-0000-0000-000000000000}"/>
  <bookViews>
    <workbookView xWindow="-103" yWindow="-103" windowWidth="33120" windowHeight="18000" activeTab="1" xr2:uid="{00000000-000D-0000-FFFF-FFFF00000000}"/>
  </bookViews>
  <sheets>
    <sheet name="Map" sheetId="1" r:id="rId1"/>
    <sheet name="ListGranules" sheetId="2" r:id="rId2"/>
    <sheet name="ALOSPALSAR" sheetId="3" r:id="rId3"/>
    <sheet name="{R}" sheetId="6" r:id="rId4"/>
  </sheets>
  <definedNames>
    <definedName name="_xlnm._FilterDatabase" localSheetId="1" hidden="1">ListGranules!$A$1:$B$132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2" i="2"/>
  <c r="C2" i="2"/>
  <c r="B3" i="2"/>
  <c r="B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M20" i="1"/>
  <c r="L20" i="1"/>
  <c r="M19" i="1"/>
  <c r="L19" i="1"/>
  <c r="M18" i="1"/>
  <c r="L18" i="1"/>
  <c r="K18" i="1"/>
  <c r="J18" i="1"/>
  <c r="I18" i="1"/>
  <c r="M17" i="1"/>
  <c r="L17" i="1"/>
  <c r="K17" i="1"/>
  <c r="J17" i="1"/>
  <c r="I17" i="1"/>
  <c r="H17" i="1"/>
  <c r="M16" i="1"/>
  <c r="L16" i="1"/>
  <c r="K16" i="1"/>
  <c r="J16" i="1"/>
  <c r="I16" i="1"/>
  <c r="H16" i="1"/>
  <c r="G16" i="1"/>
  <c r="F16" i="1"/>
  <c r="M15" i="1"/>
  <c r="L15" i="1"/>
  <c r="K15" i="1"/>
  <c r="J15" i="1"/>
  <c r="I15" i="1"/>
  <c r="H15" i="1"/>
  <c r="G15" i="1"/>
  <c r="F15" i="1"/>
  <c r="E15" i="1"/>
  <c r="D15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O13" i="1"/>
  <c r="N13" i="1"/>
  <c r="M13" i="1"/>
  <c r="L13" i="1"/>
  <c r="K13" i="1"/>
  <c r="J13" i="1"/>
  <c r="I13" i="1"/>
  <c r="H13" i="1"/>
  <c r="G13" i="1"/>
  <c r="F13" i="1"/>
  <c r="E13" i="1"/>
  <c r="D13" i="1"/>
  <c r="O12" i="1"/>
  <c r="N12" i="1"/>
  <c r="M12" i="1"/>
  <c r="L12" i="1"/>
  <c r="K12" i="1"/>
  <c r="J12" i="1"/>
  <c r="I12" i="1"/>
  <c r="H12" i="1"/>
  <c r="G12" i="1"/>
  <c r="F12" i="1"/>
  <c r="E12" i="1"/>
  <c r="O11" i="1"/>
  <c r="N11" i="1"/>
  <c r="M11" i="1"/>
  <c r="L11" i="1"/>
  <c r="K11" i="1"/>
  <c r="J11" i="1"/>
  <c r="I11" i="1"/>
  <c r="H11" i="1"/>
  <c r="G11" i="1"/>
  <c r="F11" i="1"/>
  <c r="E11" i="1"/>
  <c r="O10" i="1"/>
  <c r="N10" i="1"/>
  <c r="M10" i="1"/>
  <c r="L10" i="1"/>
  <c r="K10" i="1"/>
  <c r="J10" i="1"/>
  <c r="I10" i="1"/>
  <c r="H10" i="1"/>
  <c r="G10" i="1"/>
  <c r="F10" i="1"/>
  <c r="E10" i="1"/>
  <c r="O9" i="1"/>
  <c r="N9" i="1"/>
  <c r="M9" i="1"/>
  <c r="L9" i="1"/>
  <c r="K9" i="1"/>
  <c r="J9" i="1"/>
  <c r="I9" i="1"/>
  <c r="H9" i="1"/>
  <c r="G9" i="1"/>
  <c r="F9" i="1"/>
  <c r="E9" i="1"/>
  <c r="L8" i="1"/>
  <c r="K8" i="1"/>
  <c r="J8" i="1"/>
  <c r="I8" i="1"/>
  <c r="H8" i="1"/>
  <c r="G8" i="1"/>
  <c r="F8" i="1"/>
  <c r="E8" i="1"/>
  <c r="J7" i="1"/>
  <c r="I7" i="1"/>
  <c r="H7" i="1"/>
  <c r="G7" i="1"/>
  <c r="F7" i="1"/>
  <c r="E7" i="1"/>
  <c r="J6" i="1"/>
  <c r="I6" i="1"/>
  <c r="H6" i="1"/>
  <c r="G6" i="1"/>
  <c r="F6" i="1"/>
  <c r="J5" i="1"/>
  <c r="I5" i="1"/>
  <c r="H5" i="1"/>
  <c r="G5" i="1"/>
  <c r="U4" i="1"/>
  <c r="K4" i="1"/>
  <c r="J4" i="1"/>
  <c r="I4" i="1"/>
  <c r="U3" i="1"/>
  <c r="K3" i="1"/>
  <c r="J3" i="1"/>
  <c r="B110" i="2"/>
  <c r="B111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<sst xmlns="http://schemas.openxmlformats.org/spreadsheetml/2006/main" count="224" uniqueCount="191">
  <si>
    <t>N12</t>
  </si>
  <si>
    <t>N11</t>
  </si>
  <si>
    <t>N10</t>
  </si>
  <si>
    <t>S01</t>
  </si>
  <si>
    <t>S02</t>
  </si>
  <si>
    <t>S03</t>
  </si>
  <si>
    <t>S04</t>
  </si>
  <si>
    <t>S05</t>
  </si>
  <si>
    <t>N01</t>
  </si>
  <si>
    <t>N02</t>
  </si>
  <si>
    <t>N09</t>
  </si>
  <si>
    <t>N08</t>
  </si>
  <si>
    <t>N07</t>
  </si>
  <si>
    <t>N06</t>
  </si>
  <si>
    <t>N05</t>
  </si>
  <si>
    <t>N04</t>
  </si>
  <si>
    <t>N03</t>
  </si>
  <si>
    <t>W080</t>
  </si>
  <si>
    <t>W079</t>
  </si>
  <si>
    <t>W078</t>
  </si>
  <si>
    <t>W077</t>
  </si>
  <si>
    <t>W076</t>
  </si>
  <si>
    <t>W075</t>
  </si>
  <si>
    <t>W074</t>
  </si>
  <si>
    <t>W073</t>
  </si>
  <si>
    <t>W072</t>
  </si>
  <si>
    <t>W071</t>
  </si>
  <si>
    <t>W070</t>
  </si>
  <si>
    <t>W069</t>
  </si>
  <si>
    <t>W068</t>
  </si>
  <si>
    <t>W067</t>
  </si>
  <si>
    <t>W066</t>
  </si>
  <si>
    <t>N12W073</t>
  </si>
  <si>
    <t>N12W072</t>
  </si>
  <si>
    <t>N11W074</t>
  </si>
  <si>
    <t>N11W073</t>
  </si>
  <si>
    <t>N11W072</t>
  </si>
  <si>
    <t>N10W076</t>
  </si>
  <si>
    <t>N10W075</t>
  </si>
  <si>
    <t>N10W074</t>
  </si>
  <si>
    <t>N10W073</t>
  </si>
  <si>
    <t>N09W077</t>
  </si>
  <si>
    <t>N09W076</t>
  </si>
  <si>
    <t>N09W075</t>
  </si>
  <si>
    <t>N09W074</t>
  </si>
  <si>
    <t>N09W073</t>
  </si>
  <si>
    <t>N08W078</t>
  </si>
  <si>
    <t>N08W077</t>
  </si>
  <si>
    <t>N08W076</t>
  </si>
  <si>
    <t>N08W075</t>
  </si>
  <si>
    <t>N08W074</t>
  </si>
  <si>
    <t>N08W073</t>
  </si>
  <si>
    <t>N07W078</t>
  </si>
  <si>
    <t>N07W077</t>
  </si>
  <si>
    <t>N07W076</t>
  </si>
  <si>
    <t>N07W075</t>
  </si>
  <si>
    <t>N07W074</t>
  </si>
  <si>
    <t>N07W073</t>
  </si>
  <si>
    <t>N07W072</t>
  </si>
  <si>
    <t>N07W071</t>
  </si>
  <si>
    <t>N06W078</t>
  </si>
  <si>
    <t>N06W077</t>
  </si>
  <si>
    <t>N06W076</t>
  </si>
  <si>
    <t>N06W075</t>
  </si>
  <si>
    <t>N06W074</t>
  </si>
  <si>
    <t>N06W073</t>
  </si>
  <si>
    <t>N06W072</t>
  </si>
  <si>
    <t>N06W071</t>
  </si>
  <si>
    <t>N06W070</t>
  </si>
  <si>
    <t>N06W069</t>
  </si>
  <si>
    <t>N06W068</t>
  </si>
  <si>
    <t>N05W078</t>
  </si>
  <si>
    <t>N05W077</t>
  </si>
  <si>
    <t>N05W076</t>
  </si>
  <si>
    <t>N05W075</t>
  </si>
  <si>
    <t>N05W074</t>
  </si>
  <si>
    <t>N05W073</t>
  </si>
  <si>
    <t>N05W072</t>
  </si>
  <si>
    <t>N05W071</t>
  </si>
  <si>
    <t>N05W070</t>
  </si>
  <si>
    <t>N05W069</t>
  </si>
  <si>
    <t>N05W068</t>
  </si>
  <si>
    <t>N04W078</t>
  </si>
  <si>
    <t>N04W077</t>
  </si>
  <si>
    <t>N04W076</t>
  </si>
  <si>
    <t>N04W075</t>
  </si>
  <si>
    <t>N04W074</t>
  </si>
  <si>
    <t>N04W073</t>
  </si>
  <si>
    <t>N04W072</t>
  </si>
  <si>
    <t>N04W071</t>
  </si>
  <si>
    <t>N04W070</t>
  </si>
  <si>
    <t>N04W069</t>
  </si>
  <si>
    <t>N04W068</t>
  </si>
  <si>
    <t>N03W078</t>
  </si>
  <si>
    <t>N03W077</t>
  </si>
  <si>
    <t>N03W076</t>
  </si>
  <si>
    <t>N03W075</t>
  </si>
  <si>
    <t>N03W074</t>
  </si>
  <si>
    <t>N03W073</t>
  </si>
  <si>
    <t>N03W072</t>
  </si>
  <si>
    <t>N03W071</t>
  </si>
  <si>
    <t>N03W070</t>
  </si>
  <si>
    <t>N03W069</t>
  </si>
  <si>
    <t>N03W068</t>
  </si>
  <si>
    <t>N02W079</t>
  </si>
  <si>
    <t>N02W078</t>
  </si>
  <si>
    <t>N02W077</t>
  </si>
  <si>
    <t>N02W076</t>
  </si>
  <si>
    <t>N02W075</t>
  </si>
  <si>
    <t>N02W074</t>
  </si>
  <si>
    <t>N02W073</t>
  </si>
  <si>
    <t>N02W072</t>
  </si>
  <si>
    <t>N02W071</t>
  </si>
  <si>
    <t>N02W070</t>
  </si>
  <si>
    <t>N02W069</t>
  </si>
  <si>
    <t>N02W068</t>
  </si>
  <si>
    <t>N01W080</t>
  </si>
  <si>
    <t>N01W079</t>
  </si>
  <si>
    <t>N01W078</t>
  </si>
  <si>
    <t>N01W077</t>
  </si>
  <si>
    <t>N01W076</t>
  </si>
  <si>
    <t>N01W075</t>
  </si>
  <si>
    <t>N01W074</t>
  </si>
  <si>
    <t>N01W073</t>
  </si>
  <si>
    <t>N01W072</t>
  </si>
  <si>
    <t>N01W071</t>
  </si>
  <si>
    <t>N01W070</t>
  </si>
  <si>
    <t>N01W069</t>
  </si>
  <si>
    <t>N01W068</t>
  </si>
  <si>
    <t>N01W067</t>
  </si>
  <si>
    <t>S01W077</t>
  </si>
  <si>
    <t>S01W076</t>
  </si>
  <si>
    <t>S01W075</t>
  </si>
  <si>
    <t>S01W074</t>
  </si>
  <si>
    <t>S01W073</t>
  </si>
  <si>
    <t>S01W072</t>
  </si>
  <si>
    <t>S01W071</t>
  </si>
  <si>
    <t>S01W070</t>
  </si>
  <si>
    <t>S02W075</t>
  </si>
  <si>
    <t>S02W074</t>
  </si>
  <si>
    <t>S02W073</t>
  </si>
  <si>
    <t>S02W072</t>
  </si>
  <si>
    <t>S02W071</t>
  </si>
  <si>
    <t>S02W070</t>
  </si>
  <si>
    <t>S03W074</t>
  </si>
  <si>
    <t>S03W073</t>
  </si>
  <si>
    <t>S03W072</t>
  </si>
  <si>
    <t>S03W071</t>
  </si>
  <si>
    <t>S03W070</t>
  </si>
  <si>
    <t>S04W071</t>
  </si>
  <si>
    <t>S04W070</t>
  </si>
  <si>
    <t>S05W071</t>
  </si>
  <si>
    <t>S05W070</t>
  </si>
  <si>
    <t>San Andrés y Providencia</t>
  </si>
  <si>
    <t>W082</t>
  </si>
  <si>
    <t>W081</t>
  </si>
  <si>
    <t>N13</t>
  </si>
  <si>
    <t>N13W082</t>
  </si>
  <si>
    <t>N12W082</t>
  </si>
  <si>
    <t>N00W070</t>
  </si>
  <si>
    <t>N00</t>
  </si>
  <si>
    <t>N00W071</t>
  </si>
  <si>
    <t>N00W072</t>
  </si>
  <si>
    <t>N00W073</t>
  </si>
  <si>
    <t>N00W074</t>
  </si>
  <si>
    <t>N00W075</t>
  </si>
  <si>
    <t>N00W076</t>
  </si>
  <si>
    <t>N00W077</t>
  </si>
  <si>
    <t>N00W078</t>
  </si>
  <si>
    <t>N00W079</t>
  </si>
  <si>
    <t>ALPSRP268850170</t>
  </si>
  <si>
    <t>ALPSRP268850180</t>
  </si>
  <si>
    <t>ALPSRP268850190</t>
  </si>
  <si>
    <t>ALPSRP271330170</t>
  </si>
  <si>
    <t>ALPSRP271330180</t>
  </si>
  <si>
    <t>ALPSRP273080170</t>
  </si>
  <si>
    <t>ALPSRP273080180</t>
  </si>
  <si>
    <t>ALPSRP273080190</t>
  </si>
  <si>
    <t>Imágenes a descargar - ALOS PALSAR</t>
  </si>
  <si>
    <t>Granule</t>
  </si>
  <si>
    <t>Contenido creado por:</t>
  </si>
  <si>
    <t>r.cfdtools@gmail.com</t>
  </si>
  <si>
    <t>https://github.com/rcfdtools</t>
  </si>
  <si>
    <t>Licencia, cláusulas y condiciones de uso en:</t>
  </si>
  <si>
    <t>https://github.com/rcfdtools/R.HydroTools/wiki/License</t>
  </si>
  <si>
    <t>Password: 1234</t>
  </si>
  <si>
    <t>Zona continental de Colombia</t>
  </si>
  <si>
    <t>v.20221130</t>
  </si>
  <si>
    <t>GranuleTextNASAASTGTM2v2</t>
  </si>
  <si>
    <t>GranuleTextNASAASTGTM2v3</t>
  </si>
  <si>
    <t>GranuleTextNASAASTGTM2v3Path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</si>
</sst>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theme="1"/>
      <name val="Segoe UI Light"/>
      <family val="2"/>
    </font>
    <font>
      <sz val="9"/>
      <color theme="0" tint="-0.249977111117893"/>
      <name val="Segoe UI Light"/>
      <family val="2"/>
    </font>
    <font>
      <sz val="11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1"/>
      <color rgb="FF0070C0"/>
      <name val="Segoe UI Light"/>
      <family val="2"/>
    </font>
    <font>
      <sz val="8"/>
      <color theme="1"/>
      <name val="Segoe U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 textRotation="90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top" textRotation="90"/>
    </xf>
    <xf numFmtId="0" fontId="3" fillId="3" borderId="0" xfId="0" applyFont="1" applyFill="1"/>
    <xf numFmtId="0" fontId="3" fillId="0" borderId="0" xfId="0" applyFont="1"/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vertical="top"/>
    </xf>
    <xf numFmtId="0" fontId="5" fillId="0" borderId="0" xfId="1" applyFont="1" applyAlignment="1" applyProtection="1">
      <alignment horizontal="center" vertical="top" wrapText="1"/>
    </xf>
    <xf numFmtId="0" fontId="5" fillId="0" borderId="0" xfId="1" applyFont="1" applyAlignment="1" applyProtection="1">
      <alignment horizontal="center" vertical="top"/>
      <protection locked="0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340178</xdr:colOff>
      <xdr:row>0</xdr:row>
      <xdr:rowOff>27214</xdr:rowOff>
    </xdr:from>
    <xdr:to>
      <xdr:col>40</xdr:col>
      <xdr:colOff>83547</xdr:colOff>
      <xdr:row>20</xdr:row>
      <xdr:rowOff>313365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71C9409B-A188-4656-B6C7-7CA0089D031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33765" y="27214"/>
          <a:ext cx="9318065" cy="12022608"/>
        </a:xfrm>
        <a:prstGeom prst="rect">
          <a:avLst/>
        </a:prstGeom>
      </xdr:spPr>
    </xdr:pic>
    <xdr:clientData/>
  </xdr:twoCellAnchor>
  <xdr:twoCellAnchor editAs="oneCell">
    <xdr:from>
      <xdr:col>6</xdr:col>
      <xdr:colOff>635149</xdr:colOff>
      <xdr:row>7</xdr:row>
      <xdr:rowOff>597384</xdr:rowOff>
    </xdr:from>
    <xdr:to>
      <xdr:col>7</xdr:col>
      <xdr:colOff>256316</xdr:colOff>
      <xdr:row>8</xdr:row>
      <xdr:rowOff>256314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B461D9-EC23-49CC-AC54-E3BD6C8DBC32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5220" y="4299808"/>
          <a:ext cx="271780" cy="271780"/>
        </a:xfrm>
        <a:prstGeom prst="rect">
          <a:avLst/>
        </a:prstGeom>
      </xdr:spPr>
    </xdr:pic>
    <xdr:clientData/>
  </xdr:twoCellAnchor>
  <xdr:twoCellAnchor editAs="oneCell">
    <xdr:from>
      <xdr:col>9</xdr:col>
      <xdr:colOff>623494</xdr:colOff>
      <xdr:row>3</xdr:row>
      <xdr:rowOff>596040</xdr:rowOff>
    </xdr:from>
    <xdr:to>
      <xdr:col>10</xdr:col>
      <xdr:colOff>238945</xdr:colOff>
      <xdr:row>4</xdr:row>
      <xdr:rowOff>256876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D76731B-32A6-4A12-B584-F0F7F74B6F91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6835" y="1824205"/>
          <a:ext cx="273685" cy="275590"/>
        </a:xfrm>
        <a:prstGeom prst="rect">
          <a:avLst/>
        </a:prstGeom>
      </xdr:spPr>
    </xdr:pic>
    <xdr:clientData/>
  </xdr:twoCellAnchor>
  <xdr:twoCellAnchor>
    <xdr:from>
      <xdr:col>31</xdr:col>
      <xdr:colOff>386467</xdr:colOff>
      <xdr:row>8</xdr:row>
      <xdr:rowOff>381001</xdr:rowOff>
    </xdr:from>
    <xdr:to>
      <xdr:col>32</xdr:col>
      <xdr:colOff>88294</xdr:colOff>
      <xdr:row>9</xdr:row>
      <xdr:rowOff>26754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95FFC087-7B4D-4E71-A45A-3DE6120FF54E}"/>
            </a:ext>
          </a:extLst>
        </xdr:cNvPr>
        <xdr:cNvSpPr/>
      </xdr:nvSpPr>
      <xdr:spPr>
        <a:xfrm>
          <a:off x="18210641" y="4687958"/>
          <a:ext cx="265044" cy="261979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latin typeface="Arial" panose="020B0604020202020204" pitchFamily="34" charset="0"/>
              <a:cs typeface="Arial" panose="020B0604020202020204" pitchFamily="34" charset="0"/>
            </a:rPr>
            <a:t>S</a:t>
          </a:r>
        </a:p>
      </xdr:txBody>
    </xdr:sp>
    <xdr:clientData/>
  </xdr:twoCellAnchor>
  <xdr:twoCellAnchor>
    <xdr:from>
      <xdr:col>33</xdr:col>
      <xdr:colOff>152398</xdr:colOff>
      <xdr:row>6</xdr:row>
      <xdr:rowOff>430696</xdr:rowOff>
    </xdr:from>
    <xdr:to>
      <xdr:col>33</xdr:col>
      <xdr:colOff>417442</xdr:colOff>
      <xdr:row>7</xdr:row>
      <xdr:rowOff>76449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C8903E73-54E7-4809-AA10-2332295767D5}"/>
            </a:ext>
          </a:extLst>
        </xdr:cNvPr>
        <xdr:cNvSpPr/>
      </xdr:nvSpPr>
      <xdr:spPr>
        <a:xfrm>
          <a:off x="19103007" y="3505200"/>
          <a:ext cx="265044" cy="261979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31</xdr:col>
      <xdr:colOff>376775</xdr:colOff>
      <xdr:row>4</xdr:row>
      <xdr:rowOff>474675</xdr:rowOff>
    </xdr:from>
    <xdr:to>
      <xdr:col>32</xdr:col>
      <xdr:colOff>70982</xdr:colOff>
      <xdr:row>5</xdr:row>
      <xdr:rowOff>131859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CDA50589-E9B0-4CDC-81D2-0761ADB5A56F}"/>
            </a:ext>
          </a:extLst>
        </xdr:cNvPr>
        <xdr:cNvSpPr/>
      </xdr:nvSpPr>
      <xdr:spPr>
        <a:xfrm>
          <a:off x="18200949" y="2316727"/>
          <a:ext cx="257424" cy="27341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latin typeface="Arial" panose="020B0604020202020204" pitchFamily="34" charset="0"/>
              <a:cs typeface="Arial" panose="020B0604020202020204" pitchFamily="34" charset="0"/>
            </a:rPr>
            <a:t>N</a:t>
          </a:r>
        </a:p>
      </xdr:txBody>
    </xdr:sp>
    <xdr:clientData/>
  </xdr:twoCellAnchor>
  <xdr:twoCellAnchor>
    <xdr:from>
      <xdr:col>30</xdr:col>
      <xdr:colOff>49941</xdr:colOff>
      <xdr:row>6</xdr:row>
      <xdr:rowOff>432598</xdr:rowOff>
    </xdr:from>
    <xdr:to>
      <xdr:col>30</xdr:col>
      <xdr:colOff>314985</xdr:colOff>
      <xdr:row>7</xdr:row>
      <xdr:rowOff>78352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67F5DE8F-0426-4247-B3E9-B1D6FC968E46}"/>
            </a:ext>
          </a:extLst>
        </xdr:cNvPr>
        <xdr:cNvSpPr/>
      </xdr:nvSpPr>
      <xdr:spPr>
        <a:xfrm>
          <a:off x="17310898" y="3507102"/>
          <a:ext cx="265044" cy="26198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latin typeface="Arial" panose="020B0604020202020204" pitchFamily="34" charset="0"/>
              <a:cs typeface="Arial" panose="020B0604020202020204" pitchFamily="34" charset="0"/>
            </a:rPr>
            <a:t>W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790128</xdr:colOff>
      <xdr:row>7</xdr:row>
      <xdr:rowOff>130387</xdr:rowOff>
    </xdr:from>
    <xdr:ext cx="2661006" cy="2635012"/>
    <xdr:pic>
      <xdr:nvPicPr>
        <xdr:cNvPr id="2" name="Picture 1">
          <a:extLst>
            <a:ext uri="{FF2B5EF4-FFF2-40B4-BE49-F238E27FC236}">
              <a16:creationId xmlns:a16="http://schemas.microsoft.com/office/drawing/2014/main" id="{B6082751-77EB-4712-8AF6-A2B6AA68D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103" y="1597237"/>
          <a:ext cx="2661006" cy="26350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rcfdtools/R.HydroTools/wiki/License" TargetMode="External"/><Relationship Id="rId2" Type="http://schemas.openxmlformats.org/officeDocument/2006/relationships/hyperlink" Target="https://github.com/rcfdtools" TargetMode="External"/><Relationship Id="rId1" Type="http://schemas.openxmlformats.org/officeDocument/2006/relationships/hyperlink" Target="mailto:r.cfdtools@gmail.com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1"/>
  <sheetViews>
    <sheetView showGridLines="0" showRowColHeaders="0" zoomScaleNormal="100" workbookViewId="0"/>
  </sheetViews>
  <sheetFormatPr defaultColWidth="8.3828125" defaultRowHeight="48.75" customHeight="1" x14ac:dyDescent="0.5"/>
  <cols>
    <col min="1" max="1" width="2.3828125" style="2" customWidth="1"/>
    <col min="2" max="2" width="3.69140625" style="1" bestFit="1" customWidth="1"/>
    <col min="3" max="16" width="9.84375" style="2" bestFit="1" customWidth="1"/>
    <col min="17" max="17" width="8.3828125" style="2"/>
    <col min="18" max="18" width="3.69140625" style="3" bestFit="1" customWidth="1"/>
    <col min="19" max="20" width="8.3828125" style="2"/>
    <col min="21" max="21" width="9.84375" style="2" bestFit="1" customWidth="1"/>
    <col min="22" max="31" width="8.3828125" style="2"/>
    <col min="32" max="32" width="8.3828125" style="2" customWidth="1"/>
    <col min="33" max="16384" width="8.3828125" style="2"/>
  </cols>
  <sheetData>
    <row r="1" spans="2:22" ht="17.25" customHeight="1" x14ac:dyDescent="0.5">
      <c r="C1" s="2" t="s">
        <v>186</v>
      </c>
      <c r="Q1" s="17" t="s">
        <v>187</v>
      </c>
      <c r="T1" s="2" t="s">
        <v>153</v>
      </c>
    </row>
    <row r="2" spans="2:22" ht="26.15" x14ac:dyDescent="0.5"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  <c r="P2" s="4" t="s">
        <v>30</v>
      </c>
      <c r="Q2" s="4" t="s">
        <v>31</v>
      </c>
      <c r="T2" s="1"/>
      <c r="U2" s="4" t="s">
        <v>154</v>
      </c>
      <c r="V2" s="4" t="s">
        <v>155</v>
      </c>
    </row>
    <row r="3" spans="2:22" ht="48.75" customHeight="1" x14ac:dyDescent="0.5">
      <c r="B3" s="1" t="s">
        <v>0</v>
      </c>
      <c r="C3" s="5"/>
      <c r="D3" s="5"/>
      <c r="E3" s="5"/>
      <c r="F3" s="5"/>
      <c r="G3" s="5"/>
      <c r="H3" s="5"/>
      <c r="I3" s="5"/>
      <c r="J3" s="6" t="str">
        <f>CONCATENATE($B3,J$2)</f>
        <v>N12W073</v>
      </c>
      <c r="K3" s="6" t="str">
        <f>CONCATENATE($B3,K$2)</f>
        <v>N12W072</v>
      </c>
      <c r="L3" s="5"/>
      <c r="M3" s="5"/>
      <c r="N3" s="5"/>
      <c r="O3" s="5"/>
      <c r="P3" s="5"/>
      <c r="Q3" s="5"/>
      <c r="R3" s="3" t="s">
        <v>0</v>
      </c>
      <c r="T3" s="1" t="s">
        <v>156</v>
      </c>
      <c r="U3" s="7" t="str">
        <f>CONCATENATE($T3,U$2)</f>
        <v>N13W082</v>
      </c>
    </row>
    <row r="4" spans="2:22" ht="48.75" customHeight="1" x14ac:dyDescent="0.5">
      <c r="B4" s="1" t="s">
        <v>1</v>
      </c>
      <c r="C4" s="5"/>
      <c r="D4" s="5"/>
      <c r="E4" s="5"/>
      <c r="F4" s="5"/>
      <c r="G4" s="5"/>
      <c r="H4" s="5"/>
      <c r="I4" s="6" t="str">
        <f t="shared" ref="I4:I18" si="0">CONCATENATE($B4,I$2)</f>
        <v>N11W074</v>
      </c>
      <c r="J4" s="6" t="str">
        <f>CONCATENATE($B4,J$2)</f>
        <v>N11W073</v>
      </c>
      <c r="K4" s="6" t="str">
        <f>CONCATENATE($B4,K$2)</f>
        <v>N11W072</v>
      </c>
      <c r="L4" s="5"/>
      <c r="M4" s="5"/>
      <c r="N4" s="5"/>
      <c r="O4" s="5"/>
      <c r="P4" s="5"/>
      <c r="Q4" s="5"/>
      <c r="R4" s="3" t="s">
        <v>1</v>
      </c>
      <c r="T4" s="1" t="s">
        <v>0</v>
      </c>
      <c r="U4" s="7" t="str">
        <f>CONCATENATE($T4,U$2)</f>
        <v>N12W082</v>
      </c>
    </row>
    <row r="5" spans="2:22" ht="48.75" customHeight="1" x14ac:dyDescent="0.5">
      <c r="B5" s="1" t="s">
        <v>2</v>
      </c>
      <c r="C5" s="5"/>
      <c r="D5" s="5"/>
      <c r="E5" s="5"/>
      <c r="F5" s="5"/>
      <c r="G5" s="6" t="str">
        <f t="shared" ref="G5:H16" si="1">CONCATENATE($B5,G$2)</f>
        <v>N10W076</v>
      </c>
      <c r="H5" s="8" t="str">
        <f t="shared" si="1"/>
        <v>N10W075</v>
      </c>
      <c r="I5" s="8" t="str">
        <f t="shared" si="0"/>
        <v>N10W074</v>
      </c>
      <c r="J5" s="8" t="str">
        <f t="shared" ref="J5:J18" si="2">CONCATENATE($B5,J$2)</f>
        <v>N10W073</v>
      </c>
      <c r="K5" s="5"/>
      <c r="L5" s="5"/>
      <c r="M5" s="5"/>
      <c r="N5" s="5"/>
      <c r="O5" s="5"/>
      <c r="P5" s="5"/>
      <c r="Q5" s="5"/>
      <c r="R5" s="3" t="s">
        <v>2</v>
      </c>
    </row>
    <row r="6" spans="2:22" ht="48.75" customHeight="1" x14ac:dyDescent="0.5">
      <c r="B6" s="1" t="s">
        <v>10</v>
      </c>
      <c r="C6" s="5"/>
      <c r="D6" s="5"/>
      <c r="E6" s="5"/>
      <c r="F6" s="6" t="str">
        <f t="shared" ref="F6:F16" si="3">CONCATENATE($B6,F$2)</f>
        <v>N09W077</v>
      </c>
      <c r="G6" s="6" t="str">
        <f t="shared" si="1"/>
        <v>N09W076</v>
      </c>
      <c r="H6" s="8" t="str">
        <f t="shared" si="1"/>
        <v>N09W075</v>
      </c>
      <c r="I6" s="8" t="str">
        <f t="shared" si="0"/>
        <v>N09W074</v>
      </c>
      <c r="J6" s="8" t="str">
        <f t="shared" si="2"/>
        <v>N09W073</v>
      </c>
      <c r="K6" s="5"/>
      <c r="L6" s="5"/>
      <c r="M6" s="5"/>
      <c r="N6" s="5"/>
      <c r="O6" s="5"/>
      <c r="P6" s="5"/>
      <c r="Q6" s="5"/>
      <c r="R6" s="3" t="s">
        <v>10</v>
      </c>
    </row>
    <row r="7" spans="2:22" ht="48.75" customHeight="1" x14ac:dyDescent="0.5">
      <c r="B7" s="1" t="s">
        <v>11</v>
      </c>
      <c r="C7" s="5"/>
      <c r="D7" s="5"/>
      <c r="E7" s="6" t="str">
        <f t="shared" ref="E7:E15" si="4">CONCATENATE($B7,E$2)</f>
        <v>N08W078</v>
      </c>
      <c r="F7" s="6" t="str">
        <f t="shared" si="3"/>
        <v>N08W077</v>
      </c>
      <c r="G7" s="6" t="str">
        <f t="shared" si="1"/>
        <v>N08W076</v>
      </c>
      <c r="H7" s="8" t="str">
        <f t="shared" si="1"/>
        <v>N08W075</v>
      </c>
      <c r="I7" s="8" t="str">
        <f t="shared" si="0"/>
        <v>N08W074</v>
      </c>
      <c r="J7" s="8" t="str">
        <f t="shared" si="2"/>
        <v>N08W073</v>
      </c>
      <c r="K7" s="5"/>
      <c r="L7" s="5"/>
      <c r="M7" s="5"/>
      <c r="N7" s="5"/>
      <c r="O7" s="5"/>
      <c r="P7" s="5"/>
      <c r="Q7" s="5"/>
      <c r="R7" s="3" t="s">
        <v>11</v>
      </c>
    </row>
    <row r="8" spans="2:22" ht="48.75" customHeight="1" x14ac:dyDescent="0.5">
      <c r="B8" s="1" t="s">
        <v>12</v>
      </c>
      <c r="C8" s="5"/>
      <c r="D8" s="5"/>
      <c r="E8" s="6" t="str">
        <f t="shared" si="4"/>
        <v>N07W078</v>
      </c>
      <c r="F8" s="6" t="str">
        <f t="shared" si="3"/>
        <v>N07W077</v>
      </c>
      <c r="G8" s="6" t="str">
        <f t="shared" si="1"/>
        <v>N07W076</v>
      </c>
      <c r="H8" s="8" t="str">
        <f t="shared" si="1"/>
        <v>N07W075</v>
      </c>
      <c r="I8" s="8" t="str">
        <f t="shared" si="0"/>
        <v>N07W074</v>
      </c>
      <c r="J8" s="8" t="str">
        <f t="shared" si="2"/>
        <v>N07W073</v>
      </c>
      <c r="K8" s="6" t="str">
        <f t="shared" ref="K8:L18" si="5">CONCATENATE($B8,K$2)</f>
        <v>N07W072</v>
      </c>
      <c r="L8" s="6" t="str">
        <f t="shared" si="5"/>
        <v>N07W071</v>
      </c>
      <c r="M8" s="5"/>
      <c r="N8" s="5"/>
      <c r="O8" s="5"/>
      <c r="P8" s="5"/>
      <c r="Q8" s="5"/>
      <c r="R8" s="3" t="s">
        <v>12</v>
      </c>
    </row>
    <row r="9" spans="2:22" ht="48.75" customHeight="1" x14ac:dyDescent="0.5">
      <c r="B9" s="1" t="s">
        <v>13</v>
      </c>
      <c r="C9" s="5"/>
      <c r="D9" s="5"/>
      <c r="E9" s="6" t="str">
        <f t="shared" si="4"/>
        <v>N06W078</v>
      </c>
      <c r="F9" s="6" t="str">
        <f t="shared" si="3"/>
        <v>N06W077</v>
      </c>
      <c r="G9" s="6" t="str">
        <f t="shared" si="1"/>
        <v>N06W076</v>
      </c>
      <c r="H9" s="6" t="str">
        <f t="shared" si="1"/>
        <v>N06W075</v>
      </c>
      <c r="I9" s="6" t="str">
        <f t="shared" si="0"/>
        <v>N06W074</v>
      </c>
      <c r="J9" s="6" t="str">
        <f t="shared" si="2"/>
        <v>N06W073</v>
      </c>
      <c r="K9" s="6" t="str">
        <f t="shared" si="5"/>
        <v>N06W072</v>
      </c>
      <c r="L9" s="6" t="str">
        <f t="shared" si="5"/>
        <v>N06W071</v>
      </c>
      <c r="M9" s="6" t="str">
        <f t="shared" ref="M9:O14" si="6">CONCATENATE($B9,M$2)</f>
        <v>N06W070</v>
      </c>
      <c r="N9" s="6" t="str">
        <f t="shared" si="6"/>
        <v>N06W069</v>
      </c>
      <c r="O9" s="6" t="str">
        <f t="shared" si="6"/>
        <v>N06W068</v>
      </c>
      <c r="P9" s="5"/>
      <c r="Q9" s="5"/>
      <c r="R9" s="3" t="s">
        <v>13</v>
      </c>
    </row>
    <row r="10" spans="2:22" ht="48.75" customHeight="1" x14ac:dyDescent="0.5">
      <c r="B10" s="1" t="s">
        <v>14</v>
      </c>
      <c r="C10" s="5"/>
      <c r="D10" s="5"/>
      <c r="E10" s="6" t="str">
        <f t="shared" si="4"/>
        <v>N05W078</v>
      </c>
      <c r="F10" s="6" t="str">
        <f t="shared" si="3"/>
        <v>N05W077</v>
      </c>
      <c r="G10" s="6" t="str">
        <f t="shared" si="1"/>
        <v>N05W076</v>
      </c>
      <c r="H10" s="6" t="str">
        <f t="shared" si="1"/>
        <v>N05W075</v>
      </c>
      <c r="I10" s="6" t="str">
        <f t="shared" si="0"/>
        <v>N05W074</v>
      </c>
      <c r="J10" s="6" t="str">
        <f t="shared" si="2"/>
        <v>N05W073</v>
      </c>
      <c r="K10" s="6" t="str">
        <f t="shared" si="5"/>
        <v>N05W072</v>
      </c>
      <c r="L10" s="6" t="str">
        <f t="shared" si="5"/>
        <v>N05W071</v>
      </c>
      <c r="M10" s="6" t="str">
        <f t="shared" si="6"/>
        <v>N05W070</v>
      </c>
      <c r="N10" s="6" t="str">
        <f t="shared" si="6"/>
        <v>N05W069</v>
      </c>
      <c r="O10" s="6" t="str">
        <f t="shared" si="6"/>
        <v>N05W068</v>
      </c>
      <c r="P10" s="5"/>
      <c r="Q10" s="5"/>
      <c r="R10" s="3" t="s">
        <v>14</v>
      </c>
    </row>
    <row r="11" spans="2:22" ht="48.75" customHeight="1" x14ac:dyDescent="0.5">
      <c r="B11" s="1" t="s">
        <v>15</v>
      </c>
      <c r="C11" s="5"/>
      <c r="D11" s="5"/>
      <c r="E11" s="6" t="str">
        <f t="shared" si="4"/>
        <v>N04W078</v>
      </c>
      <c r="F11" s="6" t="str">
        <f t="shared" si="3"/>
        <v>N04W077</v>
      </c>
      <c r="G11" s="6" t="str">
        <f t="shared" si="1"/>
        <v>N04W076</v>
      </c>
      <c r="H11" s="6" t="str">
        <f t="shared" si="1"/>
        <v>N04W075</v>
      </c>
      <c r="I11" s="6" t="str">
        <f t="shared" si="0"/>
        <v>N04W074</v>
      </c>
      <c r="J11" s="6" t="str">
        <f t="shared" si="2"/>
        <v>N04W073</v>
      </c>
      <c r="K11" s="6" t="str">
        <f t="shared" si="5"/>
        <v>N04W072</v>
      </c>
      <c r="L11" s="6" t="str">
        <f t="shared" si="5"/>
        <v>N04W071</v>
      </c>
      <c r="M11" s="6" t="str">
        <f t="shared" si="6"/>
        <v>N04W070</v>
      </c>
      <c r="N11" s="6" t="str">
        <f t="shared" si="6"/>
        <v>N04W069</v>
      </c>
      <c r="O11" s="6" t="str">
        <f t="shared" si="6"/>
        <v>N04W068</v>
      </c>
      <c r="P11" s="5"/>
      <c r="Q11" s="5"/>
      <c r="R11" s="3" t="s">
        <v>15</v>
      </c>
    </row>
    <row r="12" spans="2:22" ht="48.75" customHeight="1" x14ac:dyDescent="0.5">
      <c r="B12" s="1" t="s">
        <v>16</v>
      </c>
      <c r="C12" s="5"/>
      <c r="D12" s="5"/>
      <c r="E12" s="6" t="str">
        <f t="shared" si="4"/>
        <v>N03W078</v>
      </c>
      <c r="F12" s="6" t="str">
        <f t="shared" si="3"/>
        <v>N03W077</v>
      </c>
      <c r="G12" s="6" t="str">
        <f t="shared" si="1"/>
        <v>N03W076</v>
      </c>
      <c r="H12" s="6" t="str">
        <f t="shared" si="1"/>
        <v>N03W075</v>
      </c>
      <c r="I12" s="6" t="str">
        <f t="shared" si="0"/>
        <v>N03W074</v>
      </c>
      <c r="J12" s="6" t="str">
        <f t="shared" si="2"/>
        <v>N03W073</v>
      </c>
      <c r="K12" s="6" t="str">
        <f t="shared" si="5"/>
        <v>N03W072</v>
      </c>
      <c r="L12" s="6" t="str">
        <f t="shared" si="5"/>
        <v>N03W071</v>
      </c>
      <c r="M12" s="6" t="str">
        <f t="shared" si="6"/>
        <v>N03W070</v>
      </c>
      <c r="N12" s="6" t="str">
        <f t="shared" si="6"/>
        <v>N03W069</v>
      </c>
      <c r="O12" s="6" t="str">
        <f t="shared" si="6"/>
        <v>N03W068</v>
      </c>
      <c r="P12" s="5"/>
      <c r="Q12" s="5"/>
      <c r="R12" s="3" t="s">
        <v>16</v>
      </c>
    </row>
    <row r="13" spans="2:22" ht="48.75" customHeight="1" x14ac:dyDescent="0.5">
      <c r="B13" s="1" t="s">
        <v>9</v>
      </c>
      <c r="C13" s="5"/>
      <c r="D13" s="6" t="str">
        <f>CONCATENATE($B13,D$2)</f>
        <v>N02W079</v>
      </c>
      <c r="E13" s="6" t="str">
        <f t="shared" si="4"/>
        <v>N02W078</v>
      </c>
      <c r="F13" s="6" t="str">
        <f t="shared" si="3"/>
        <v>N02W077</v>
      </c>
      <c r="G13" s="6" t="str">
        <f t="shared" si="1"/>
        <v>N02W076</v>
      </c>
      <c r="H13" s="6" t="str">
        <f t="shared" si="1"/>
        <v>N02W075</v>
      </c>
      <c r="I13" s="6" t="str">
        <f t="shared" si="0"/>
        <v>N02W074</v>
      </c>
      <c r="J13" s="6" t="str">
        <f t="shared" si="2"/>
        <v>N02W073</v>
      </c>
      <c r="K13" s="6" t="str">
        <f t="shared" si="5"/>
        <v>N02W072</v>
      </c>
      <c r="L13" s="6" t="str">
        <f t="shared" si="5"/>
        <v>N02W071</v>
      </c>
      <c r="M13" s="6" t="str">
        <f t="shared" si="6"/>
        <v>N02W070</v>
      </c>
      <c r="N13" s="6" t="str">
        <f t="shared" si="6"/>
        <v>N02W069</v>
      </c>
      <c r="O13" s="6" t="str">
        <f t="shared" si="6"/>
        <v>N02W068</v>
      </c>
      <c r="P13" s="5"/>
      <c r="Q13" s="5"/>
      <c r="R13" s="3" t="s">
        <v>9</v>
      </c>
    </row>
    <row r="14" spans="2:22" ht="48.75" customHeight="1" x14ac:dyDescent="0.5">
      <c r="B14" s="1" t="s">
        <v>8</v>
      </c>
      <c r="C14" s="6" t="str">
        <f>CONCATENATE($B14,C$2)</f>
        <v>N01W080</v>
      </c>
      <c r="D14" s="6" t="str">
        <f>CONCATENATE($B14,D$2)</f>
        <v>N01W079</v>
      </c>
      <c r="E14" s="6" t="str">
        <f t="shared" si="4"/>
        <v>N01W078</v>
      </c>
      <c r="F14" s="6" t="str">
        <f t="shared" si="3"/>
        <v>N01W077</v>
      </c>
      <c r="G14" s="6" t="str">
        <f t="shared" si="1"/>
        <v>N01W076</v>
      </c>
      <c r="H14" s="6" t="str">
        <f t="shared" si="1"/>
        <v>N01W075</v>
      </c>
      <c r="I14" s="6" t="str">
        <f t="shared" si="0"/>
        <v>N01W074</v>
      </c>
      <c r="J14" s="6" t="str">
        <f t="shared" si="2"/>
        <v>N01W073</v>
      </c>
      <c r="K14" s="6" t="str">
        <f t="shared" si="5"/>
        <v>N01W072</v>
      </c>
      <c r="L14" s="6" t="str">
        <f t="shared" si="5"/>
        <v>N01W071</v>
      </c>
      <c r="M14" s="6" t="str">
        <f t="shared" si="6"/>
        <v>N01W070</v>
      </c>
      <c r="N14" s="6" t="str">
        <f t="shared" si="6"/>
        <v>N01W069</v>
      </c>
      <c r="O14" s="6" t="str">
        <f t="shared" si="6"/>
        <v>N01W068</v>
      </c>
      <c r="P14" s="6" t="str">
        <f>CONCATENATE($B14,P$2)</f>
        <v>N01W067</v>
      </c>
      <c r="Q14" s="5"/>
      <c r="R14" s="3" t="s">
        <v>8</v>
      </c>
    </row>
    <row r="15" spans="2:22" ht="48.75" customHeight="1" x14ac:dyDescent="0.5">
      <c r="B15" s="1" t="s">
        <v>160</v>
      </c>
      <c r="C15" s="5"/>
      <c r="D15" s="6" t="str">
        <f>CONCATENATE($B15,D$2)</f>
        <v>N00W079</v>
      </c>
      <c r="E15" s="6" t="str">
        <f t="shared" si="4"/>
        <v>N00W078</v>
      </c>
      <c r="F15" s="6" t="str">
        <f t="shared" si="3"/>
        <v>N00W077</v>
      </c>
      <c r="G15" s="6" t="str">
        <f t="shared" si="1"/>
        <v>N00W076</v>
      </c>
      <c r="H15" s="6" t="str">
        <f t="shared" si="1"/>
        <v>N00W075</v>
      </c>
      <c r="I15" s="6" t="str">
        <f t="shared" si="0"/>
        <v>N00W074</v>
      </c>
      <c r="J15" s="6" t="str">
        <f t="shared" si="2"/>
        <v>N00W073</v>
      </c>
      <c r="K15" s="6" t="str">
        <f t="shared" si="5"/>
        <v>N00W072</v>
      </c>
      <c r="L15" s="6" t="str">
        <f t="shared" si="5"/>
        <v>N00W071</v>
      </c>
      <c r="M15" s="6" t="str">
        <f t="shared" ref="M15:M20" si="7">CONCATENATE($B15,M$2)</f>
        <v>N00W070</v>
      </c>
      <c r="N15" s="5"/>
      <c r="O15" s="5"/>
      <c r="P15" s="5"/>
      <c r="Q15" s="5"/>
      <c r="R15" s="2">
        <v>0</v>
      </c>
    </row>
    <row r="16" spans="2:22" ht="48.75" customHeight="1" x14ac:dyDescent="0.5">
      <c r="B16" s="1" t="s">
        <v>3</v>
      </c>
      <c r="C16" s="5"/>
      <c r="D16" s="5"/>
      <c r="E16" s="5"/>
      <c r="F16" s="6" t="str">
        <f t="shared" si="3"/>
        <v>S01W077</v>
      </c>
      <c r="G16" s="6" t="str">
        <f t="shared" si="1"/>
        <v>S01W076</v>
      </c>
      <c r="H16" s="6" t="str">
        <f t="shared" si="1"/>
        <v>S01W075</v>
      </c>
      <c r="I16" s="6" t="str">
        <f t="shared" si="0"/>
        <v>S01W074</v>
      </c>
      <c r="J16" s="6" t="str">
        <f t="shared" si="2"/>
        <v>S01W073</v>
      </c>
      <c r="K16" s="6" t="str">
        <f t="shared" si="5"/>
        <v>S01W072</v>
      </c>
      <c r="L16" s="6" t="str">
        <f t="shared" si="5"/>
        <v>S01W071</v>
      </c>
      <c r="M16" s="6" t="str">
        <f t="shared" si="7"/>
        <v>S01W070</v>
      </c>
      <c r="N16" s="5"/>
      <c r="O16" s="5"/>
      <c r="P16" s="5"/>
      <c r="Q16" s="5"/>
      <c r="R16" s="3" t="s">
        <v>3</v>
      </c>
    </row>
    <row r="17" spans="2:18" ht="48.75" customHeight="1" x14ac:dyDescent="0.5">
      <c r="B17" s="1" t="s">
        <v>4</v>
      </c>
      <c r="C17" s="5"/>
      <c r="D17" s="5"/>
      <c r="E17" s="5"/>
      <c r="F17" s="5"/>
      <c r="G17" s="5"/>
      <c r="H17" s="6" t="str">
        <f>CONCATENATE($B17,H$2)</f>
        <v>S02W075</v>
      </c>
      <c r="I17" s="6" t="str">
        <f t="shared" si="0"/>
        <v>S02W074</v>
      </c>
      <c r="J17" s="6" t="str">
        <f t="shared" si="2"/>
        <v>S02W073</v>
      </c>
      <c r="K17" s="6" t="str">
        <f t="shared" si="5"/>
        <v>S02W072</v>
      </c>
      <c r="L17" s="6" t="str">
        <f t="shared" si="5"/>
        <v>S02W071</v>
      </c>
      <c r="M17" s="6" t="str">
        <f t="shared" si="7"/>
        <v>S02W070</v>
      </c>
      <c r="N17" s="5"/>
      <c r="O17" s="5"/>
      <c r="P17" s="5"/>
      <c r="Q17" s="5"/>
      <c r="R17" s="3" t="s">
        <v>4</v>
      </c>
    </row>
    <row r="18" spans="2:18" ht="48.75" customHeight="1" x14ac:dyDescent="0.5">
      <c r="B18" s="1" t="s">
        <v>5</v>
      </c>
      <c r="C18" s="5"/>
      <c r="D18" s="5"/>
      <c r="E18" s="5"/>
      <c r="F18" s="5"/>
      <c r="G18" s="5"/>
      <c r="H18" s="5"/>
      <c r="I18" s="6" t="str">
        <f t="shared" si="0"/>
        <v>S03W074</v>
      </c>
      <c r="J18" s="6" t="str">
        <f t="shared" si="2"/>
        <v>S03W073</v>
      </c>
      <c r="K18" s="6" t="str">
        <f t="shared" si="5"/>
        <v>S03W072</v>
      </c>
      <c r="L18" s="6" t="str">
        <f t="shared" si="5"/>
        <v>S03W071</v>
      </c>
      <c r="M18" s="6" t="str">
        <f t="shared" si="7"/>
        <v>S03W070</v>
      </c>
      <c r="N18" s="5"/>
      <c r="O18" s="5"/>
      <c r="P18" s="5"/>
      <c r="Q18" s="5"/>
      <c r="R18" s="3" t="s">
        <v>5</v>
      </c>
    </row>
    <row r="19" spans="2:18" ht="48.75" customHeight="1" x14ac:dyDescent="0.5">
      <c r="B19" s="1" t="s">
        <v>6</v>
      </c>
      <c r="C19" s="5"/>
      <c r="D19" s="5"/>
      <c r="E19" s="5"/>
      <c r="F19" s="5"/>
      <c r="G19" s="5"/>
      <c r="H19" s="5"/>
      <c r="I19" s="5"/>
      <c r="J19" s="5"/>
      <c r="K19" s="5"/>
      <c r="L19" s="6" t="str">
        <f>CONCATENATE($B19,L$2)</f>
        <v>S04W071</v>
      </c>
      <c r="M19" s="6" t="str">
        <f t="shared" si="7"/>
        <v>S04W070</v>
      </c>
      <c r="N19" s="5"/>
      <c r="O19" s="5"/>
      <c r="P19" s="5"/>
      <c r="Q19" s="5"/>
      <c r="R19" s="3" t="s">
        <v>6</v>
      </c>
    </row>
    <row r="20" spans="2:18" ht="48.75" customHeight="1" x14ac:dyDescent="0.5">
      <c r="B20" s="1" t="s">
        <v>7</v>
      </c>
      <c r="C20" s="5"/>
      <c r="D20" s="5"/>
      <c r="E20" s="5"/>
      <c r="F20" s="5"/>
      <c r="G20" s="5"/>
      <c r="H20" s="5"/>
      <c r="I20" s="5"/>
      <c r="J20" s="5"/>
      <c r="K20" s="5"/>
      <c r="L20" s="6" t="str">
        <f>CONCATENATE($B20,L$2)</f>
        <v>S05W071</v>
      </c>
      <c r="M20" s="6" t="str">
        <f t="shared" si="7"/>
        <v>S05W070</v>
      </c>
      <c r="N20" s="5"/>
      <c r="O20" s="5"/>
      <c r="P20" s="5"/>
      <c r="Q20" s="5"/>
      <c r="R20" s="3" t="s">
        <v>7</v>
      </c>
    </row>
    <row r="21" spans="2:18" ht="26.15" x14ac:dyDescent="0.5">
      <c r="C21" s="9" t="s">
        <v>17</v>
      </c>
      <c r="D21" s="9" t="s">
        <v>18</v>
      </c>
      <c r="E21" s="9" t="s">
        <v>19</v>
      </c>
      <c r="F21" s="9" t="s">
        <v>20</v>
      </c>
      <c r="G21" s="9" t="s">
        <v>21</v>
      </c>
      <c r="H21" s="9" t="s">
        <v>22</v>
      </c>
      <c r="I21" s="9" t="s">
        <v>23</v>
      </c>
      <c r="J21" s="9" t="s">
        <v>24</v>
      </c>
      <c r="K21" s="9" t="s">
        <v>25</v>
      </c>
      <c r="L21" s="9" t="s">
        <v>26</v>
      </c>
      <c r="M21" s="9" t="s">
        <v>27</v>
      </c>
      <c r="N21" s="9" t="s">
        <v>28</v>
      </c>
      <c r="O21" s="9" t="s">
        <v>29</v>
      </c>
      <c r="P21" s="9" t="s">
        <v>30</v>
      </c>
      <c r="Q21" s="9" t="s">
        <v>31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4"/>
  <sheetViews>
    <sheetView showGridLines="0" tabSelected="1" zoomScale="115" zoomScaleNormal="115" workbookViewId="0">
      <pane ySplit="1" topLeftCell="A2" activePane="bottomLeft" state="frozen"/>
      <selection pane="bottomLeft" activeCell="A2" sqref="A2"/>
    </sheetView>
  </sheetViews>
  <sheetFormatPr defaultColWidth="8.84375" defaultRowHeight="17.149999999999999" x14ac:dyDescent="0.55000000000000004"/>
  <cols>
    <col min="1" max="1" width="15.69140625" style="11" customWidth="1"/>
    <col min="2" max="2" width="36.3828125" style="11" customWidth="1"/>
    <col min="3" max="3" width="34.921875" style="11" customWidth="1"/>
    <col min="4" max="4" width="96.3828125" style="11" bestFit="1" customWidth="1"/>
    <col min="5" max="16384" width="8.84375" style="11"/>
  </cols>
  <sheetData>
    <row r="1" spans="1:4" x14ac:dyDescent="0.55000000000000004">
      <c r="A1" s="10" t="s">
        <v>179</v>
      </c>
      <c r="B1" s="10" t="s">
        <v>188</v>
      </c>
      <c r="C1" s="10" t="s">
        <v>189</v>
      </c>
      <c r="D1" s="10" t="s">
        <v>190</v>
      </c>
    </row>
    <row r="2" spans="1:4" x14ac:dyDescent="0.55000000000000004">
      <c r="A2" s="11" t="s">
        <v>159</v>
      </c>
      <c r="B2" s="11" t="str">
        <f>CONCATENATE("ASTGTM2_",A2,".zip")</f>
        <v>ASTGTM2_N00W070.zip</v>
      </c>
      <c r="C2" s="11" t="str">
        <f>CONCATENATE("ASTGTMV003_",A2,"_dem.zip")</f>
        <v>ASTGTMV003_N00W070_dem.zip</v>
      </c>
      <c r="D2" s="11" t="str">
        <f>CONCATENATE("https://data.lpdaac.earthdatacloud.nasa.gov/lp-prod-protected/ASTGTM.003/ASTGTMV003_",A2,"_dem.zip")</f>
        <v>https://data.lpdaac.earthdatacloud.nasa.gov/lp-prod-protected/ASTGTM.003/ASTGTMV003_N00W070_dem.zip</v>
      </c>
    </row>
    <row r="3" spans="1:4" x14ac:dyDescent="0.55000000000000004">
      <c r="A3" s="11" t="s">
        <v>161</v>
      </c>
      <c r="B3" s="11" t="str">
        <f>CONCATENATE("ASTGTM2_",A3,".zip")</f>
        <v>ASTGTM2_N00W071.zip</v>
      </c>
      <c r="C3" s="11" t="str">
        <f t="shared" ref="C3:D66" si="0">CONCATENATE("ASTGTMV003_",A3,"_dem.zip")</f>
        <v>ASTGTMV003_N00W071_dem.zip</v>
      </c>
      <c r="D3" s="11" t="str">
        <f t="shared" ref="D3:D66" si="1">CONCATENATE("https://data.lpdaac.earthdatacloud.nasa.gov/lp-prod-protected/ASTGTM.003/ASTGTMV003_",A3,"_dem.zip")</f>
        <v>https://data.lpdaac.earthdatacloud.nasa.gov/lp-prod-protected/ASTGTM.003/ASTGTMV003_N00W071_dem.zip</v>
      </c>
    </row>
    <row r="4" spans="1:4" x14ac:dyDescent="0.55000000000000004">
      <c r="A4" s="11" t="s">
        <v>162</v>
      </c>
      <c r="B4" s="11" t="str">
        <f t="shared" ref="B2:B33" si="2">CONCATENATE("ASTGTM2_",A4,".zip")</f>
        <v>ASTGTM2_N00W072.zip</v>
      </c>
      <c r="C4" s="11" t="str">
        <f t="shared" si="0"/>
        <v>ASTGTMV003_N00W072_dem.zip</v>
      </c>
      <c r="D4" s="11" t="str">
        <f t="shared" si="1"/>
        <v>https://data.lpdaac.earthdatacloud.nasa.gov/lp-prod-protected/ASTGTM.003/ASTGTMV003_N00W072_dem.zip</v>
      </c>
    </row>
    <row r="5" spans="1:4" x14ac:dyDescent="0.55000000000000004">
      <c r="A5" s="11" t="s">
        <v>163</v>
      </c>
      <c r="B5" s="11" t="str">
        <f t="shared" si="2"/>
        <v>ASTGTM2_N00W073.zip</v>
      </c>
      <c r="C5" s="11" t="str">
        <f t="shared" si="0"/>
        <v>ASTGTMV003_N00W073_dem.zip</v>
      </c>
      <c r="D5" s="11" t="str">
        <f t="shared" si="1"/>
        <v>https://data.lpdaac.earthdatacloud.nasa.gov/lp-prod-protected/ASTGTM.003/ASTGTMV003_N00W073_dem.zip</v>
      </c>
    </row>
    <row r="6" spans="1:4" x14ac:dyDescent="0.55000000000000004">
      <c r="A6" s="11" t="s">
        <v>164</v>
      </c>
      <c r="B6" s="11" t="str">
        <f t="shared" si="2"/>
        <v>ASTGTM2_N00W074.zip</v>
      </c>
      <c r="C6" s="11" t="str">
        <f t="shared" si="0"/>
        <v>ASTGTMV003_N00W074_dem.zip</v>
      </c>
      <c r="D6" s="11" t="str">
        <f t="shared" si="1"/>
        <v>https://data.lpdaac.earthdatacloud.nasa.gov/lp-prod-protected/ASTGTM.003/ASTGTMV003_N00W074_dem.zip</v>
      </c>
    </row>
    <row r="7" spans="1:4" x14ac:dyDescent="0.55000000000000004">
      <c r="A7" s="11" t="s">
        <v>165</v>
      </c>
      <c r="B7" s="11" t="str">
        <f t="shared" si="2"/>
        <v>ASTGTM2_N00W075.zip</v>
      </c>
      <c r="C7" s="11" t="str">
        <f t="shared" si="0"/>
        <v>ASTGTMV003_N00W075_dem.zip</v>
      </c>
      <c r="D7" s="11" t="str">
        <f t="shared" si="1"/>
        <v>https://data.lpdaac.earthdatacloud.nasa.gov/lp-prod-protected/ASTGTM.003/ASTGTMV003_N00W075_dem.zip</v>
      </c>
    </row>
    <row r="8" spans="1:4" x14ac:dyDescent="0.55000000000000004">
      <c r="A8" s="11" t="s">
        <v>166</v>
      </c>
      <c r="B8" s="11" t="str">
        <f t="shared" si="2"/>
        <v>ASTGTM2_N00W076.zip</v>
      </c>
      <c r="C8" s="11" t="str">
        <f t="shared" si="0"/>
        <v>ASTGTMV003_N00W076_dem.zip</v>
      </c>
      <c r="D8" s="11" t="str">
        <f t="shared" si="1"/>
        <v>https://data.lpdaac.earthdatacloud.nasa.gov/lp-prod-protected/ASTGTM.003/ASTGTMV003_N00W076_dem.zip</v>
      </c>
    </row>
    <row r="9" spans="1:4" x14ac:dyDescent="0.55000000000000004">
      <c r="A9" s="11" t="s">
        <v>167</v>
      </c>
      <c r="B9" s="11" t="str">
        <f t="shared" si="2"/>
        <v>ASTGTM2_N00W077.zip</v>
      </c>
      <c r="C9" s="11" t="str">
        <f t="shared" si="0"/>
        <v>ASTGTMV003_N00W077_dem.zip</v>
      </c>
      <c r="D9" s="11" t="str">
        <f t="shared" si="1"/>
        <v>https://data.lpdaac.earthdatacloud.nasa.gov/lp-prod-protected/ASTGTM.003/ASTGTMV003_N00W077_dem.zip</v>
      </c>
    </row>
    <row r="10" spans="1:4" x14ac:dyDescent="0.55000000000000004">
      <c r="A10" s="11" t="s">
        <v>168</v>
      </c>
      <c r="B10" s="11" t="str">
        <f t="shared" si="2"/>
        <v>ASTGTM2_N00W078.zip</v>
      </c>
      <c r="C10" s="11" t="str">
        <f t="shared" si="0"/>
        <v>ASTGTMV003_N00W078_dem.zip</v>
      </c>
      <c r="D10" s="11" t="str">
        <f t="shared" si="1"/>
        <v>https://data.lpdaac.earthdatacloud.nasa.gov/lp-prod-protected/ASTGTM.003/ASTGTMV003_N00W078_dem.zip</v>
      </c>
    </row>
    <row r="11" spans="1:4" x14ac:dyDescent="0.55000000000000004">
      <c r="A11" s="11" t="s">
        <v>169</v>
      </c>
      <c r="B11" s="11" t="str">
        <f t="shared" si="2"/>
        <v>ASTGTM2_N00W079.zip</v>
      </c>
      <c r="C11" s="11" t="str">
        <f t="shared" si="0"/>
        <v>ASTGTMV003_N00W079_dem.zip</v>
      </c>
      <c r="D11" s="11" t="str">
        <f t="shared" si="1"/>
        <v>https://data.lpdaac.earthdatacloud.nasa.gov/lp-prod-protected/ASTGTM.003/ASTGTMV003_N00W079_dem.zip</v>
      </c>
    </row>
    <row r="12" spans="1:4" x14ac:dyDescent="0.55000000000000004">
      <c r="A12" s="11" t="s">
        <v>129</v>
      </c>
      <c r="B12" s="11" t="str">
        <f t="shared" si="2"/>
        <v>ASTGTM2_N01W067.zip</v>
      </c>
      <c r="C12" s="11" t="str">
        <f t="shared" si="0"/>
        <v>ASTGTMV003_N01W067_dem.zip</v>
      </c>
      <c r="D12" s="11" t="str">
        <f t="shared" si="1"/>
        <v>https://data.lpdaac.earthdatacloud.nasa.gov/lp-prod-protected/ASTGTM.003/ASTGTMV003_N01W067_dem.zip</v>
      </c>
    </row>
    <row r="13" spans="1:4" x14ac:dyDescent="0.55000000000000004">
      <c r="A13" s="11" t="s">
        <v>128</v>
      </c>
      <c r="B13" s="11" t="str">
        <f t="shared" si="2"/>
        <v>ASTGTM2_N01W068.zip</v>
      </c>
      <c r="C13" s="11" t="str">
        <f t="shared" si="0"/>
        <v>ASTGTMV003_N01W068_dem.zip</v>
      </c>
      <c r="D13" s="11" t="str">
        <f t="shared" si="1"/>
        <v>https://data.lpdaac.earthdatacloud.nasa.gov/lp-prod-protected/ASTGTM.003/ASTGTMV003_N01W068_dem.zip</v>
      </c>
    </row>
    <row r="14" spans="1:4" x14ac:dyDescent="0.55000000000000004">
      <c r="A14" s="11" t="s">
        <v>127</v>
      </c>
      <c r="B14" s="11" t="str">
        <f t="shared" si="2"/>
        <v>ASTGTM2_N01W069.zip</v>
      </c>
      <c r="C14" s="11" t="str">
        <f t="shared" si="0"/>
        <v>ASTGTMV003_N01W069_dem.zip</v>
      </c>
      <c r="D14" s="11" t="str">
        <f t="shared" si="1"/>
        <v>https://data.lpdaac.earthdatacloud.nasa.gov/lp-prod-protected/ASTGTM.003/ASTGTMV003_N01W069_dem.zip</v>
      </c>
    </row>
    <row r="15" spans="1:4" x14ac:dyDescent="0.55000000000000004">
      <c r="A15" s="11" t="s">
        <v>126</v>
      </c>
      <c r="B15" s="11" t="str">
        <f t="shared" si="2"/>
        <v>ASTGTM2_N01W070.zip</v>
      </c>
      <c r="C15" s="11" t="str">
        <f t="shared" si="0"/>
        <v>ASTGTMV003_N01W070_dem.zip</v>
      </c>
      <c r="D15" s="11" t="str">
        <f t="shared" si="1"/>
        <v>https://data.lpdaac.earthdatacloud.nasa.gov/lp-prod-protected/ASTGTM.003/ASTGTMV003_N01W070_dem.zip</v>
      </c>
    </row>
    <row r="16" spans="1:4" x14ac:dyDescent="0.55000000000000004">
      <c r="A16" s="11" t="s">
        <v>125</v>
      </c>
      <c r="B16" s="11" t="str">
        <f t="shared" si="2"/>
        <v>ASTGTM2_N01W071.zip</v>
      </c>
      <c r="C16" s="11" t="str">
        <f t="shared" si="0"/>
        <v>ASTGTMV003_N01W071_dem.zip</v>
      </c>
      <c r="D16" s="11" t="str">
        <f t="shared" si="1"/>
        <v>https://data.lpdaac.earthdatacloud.nasa.gov/lp-prod-protected/ASTGTM.003/ASTGTMV003_N01W071_dem.zip</v>
      </c>
    </row>
    <row r="17" spans="1:4" x14ac:dyDescent="0.55000000000000004">
      <c r="A17" s="11" t="s">
        <v>124</v>
      </c>
      <c r="B17" s="11" t="str">
        <f t="shared" si="2"/>
        <v>ASTGTM2_N01W072.zip</v>
      </c>
      <c r="C17" s="11" t="str">
        <f t="shared" si="0"/>
        <v>ASTGTMV003_N01W072_dem.zip</v>
      </c>
      <c r="D17" s="11" t="str">
        <f t="shared" si="1"/>
        <v>https://data.lpdaac.earthdatacloud.nasa.gov/lp-prod-protected/ASTGTM.003/ASTGTMV003_N01W072_dem.zip</v>
      </c>
    </row>
    <row r="18" spans="1:4" x14ac:dyDescent="0.55000000000000004">
      <c r="A18" s="11" t="s">
        <v>123</v>
      </c>
      <c r="B18" s="11" t="str">
        <f t="shared" si="2"/>
        <v>ASTGTM2_N01W073.zip</v>
      </c>
      <c r="C18" s="11" t="str">
        <f t="shared" si="0"/>
        <v>ASTGTMV003_N01W073_dem.zip</v>
      </c>
      <c r="D18" s="11" t="str">
        <f t="shared" si="1"/>
        <v>https://data.lpdaac.earthdatacloud.nasa.gov/lp-prod-protected/ASTGTM.003/ASTGTMV003_N01W073_dem.zip</v>
      </c>
    </row>
    <row r="19" spans="1:4" x14ac:dyDescent="0.55000000000000004">
      <c r="A19" s="11" t="s">
        <v>122</v>
      </c>
      <c r="B19" s="11" t="str">
        <f t="shared" si="2"/>
        <v>ASTGTM2_N01W074.zip</v>
      </c>
      <c r="C19" s="11" t="str">
        <f t="shared" si="0"/>
        <v>ASTGTMV003_N01W074_dem.zip</v>
      </c>
      <c r="D19" s="11" t="str">
        <f t="shared" si="1"/>
        <v>https://data.lpdaac.earthdatacloud.nasa.gov/lp-prod-protected/ASTGTM.003/ASTGTMV003_N01W074_dem.zip</v>
      </c>
    </row>
    <row r="20" spans="1:4" x14ac:dyDescent="0.55000000000000004">
      <c r="A20" s="11" t="s">
        <v>121</v>
      </c>
      <c r="B20" s="11" t="str">
        <f t="shared" si="2"/>
        <v>ASTGTM2_N01W075.zip</v>
      </c>
      <c r="C20" s="11" t="str">
        <f t="shared" si="0"/>
        <v>ASTGTMV003_N01W075_dem.zip</v>
      </c>
      <c r="D20" s="11" t="str">
        <f t="shared" si="1"/>
        <v>https://data.lpdaac.earthdatacloud.nasa.gov/lp-prod-protected/ASTGTM.003/ASTGTMV003_N01W075_dem.zip</v>
      </c>
    </row>
    <row r="21" spans="1:4" x14ac:dyDescent="0.55000000000000004">
      <c r="A21" s="11" t="s">
        <v>120</v>
      </c>
      <c r="B21" s="11" t="str">
        <f t="shared" si="2"/>
        <v>ASTGTM2_N01W076.zip</v>
      </c>
      <c r="C21" s="11" t="str">
        <f t="shared" si="0"/>
        <v>ASTGTMV003_N01W076_dem.zip</v>
      </c>
      <c r="D21" s="11" t="str">
        <f t="shared" si="1"/>
        <v>https://data.lpdaac.earthdatacloud.nasa.gov/lp-prod-protected/ASTGTM.003/ASTGTMV003_N01W076_dem.zip</v>
      </c>
    </row>
    <row r="22" spans="1:4" x14ac:dyDescent="0.55000000000000004">
      <c r="A22" s="11" t="s">
        <v>119</v>
      </c>
      <c r="B22" s="11" t="str">
        <f t="shared" si="2"/>
        <v>ASTGTM2_N01W077.zip</v>
      </c>
      <c r="C22" s="11" t="str">
        <f t="shared" si="0"/>
        <v>ASTGTMV003_N01W077_dem.zip</v>
      </c>
      <c r="D22" s="11" t="str">
        <f t="shared" si="1"/>
        <v>https://data.lpdaac.earthdatacloud.nasa.gov/lp-prod-protected/ASTGTM.003/ASTGTMV003_N01W077_dem.zip</v>
      </c>
    </row>
    <row r="23" spans="1:4" x14ac:dyDescent="0.55000000000000004">
      <c r="A23" s="11" t="s">
        <v>118</v>
      </c>
      <c r="B23" s="11" t="str">
        <f t="shared" si="2"/>
        <v>ASTGTM2_N01W078.zip</v>
      </c>
      <c r="C23" s="11" t="str">
        <f t="shared" si="0"/>
        <v>ASTGTMV003_N01W078_dem.zip</v>
      </c>
      <c r="D23" s="11" t="str">
        <f t="shared" si="1"/>
        <v>https://data.lpdaac.earthdatacloud.nasa.gov/lp-prod-protected/ASTGTM.003/ASTGTMV003_N01W078_dem.zip</v>
      </c>
    </row>
    <row r="24" spans="1:4" x14ac:dyDescent="0.55000000000000004">
      <c r="A24" s="11" t="s">
        <v>117</v>
      </c>
      <c r="B24" s="11" t="str">
        <f t="shared" si="2"/>
        <v>ASTGTM2_N01W079.zip</v>
      </c>
      <c r="C24" s="11" t="str">
        <f t="shared" si="0"/>
        <v>ASTGTMV003_N01W079_dem.zip</v>
      </c>
      <c r="D24" s="11" t="str">
        <f t="shared" si="1"/>
        <v>https://data.lpdaac.earthdatacloud.nasa.gov/lp-prod-protected/ASTGTM.003/ASTGTMV003_N01W079_dem.zip</v>
      </c>
    </row>
    <row r="25" spans="1:4" x14ac:dyDescent="0.55000000000000004">
      <c r="A25" s="11" t="s">
        <v>116</v>
      </c>
      <c r="B25" s="11" t="str">
        <f t="shared" si="2"/>
        <v>ASTGTM2_N01W080.zip</v>
      </c>
      <c r="C25" s="11" t="str">
        <f t="shared" si="0"/>
        <v>ASTGTMV003_N01W080_dem.zip</v>
      </c>
      <c r="D25" s="11" t="str">
        <f t="shared" si="1"/>
        <v>https://data.lpdaac.earthdatacloud.nasa.gov/lp-prod-protected/ASTGTM.003/ASTGTMV003_N01W080_dem.zip</v>
      </c>
    </row>
    <row r="26" spans="1:4" x14ac:dyDescent="0.55000000000000004">
      <c r="A26" s="11" t="s">
        <v>115</v>
      </c>
      <c r="B26" s="11" t="str">
        <f t="shared" si="2"/>
        <v>ASTGTM2_N02W068.zip</v>
      </c>
      <c r="C26" s="11" t="str">
        <f t="shared" si="0"/>
        <v>ASTGTMV003_N02W068_dem.zip</v>
      </c>
      <c r="D26" s="11" t="str">
        <f t="shared" si="1"/>
        <v>https://data.lpdaac.earthdatacloud.nasa.gov/lp-prod-protected/ASTGTM.003/ASTGTMV003_N02W068_dem.zip</v>
      </c>
    </row>
    <row r="27" spans="1:4" x14ac:dyDescent="0.55000000000000004">
      <c r="A27" s="11" t="s">
        <v>114</v>
      </c>
      <c r="B27" s="11" t="str">
        <f t="shared" si="2"/>
        <v>ASTGTM2_N02W069.zip</v>
      </c>
      <c r="C27" s="11" t="str">
        <f t="shared" si="0"/>
        <v>ASTGTMV003_N02W069_dem.zip</v>
      </c>
      <c r="D27" s="11" t="str">
        <f t="shared" si="1"/>
        <v>https://data.lpdaac.earthdatacloud.nasa.gov/lp-prod-protected/ASTGTM.003/ASTGTMV003_N02W069_dem.zip</v>
      </c>
    </row>
    <row r="28" spans="1:4" x14ac:dyDescent="0.55000000000000004">
      <c r="A28" s="11" t="s">
        <v>113</v>
      </c>
      <c r="B28" s="11" t="str">
        <f t="shared" si="2"/>
        <v>ASTGTM2_N02W070.zip</v>
      </c>
      <c r="C28" s="11" t="str">
        <f t="shared" si="0"/>
        <v>ASTGTMV003_N02W070_dem.zip</v>
      </c>
      <c r="D28" s="11" t="str">
        <f t="shared" si="1"/>
        <v>https://data.lpdaac.earthdatacloud.nasa.gov/lp-prod-protected/ASTGTM.003/ASTGTMV003_N02W070_dem.zip</v>
      </c>
    </row>
    <row r="29" spans="1:4" x14ac:dyDescent="0.55000000000000004">
      <c r="A29" s="11" t="s">
        <v>112</v>
      </c>
      <c r="B29" s="11" t="str">
        <f t="shared" si="2"/>
        <v>ASTGTM2_N02W071.zip</v>
      </c>
      <c r="C29" s="11" t="str">
        <f t="shared" si="0"/>
        <v>ASTGTMV003_N02W071_dem.zip</v>
      </c>
      <c r="D29" s="11" t="str">
        <f t="shared" si="1"/>
        <v>https://data.lpdaac.earthdatacloud.nasa.gov/lp-prod-protected/ASTGTM.003/ASTGTMV003_N02W071_dem.zip</v>
      </c>
    </row>
    <row r="30" spans="1:4" x14ac:dyDescent="0.55000000000000004">
      <c r="A30" s="11" t="s">
        <v>111</v>
      </c>
      <c r="B30" s="11" t="str">
        <f t="shared" si="2"/>
        <v>ASTGTM2_N02W072.zip</v>
      </c>
      <c r="C30" s="11" t="str">
        <f t="shared" si="0"/>
        <v>ASTGTMV003_N02W072_dem.zip</v>
      </c>
      <c r="D30" s="11" t="str">
        <f t="shared" si="1"/>
        <v>https://data.lpdaac.earthdatacloud.nasa.gov/lp-prod-protected/ASTGTM.003/ASTGTMV003_N02W072_dem.zip</v>
      </c>
    </row>
    <row r="31" spans="1:4" x14ac:dyDescent="0.55000000000000004">
      <c r="A31" s="11" t="s">
        <v>110</v>
      </c>
      <c r="B31" s="11" t="str">
        <f t="shared" si="2"/>
        <v>ASTGTM2_N02W073.zip</v>
      </c>
      <c r="C31" s="11" t="str">
        <f t="shared" si="0"/>
        <v>ASTGTMV003_N02W073_dem.zip</v>
      </c>
      <c r="D31" s="11" t="str">
        <f t="shared" si="1"/>
        <v>https://data.lpdaac.earthdatacloud.nasa.gov/lp-prod-protected/ASTGTM.003/ASTGTMV003_N02W073_dem.zip</v>
      </c>
    </row>
    <row r="32" spans="1:4" x14ac:dyDescent="0.55000000000000004">
      <c r="A32" s="11" t="s">
        <v>109</v>
      </c>
      <c r="B32" s="11" t="str">
        <f t="shared" si="2"/>
        <v>ASTGTM2_N02W074.zip</v>
      </c>
      <c r="C32" s="11" t="str">
        <f t="shared" si="0"/>
        <v>ASTGTMV003_N02W074_dem.zip</v>
      </c>
      <c r="D32" s="11" t="str">
        <f t="shared" si="1"/>
        <v>https://data.lpdaac.earthdatacloud.nasa.gov/lp-prod-protected/ASTGTM.003/ASTGTMV003_N02W074_dem.zip</v>
      </c>
    </row>
    <row r="33" spans="1:4" x14ac:dyDescent="0.55000000000000004">
      <c r="A33" s="11" t="s">
        <v>108</v>
      </c>
      <c r="B33" s="11" t="str">
        <f t="shared" si="2"/>
        <v>ASTGTM2_N02W075.zip</v>
      </c>
      <c r="C33" s="11" t="str">
        <f t="shared" si="0"/>
        <v>ASTGTMV003_N02W075_dem.zip</v>
      </c>
      <c r="D33" s="11" t="str">
        <f t="shared" si="1"/>
        <v>https://data.lpdaac.earthdatacloud.nasa.gov/lp-prod-protected/ASTGTM.003/ASTGTMV003_N02W075_dem.zip</v>
      </c>
    </row>
    <row r="34" spans="1:4" x14ac:dyDescent="0.55000000000000004">
      <c r="A34" s="11" t="s">
        <v>107</v>
      </c>
      <c r="B34" s="11" t="str">
        <f t="shared" ref="B34:B65" si="3">CONCATENATE("ASTGTM2_",A34,".zip")</f>
        <v>ASTGTM2_N02W076.zip</v>
      </c>
      <c r="C34" s="11" t="str">
        <f t="shared" si="0"/>
        <v>ASTGTMV003_N02W076_dem.zip</v>
      </c>
      <c r="D34" s="11" t="str">
        <f t="shared" si="1"/>
        <v>https://data.lpdaac.earthdatacloud.nasa.gov/lp-prod-protected/ASTGTM.003/ASTGTMV003_N02W076_dem.zip</v>
      </c>
    </row>
    <row r="35" spans="1:4" x14ac:dyDescent="0.55000000000000004">
      <c r="A35" s="11" t="s">
        <v>106</v>
      </c>
      <c r="B35" s="11" t="str">
        <f t="shared" si="3"/>
        <v>ASTGTM2_N02W077.zip</v>
      </c>
      <c r="C35" s="11" t="str">
        <f t="shared" si="0"/>
        <v>ASTGTMV003_N02W077_dem.zip</v>
      </c>
      <c r="D35" s="11" t="str">
        <f t="shared" si="1"/>
        <v>https://data.lpdaac.earthdatacloud.nasa.gov/lp-prod-protected/ASTGTM.003/ASTGTMV003_N02W077_dem.zip</v>
      </c>
    </row>
    <row r="36" spans="1:4" x14ac:dyDescent="0.55000000000000004">
      <c r="A36" s="11" t="s">
        <v>105</v>
      </c>
      <c r="B36" s="11" t="str">
        <f t="shared" si="3"/>
        <v>ASTGTM2_N02W078.zip</v>
      </c>
      <c r="C36" s="11" t="str">
        <f t="shared" si="0"/>
        <v>ASTGTMV003_N02W078_dem.zip</v>
      </c>
      <c r="D36" s="11" t="str">
        <f t="shared" si="1"/>
        <v>https://data.lpdaac.earthdatacloud.nasa.gov/lp-prod-protected/ASTGTM.003/ASTGTMV003_N02W078_dem.zip</v>
      </c>
    </row>
    <row r="37" spans="1:4" x14ac:dyDescent="0.55000000000000004">
      <c r="A37" s="11" t="s">
        <v>104</v>
      </c>
      <c r="B37" s="11" t="str">
        <f t="shared" si="3"/>
        <v>ASTGTM2_N02W079.zip</v>
      </c>
      <c r="C37" s="11" t="str">
        <f t="shared" si="0"/>
        <v>ASTGTMV003_N02W079_dem.zip</v>
      </c>
      <c r="D37" s="11" t="str">
        <f t="shared" si="1"/>
        <v>https://data.lpdaac.earthdatacloud.nasa.gov/lp-prod-protected/ASTGTM.003/ASTGTMV003_N02W079_dem.zip</v>
      </c>
    </row>
    <row r="38" spans="1:4" x14ac:dyDescent="0.55000000000000004">
      <c r="A38" s="11" t="s">
        <v>103</v>
      </c>
      <c r="B38" s="11" t="str">
        <f t="shared" si="3"/>
        <v>ASTGTM2_N03W068.zip</v>
      </c>
      <c r="C38" s="11" t="str">
        <f t="shared" si="0"/>
        <v>ASTGTMV003_N03W068_dem.zip</v>
      </c>
      <c r="D38" s="11" t="str">
        <f t="shared" si="1"/>
        <v>https://data.lpdaac.earthdatacloud.nasa.gov/lp-prod-protected/ASTGTM.003/ASTGTMV003_N03W068_dem.zip</v>
      </c>
    </row>
    <row r="39" spans="1:4" x14ac:dyDescent="0.55000000000000004">
      <c r="A39" s="11" t="s">
        <v>102</v>
      </c>
      <c r="B39" s="11" t="str">
        <f t="shared" si="3"/>
        <v>ASTGTM2_N03W069.zip</v>
      </c>
      <c r="C39" s="11" t="str">
        <f t="shared" si="0"/>
        <v>ASTGTMV003_N03W069_dem.zip</v>
      </c>
      <c r="D39" s="11" t="str">
        <f t="shared" si="1"/>
        <v>https://data.lpdaac.earthdatacloud.nasa.gov/lp-prod-protected/ASTGTM.003/ASTGTMV003_N03W069_dem.zip</v>
      </c>
    </row>
    <row r="40" spans="1:4" x14ac:dyDescent="0.55000000000000004">
      <c r="A40" s="11" t="s">
        <v>101</v>
      </c>
      <c r="B40" s="11" t="str">
        <f t="shared" si="3"/>
        <v>ASTGTM2_N03W070.zip</v>
      </c>
      <c r="C40" s="11" t="str">
        <f t="shared" si="0"/>
        <v>ASTGTMV003_N03W070_dem.zip</v>
      </c>
      <c r="D40" s="11" t="str">
        <f t="shared" si="1"/>
        <v>https://data.lpdaac.earthdatacloud.nasa.gov/lp-prod-protected/ASTGTM.003/ASTGTMV003_N03W070_dem.zip</v>
      </c>
    </row>
    <row r="41" spans="1:4" x14ac:dyDescent="0.55000000000000004">
      <c r="A41" s="11" t="s">
        <v>100</v>
      </c>
      <c r="B41" s="11" t="str">
        <f t="shared" si="3"/>
        <v>ASTGTM2_N03W071.zip</v>
      </c>
      <c r="C41" s="11" t="str">
        <f t="shared" si="0"/>
        <v>ASTGTMV003_N03W071_dem.zip</v>
      </c>
      <c r="D41" s="11" t="str">
        <f t="shared" si="1"/>
        <v>https://data.lpdaac.earthdatacloud.nasa.gov/lp-prod-protected/ASTGTM.003/ASTGTMV003_N03W071_dem.zip</v>
      </c>
    </row>
    <row r="42" spans="1:4" x14ac:dyDescent="0.55000000000000004">
      <c r="A42" s="11" t="s">
        <v>99</v>
      </c>
      <c r="B42" s="11" t="str">
        <f t="shared" si="3"/>
        <v>ASTGTM2_N03W072.zip</v>
      </c>
      <c r="C42" s="11" t="str">
        <f t="shared" si="0"/>
        <v>ASTGTMV003_N03W072_dem.zip</v>
      </c>
      <c r="D42" s="11" t="str">
        <f t="shared" si="1"/>
        <v>https://data.lpdaac.earthdatacloud.nasa.gov/lp-prod-protected/ASTGTM.003/ASTGTMV003_N03W072_dem.zip</v>
      </c>
    </row>
    <row r="43" spans="1:4" x14ac:dyDescent="0.55000000000000004">
      <c r="A43" s="11" t="s">
        <v>98</v>
      </c>
      <c r="B43" s="11" t="str">
        <f t="shared" si="3"/>
        <v>ASTGTM2_N03W073.zip</v>
      </c>
      <c r="C43" s="11" t="str">
        <f t="shared" si="0"/>
        <v>ASTGTMV003_N03W073_dem.zip</v>
      </c>
      <c r="D43" s="11" t="str">
        <f t="shared" si="1"/>
        <v>https://data.lpdaac.earthdatacloud.nasa.gov/lp-prod-protected/ASTGTM.003/ASTGTMV003_N03W073_dem.zip</v>
      </c>
    </row>
    <row r="44" spans="1:4" x14ac:dyDescent="0.55000000000000004">
      <c r="A44" s="11" t="s">
        <v>97</v>
      </c>
      <c r="B44" s="11" t="str">
        <f t="shared" si="3"/>
        <v>ASTGTM2_N03W074.zip</v>
      </c>
      <c r="C44" s="11" t="str">
        <f t="shared" si="0"/>
        <v>ASTGTMV003_N03W074_dem.zip</v>
      </c>
      <c r="D44" s="11" t="str">
        <f t="shared" si="1"/>
        <v>https://data.lpdaac.earthdatacloud.nasa.gov/lp-prod-protected/ASTGTM.003/ASTGTMV003_N03W074_dem.zip</v>
      </c>
    </row>
    <row r="45" spans="1:4" x14ac:dyDescent="0.55000000000000004">
      <c r="A45" s="11" t="s">
        <v>96</v>
      </c>
      <c r="B45" s="11" t="str">
        <f t="shared" si="3"/>
        <v>ASTGTM2_N03W075.zip</v>
      </c>
      <c r="C45" s="11" t="str">
        <f t="shared" si="0"/>
        <v>ASTGTMV003_N03W075_dem.zip</v>
      </c>
      <c r="D45" s="11" t="str">
        <f t="shared" si="1"/>
        <v>https://data.lpdaac.earthdatacloud.nasa.gov/lp-prod-protected/ASTGTM.003/ASTGTMV003_N03W075_dem.zip</v>
      </c>
    </row>
    <row r="46" spans="1:4" x14ac:dyDescent="0.55000000000000004">
      <c r="A46" s="11" t="s">
        <v>95</v>
      </c>
      <c r="B46" s="11" t="str">
        <f t="shared" si="3"/>
        <v>ASTGTM2_N03W076.zip</v>
      </c>
      <c r="C46" s="11" t="str">
        <f t="shared" si="0"/>
        <v>ASTGTMV003_N03W076_dem.zip</v>
      </c>
      <c r="D46" s="11" t="str">
        <f t="shared" si="1"/>
        <v>https://data.lpdaac.earthdatacloud.nasa.gov/lp-prod-protected/ASTGTM.003/ASTGTMV003_N03W076_dem.zip</v>
      </c>
    </row>
    <row r="47" spans="1:4" x14ac:dyDescent="0.55000000000000004">
      <c r="A47" s="11" t="s">
        <v>94</v>
      </c>
      <c r="B47" s="11" t="str">
        <f t="shared" si="3"/>
        <v>ASTGTM2_N03W077.zip</v>
      </c>
      <c r="C47" s="11" t="str">
        <f t="shared" si="0"/>
        <v>ASTGTMV003_N03W077_dem.zip</v>
      </c>
      <c r="D47" s="11" t="str">
        <f t="shared" si="1"/>
        <v>https://data.lpdaac.earthdatacloud.nasa.gov/lp-prod-protected/ASTGTM.003/ASTGTMV003_N03W077_dem.zip</v>
      </c>
    </row>
    <row r="48" spans="1:4" x14ac:dyDescent="0.55000000000000004">
      <c r="A48" s="11" t="s">
        <v>93</v>
      </c>
      <c r="B48" s="11" t="str">
        <f t="shared" si="3"/>
        <v>ASTGTM2_N03W078.zip</v>
      </c>
      <c r="C48" s="11" t="str">
        <f t="shared" si="0"/>
        <v>ASTGTMV003_N03W078_dem.zip</v>
      </c>
      <c r="D48" s="11" t="str">
        <f t="shared" si="1"/>
        <v>https://data.lpdaac.earthdatacloud.nasa.gov/lp-prod-protected/ASTGTM.003/ASTGTMV003_N03W078_dem.zip</v>
      </c>
    </row>
    <row r="49" spans="1:4" x14ac:dyDescent="0.55000000000000004">
      <c r="A49" s="11" t="s">
        <v>92</v>
      </c>
      <c r="B49" s="11" t="str">
        <f t="shared" si="3"/>
        <v>ASTGTM2_N04W068.zip</v>
      </c>
      <c r="C49" s="11" t="str">
        <f t="shared" si="0"/>
        <v>ASTGTMV003_N04W068_dem.zip</v>
      </c>
      <c r="D49" s="11" t="str">
        <f t="shared" si="1"/>
        <v>https://data.lpdaac.earthdatacloud.nasa.gov/lp-prod-protected/ASTGTM.003/ASTGTMV003_N04W068_dem.zip</v>
      </c>
    </row>
    <row r="50" spans="1:4" x14ac:dyDescent="0.55000000000000004">
      <c r="A50" s="11" t="s">
        <v>91</v>
      </c>
      <c r="B50" s="11" t="str">
        <f t="shared" si="3"/>
        <v>ASTGTM2_N04W069.zip</v>
      </c>
      <c r="C50" s="11" t="str">
        <f t="shared" si="0"/>
        <v>ASTGTMV003_N04W069_dem.zip</v>
      </c>
      <c r="D50" s="11" t="str">
        <f t="shared" si="1"/>
        <v>https://data.lpdaac.earthdatacloud.nasa.gov/lp-prod-protected/ASTGTM.003/ASTGTMV003_N04W069_dem.zip</v>
      </c>
    </row>
    <row r="51" spans="1:4" x14ac:dyDescent="0.55000000000000004">
      <c r="A51" s="11" t="s">
        <v>90</v>
      </c>
      <c r="B51" s="11" t="str">
        <f t="shared" si="3"/>
        <v>ASTGTM2_N04W070.zip</v>
      </c>
      <c r="C51" s="11" t="str">
        <f t="shared" si="0"/>
        <v>ASTGTMV003_N04W070_dem.zip</v>
      </c>
      <c r="D51" s="11" t="str">
        <f t="shared" si="1"/>
        <v>https://data.lpdaac.earthdatacloud.nasa.gov/lp-prod-protected/ASTGTM.003/ASTGTMV003_N04W070_dem.zip</v>
      </c>
    </row>
    <row r="52" spans="1:4" x14ac:dyDescent="0.55000000000000004">
      <c r="A52" s="11" t="s">
        <v>89</v>
      </c>
      <c r="B52" s="11" t="str">
        <f t="shared" si="3"/>
        <v>ASTGTM2_N04W071.zip</v>
      </c>
      <c r="C52" s="11" t="str">
        <f t="shared" si="0"/>
        <v>ASTGTMV003_N04W071_dem.zip</v>
      </c>
      <c r="D52" s="11" t="str">
        <f t="shared" si="1"/>
        <v>https://data.lpdaac.earthdatacloud.nasa.gov/lp-prod-protected/ASTGTM.003/ASTGTMV003_N04W071_dem.zip</v>
      </c>
    </row>
    <row r="53" spans="1:4" x14ac:dyDescent="0.55000000000000004">
      <c r="A53" s="11" t="s">
        <v>88</v>
      </c>
      <c r="B53" s="11" t="str">
        <f t="shared" si="3"/>
        <v>ASTGTM2_N04W072.zip</v>
      </c>
      <c r="C53" s="11" t="str">
        <f t="shared" si="0"/>
        <v>ASTGTMV003_N04W072_dem.zip</v>
      </c>
      <c r="D53" s="11" t="str">
        <f t="shared" si="1"/>
        <v>https://data.lpdaac.earthdatacloud.nasa.gov/lp-prod-protected/ASTGTM.003/ASTGTMV003_N04W072_dem.zip</v>
      </c>
    </row>
    <row r="54" spans="1:4" x14ac:dyDescent="0.55000000000000004">
      <c r="A54" s="11" t="s">
        <v>87</v>
      </c>
      <c r="B54" s="11" t="str">
        <f t="shared" si="3"/>
        <v>ASTGTM2_N04W073.zip</v>
      </c>
      <c r="C54" s="11" t="str">
        <f t="shared" si="0"/>
        <v>ASTGTMV003_N04W073_dem.zip</v>
      </c>
      <c r="D54" s="11" t="str">
        <f t="shared" si="1"/>
        <v>https://data.lpdaac.earthdatacloud.nasa.gov/lp-prod-protected/ASTGTM.003/ASTGTMV003_N04W073_dem.zip</v>
      </c>
    </row>
    <row r="55" spans="1:4" x14ac:dyDescent="0.55000000000000004">
      <c r="A55" s="11" t="s">
        <v>86</v>
      </c>
      <c r="B55" s="11" t="str">
        <f t="shared" si="3"/>
        <v>ASTGTM2_N04W074.zip</v>
      </c>
      <c r="C55" s="11" t="str">
        <f t="shared" si="0"/>
        <v>ASTGTMV003_N04W074_dem.zip</v>
      </c>
      <c r="D55" s="11" t="str">
        <f t="shared" si="1"/>
        <v>https://data.lpdaac.earthdatacloud.nasa.gov/lp-prod-protected/ASTGTM.003/ASTGTMV003_N04W074_dem.zip</v>
      </c>
    </row>
    <row r="56" spans="1:4" x14ac:dyDescent="0.55000000000000004">
      <c r="A56" s="11" t="s">
        <v>85</v>
      </c>
      <c r="B56" s="11" t="str">
        <f t="shared" si="3"/>
        <v>ASTGTM2_N04W075.zip</v>
      </c>
      <c r="C56" s="11" t="str">
        <f t="shared" si="0"/>
        <v>ASTGTMV003_N04W075_dem.zip</v>
      </c>
      <c r="D56" s="11" t="str">
        <f t="shared" si="1"/>
        <v>https://data.lpdaac.earthdatacloud.nasa.gov/lp-prod-protected/ASTGTM.003/ASTGTMV003_N04W075_dem.zip</v>
      </c>
    </row>
    <row r="57" spans="1:4" x14ac:dyDescent="0.55000000000000004">
      <c r="A57" s="11" t="s">
        <v>84</v>
      </c>
      <c r="B57" s="11" t="str">
        <f t="shared" si="3"/>
        <v>ASTGTM2_N04W076.zip</v>
      </c>
      <c r="C57" s="11" t="str">
        <f t="shared" si="0"/>
        <v>ASTGTMV003_N04W076_dem.zip</v>
      </c>
      <c r="D57" s="11" t="str">
        <f t="shared" si="1"/>
        <v>https://data.lpdaac.earthdatacloud.nasa.gov/lp-prod-protected/ASTGTM.003/ASTGTMV003_N04W076_dem.zip</v>
      </c>
    </row>
    <row r="58" spans="1:4" x14ac:dyDescent="0.55000000000000004">
      <c r="A58" s="11" t="s">
        <v>83</v>
      </c>
      <c r="B58" s="11" t="str">
        <f t="shared" si="3"/>
        <v>ASTGTM2_N04W077.zip</v>
      </c>
      <c r="C58" s="11" t="str">
        <f t="shared" si="0"/>
        <v>ASTGTMV003_N04W077_dem.zip</v>
      </c>
      <c r="D58" s="11" t="str">
        <f t="shared" si="1"/>
        <v>https://data.lpdaac.earthdatacloud.nasa.gov/lp-prod-protected/ASTGTM.003/ASTGTMV003_N04W077_dem.zip</v>
      </c>
    </row>
    <row r="59" spans="1:4" x14ac:dyDescent="0.55000000000000004">
      <c r="A59" s="11" t="s">
        <v>82</v>
      </c>
      <c r="B59" s="11" t="str">
        <f t="shared" si="3"/>
        <v>ASTGTM2_N04W078.zip</v>
      </c>
      <c r="C59" s="11" t="str">
        <f t="shared" si="0"/>
        <v>ASTGTMV003_N04W078_dem.zip</v>
      </c>
      <c r="D59" s="11" t="str">
        <f t="shared" si="1"/>
        <v>https://data.lpdaac.earthdatacloud.nasa.gov/lp-prod-protected/ASTGTM.003/ASTGTMV003_N04W078_dem.zip</v>
      </c>
    </row>
    <row r="60" spans="1:4" x14ac:dyDescent="0.55000000000000004">
      <c r="A60" s="11" t="s">
        <v>81</v>
      </c>
      <c r="B60" s="11" t="str">
        <f t="shared" si="3"/>
        <v>ASTGTM2_N05W068.zip</v>
      </c>
      <c r="C60" s="11" t="str">
        <f t="shared" si="0"/>
        <v>ASTGTMV003_N05W068_dem.zip</v>
      </c>
      <c r="D60" s="11" t="str">
        <f t="shared" si="1"/>
        <v>https://data.lpdaac.earthdatacloud.nasa.gov/lp-prod-protected/ASTGTM.003/ASTGTMV003_N05W068_dem.zip</v>
      </c>
    </row>
    <row r="61" spans="1:4" x14ac:dyDescent="0.55000000000000004">
      <c r="A61" s="11" t="s">
        <v>80</v>
      </c>
      <c r="B61" s="11" t="str">
        <f t="shared" si="3"/>
        <v>ASTGTM2_N05W069.zip</v>
      </c>
      <c r="C61" s="11" t="str">
        <f t="shared" si="0"/>
        <v>ASTGTMV003_N05W069_dem.zip</v>
      </c>
      <c r="D61" s="11" t="str">
        <f t="shared" si="1"/>
        <v>https://data.lpdaac.earthdatacloud.nasa.gov/lp-prod-protected/ASTGTM.003/ASTGTMV003_N05W069_dem.zip</v>
      </c>
    </row>
    <row r="62" spans="1:4" x14ac:dyDescent="0.55000000000000004">
      <c r="A62" s="11" t="s">
        <v>79</v>
      </c>
      <c r="B62" s="11" t="str">
        <f t="shared" si="3"/>
        <v>ASTGTM2_N05W070.zip</v>
      </c>
      <c r="C62" s="11" t="str">
        <f t="shared" si="0"/>
        <v>ASTGTMV003_N05W070_dem.zip</v>
      </c>
      <c r="D62" s="11" t="str">
        <f t="shared" si="1"/>
        <v>https://data.lpdaac.earthdatacloud.nasa.gov/lp-prod-protected/ASTGTM.003/ASTGTMV003_N05W070_dem.zip</v>
      </c>
    </row>
    <row r="63" spans="1:4" x14ac:dyDescent="0.55000000000000004">
      <c r="A63" s="11" t="s">
        <v>78</v>
      </c>
      <c r="B63" s="11" t="str">
        <f t="shared" si="3"/>
        <v>ASTGTM2_N05W071.zip</v>
      </c>
      <c r="C63" s="11" t="str">
        <f t="shared" si="0"/>
        <v>ASTGTMV003_N05W071_dem.zip</v>
      </c>
      <c r="D63" s="11" t="str">
        <f t="shared" si="1"/>
        <v>https://data.lpdaac.earthdatacloud.nasa.gov/lp-prod-protected/ASTGTM.003/ASTGTMV003_N05W071_dem.zip</v>
      </c>
    </row>
    <row r="64" spans="1:4" x14ac:dyDescent="0.55000000000000004">
      <c r="A64" s="11" t="s">
        <v>77</v>
      </c>
      <c r="B64" s="11" t="str">
        <f t="shared" si="3"/>
        <v>ASTGTM2_N05W072.zip</v>
      </c>
      <c r="C64" s="11" t="str">
        <f t="shared" si="0"/>
        <v>ASTGTMV003_N05W072_dem.zip</v>
      </c>
      <c r="D64" s="11" t="str">
        <f t="shared" si="1"/>
        <v>https://data.lpdaac.earthdatacloud.nasa.gov/lp-prod-protected/ASTGTM.003/ASTGTMV003_N05W072_dem.zip</v>
      </c>
    </row>
    <row r="65" spans="1:4" x14ac:dyDescent="0.55000000000000004">
      <c r="A65" s="11" t="s">
        <v>76</v>
      </c>
      <c r="B65" s="11" t="str">
        <f t="shared" si="3"/>
        <v>ASTGTM2_N05W073.zip</v>
      </c>
      <c r="C65" s="11" t="str">
        <f t="shared" si="0"/>
        <v>ASTGTMV003_N05W073_dem.zip</v>
      </c>
      <c r="D65" s="11" t="str">
        <f t="shared" si="1"/>
        <v>https://data.lpdaac.earthdatacloud.nasa.gov/lp-prod-protected/ASTGTM.003/ASTGTMV003_N05W073_dem.zip</v>
      </c>
    </row>
    <row r="66" spans="1:4" x14ac:dyDescent="0.55000000000000004">
      <c r="A66" s="11" t="s">
        <v>75</v>
      </c>
      <c r="B66" s="11" t="str">
        <f t="shared" ref="B66:B97" si="4">CONCATENATE("ASTGTM2_",A66,".zip")</f>
        <v>ASTGTM2_N05W074.zip</v>
      </c>
      <c r="C66" s="11" t="str">
        <f t="shared" si="0"/>
        <v>ASTGTMV003_N05W074_dem.zip</v>
      </c>
      <c r="D66" s="11" t="str">
        <f t="shared" si="1"/>
        <v>https://data.lpdaac.earthdatacloud.nasa.gov/lp-prod-protected/ASTGTM.003/ASTGTMV003_N05W074_dem.zip</v>
      </c>
    </row>
    <row r="67" spans="1:4" x14ac:dyDescent="0.55000000000000004">
      <c r="A67" s="11" t="s">
        <v>74</v>
      </c>
      <c r="B67" s="11" t="str">
        <f t="shared" si="4"/>
        <v>ASTGTM2_N05W075.zip</v>
      </c>
      <c r="C67" s="11" t="str">
        <f t="shared" ref="C67:D130" si="5">CONCATENATE("ASTGTMV003_",A67,"_dem.zip")</f>
        <v>ASTGTMV003_N05W075_dem.zip</v>
      </c>
      <c r="D67" s="11" t="str">
        <f t="shared" ref="D67:D130" si="6">CONCATENATE("https://data.lpdaac.earthdatacloud.nasa.gov/lp-prod-protected/ASTGTM.003/ASTGTMV003_",A67,"_dem.zip")</f>
        <v>https://data.lpdaac.earthdatacloud.nasa.gov/lp-prod-protected/ASTGTM.003/ASTGTMV003_N05W075_dem.zip</v>
      </c>
    </row>
    <row r="68" spans="1:4" x14ac:dyDescent="0.55000000000000004">
      <c r="A68" s="11" t="s">
        <v>73</v>
      </c>
      <c r="B68" s="11" t="str">
        <f t="shared" si="4"/>
        <v>ASTGTM2_N05W076.zip</v>
      </c>
      <c r="C68" s="11" t="str">
        <f t="shared" si="5"/>
        <v>ASTGTMV003_N05W076_dem.zip</v>
      </c>
      <c r="D68" s="11" t="str">
        <f t="shared" si="6"/>
        <v>https://data.lpdaac.earthdatacloud.nasa.gov/lp-prod-protected/ASTGTM.003/ASTGTMV003_N05W076_dem.zip</v>
      </c>
    </row>
    <row r="69" spans="1:4" x14ac:dyDescent="0.55000000000000004">
      <c r="A69" s="11" t="s">
        <v>72</v>
      </c>
      <c r="B69" s="11" t="str">
        <f t="shared" si="4"/>
        <v>ASTGTM2_N05W077.zip</v>
      </c>
      <c r="C69" s="11" t="str">
        <f t="shared" si="5"/>
        <v>ASTGTMV003_N05W077_dem.zip</v>
      </c>
      <c r="D69" s="11" t="str">
        <f t="shared" si="6"/>
        <v>https://data.lpdaac.earthdatacloud.nasa.gov/lp-prod-protected/ASTGTM.003/ASTGTMV003_N05W077_dem.zip</v>
      </c>
    </row>
    <row r="70" spans="1:4" x14ac:dyDescent="0.55000000000000004">
      <c r="A70" s="11" t="s">
        <v>71</v>
      </c>
      <c r="B70" s="11" t="str">
        <f t="shared" si="4"/>
        <v>ASTGTM2_N05W078.zip</v>
      </c>
      <c r="C70" s="11" t="str">
        <f t="shared" si="5"/>
        <v>ASTGTMV003_N05W078_dem.zip</v>
      </c>
      <c r="D70" s="11" t="str">
        <f t="shared" si="6"/>
        <v>https://data.lpdaac.earthdatacloud.nasa.gov/lp-prod-protected/ASTGTM.003/ASTGTMV003_N05W078_dem.zip</v>
      </c>
    </row>
    <row r="71" spans="1:4" x14ac:dyDescent="0.55000000000000004">
      <c r="A71" s="11" t="s">
        <v>70</v>
      </c>
      <c r="B71" s="11" t="str">
        <f t="shared" si="4"/>
        <v>ASTGTM2_N06W068.zip</v>
      </c>
      <c r="C71" s="11" t="str">
        <f t="shared" si="5"/>
        <v>ASTGTMV003_N06W068_dem.zip</v>
      </c>
      <c r="D71" s="11" t="str">
        <f t="shared" si="6"/>
        <v>https://data.lpdaac.earthdatacloud.nasa.gov/lp-prod-protected/ASTGTM.003/ASTGTMV003_N06W068_dem.zip</v>
      </c>
    </row>
    <row r="72" spans="1:4" x14ac:dyDescent="0.55000000000000004">
      <c r="A72" s="11" t="s">
        <v>69</v>
      </c>
      <c r="B72" s="11" t="str">
        <f t="shared" si="4"/>
        <v>ASTGTM2_N06W069.zip</v>
      </c>
      <c r="C72" s="11" t="str">
        <f t="shared" si="5"/>
        <v>ASTGTMV003_N06W069_dem.zip</v>
      </c>
      <c r="D72" s="11" t="str">
        <f t="shared" si="6"/>
        <v>https://data.lpdaac.earthdatacloud.nasa.gov/lp-prod-protected/ASTGTM.003/ASTGTMV003_N06W069_dem.zip</v>
      </c>
    </row>
    <row r="73" spans="1:4" x14ac:dyDescent="0.55000000000000004">
      <c r="A73" s="11" t="s">
        <v>68</v>
      </c>
      <c r="B73" s="11" t="str">
        <f t="shared" si="4"/>
        <v>ASTGTM2_N06W070.zip</v>
      </c>
      <c r="C73" s="11" t="str">
        <f t="shared" si="5"/>
        <v>ASTGTMV003_N06W070_dem.zip</v>
      </c>
      <c r="D73" s="11" t="str">
        <f t="shared" si="6"/>
        <v>https://data.lpdaac.earthdatacloud.nasa.gov/lp-prod-protected/ASTGTM.003/ASTGTMV003_N06W070_dem.zip</v>
      </c>
    </row>
    <row r="74" spans="1:4" x14ac:dyDescent="0.55000000000000004">
      <c r="A74" s="11" t="s">
        <v>67</v>
      </c>
      <c r="B74" s="11" t="str">
        <f t="shared" si="4"/>
        <v>ASTGTM2_N06W071.zip</v>
      </c>
      <c r="C74" s="11" t="str">
        <f t="shared" si="5"/>
        <v>ASTGTMV003_N06W071_dem.zip</v>
      </c>
      <c r="D74" s="11" t="str">
        <f t="shared" si="6"/>
        <v>https://data.lpdaac.earthdatacloud.nasa.gov/lp-prod-protected/ASTGTM.003/ASTGTMV003_N06W071_dem.zip</v>
      </c>
    </row>
    <row r="75" spans="1:4" x14ac:dyDescent="0.55000000000000004">
      <c r="A75" s="11" t="s">
        <v>66</v>
      </c>
      <c r="B75" s="11" t="str">
        <f t="shared" si="4"/>
        <v>ASTGTM2_N06W072.zip</v>
      </c>
      <c r="C75" s="11" t="str">
        <f t="shared" si="5"/>
        <v>ASTGTMV003_N06W072_dem.zip</v>
      </c>
      <c r="D75" s="11" t="str">
        <f t="shared" si="6"/>
        <v>https://data.lpdaac.earthdatacloud.nasa.gov/lp-prod-protected/ASTGTM.003/ASTGTMV003_N06W072_dem.zip</v>
      </c>
    </row>
    <row r="76" spans="1:4" x14ac:dyDescent="0.55000000000000004">
      <c r="A76" s="11" t="s">
        <v>65</v>
      </c>
      <c r="B76" s="11" t="str">
        <f t="shared" si="4"/>
        <v>ASTGTM2_N06W073.zip</v>
      </c>
      <c r="C76" s="11" t="str">
        <f t="shared" si="5"/>
        <v>ASTGTMV003_N06W073_dem.zip</v>
      </c>
      <c r="D76" s="11" t="str">
        <f t="shared" si="6"/>
        <v>https://data.lpdaac.earthdatacloud.nasa.gov/lp-prod-protected/ASTGTM.003/ASTGTMV003_N06W073_dem.zip</v>
      </c>
    </row>
    <row r="77" spans="1:4" x14ac:dyDescent="0.55000000000000004">
      <c r="A77" s="11" t="s">
        <v>64</v>
      </c>
      <c r="B77" s="11" t="str">
        <f t="shared" si="4"/>
        <v>ASTGTM2_N06W074.zip</v>
      </c>
      <c r="C77" s="11" t="str">
        <f t="shared" si="5"/>
        <v>ASTGTMV003_N06W074_dem.zip</v>
      </c>
      <c r="D77" s="11" t="str">
        <f t="shared" si="6"/>
        <v>https://data.lpdaac.earthdatacloud.nasa.gov/lp-prod-protected/ASTGTM.003/ASTGTMV003_N06W074_dem.zip</v>
      </c>
    </row>
    <row r="78" spans="1:4" x14ac:dyDescent="0.55000000000000004">
      <c r="A78" s="11" t="s">
        <v>63</v>
      </c>
      <c r="B78" s="11" t="str">
        <f t="shared" si="4"/>
        <v>ASTGTM2_N06W075.zip</v>
      </c>
      <c r="C78" s="11" t="str">
        <f t="shared" si="5"/>
        <v>ASTGTMV003_N06W075_dem.zip</v>
      </c>
      <c r="D78" s="11" t="str">
        <f t="shared" si="6"/>
        <v>https://data.lpdaac.earthdatacloud.nasa.gov/lp-prod-protected/ASTGTM.003/ASTGTMV003_N06W075_dem.zip</v>
      </c>
    </row>
    <row r="79" spans="1:4" x14ac:dyDescent="0.55000000000000004">
      <c r="A79" s="11" t="s">
        <v>62</v>
      </c>
      <c r="B79" s="11" t="str">
        <f t="shared" si="4"/>
        <v>ASTGTM2_N06W076.zip</v>
      </c>
      <c r="C79" s="11" t="str">
        <f t="shared" si="5"/>
        <v>ASTGTMV003_N06W076_dem.zip</v>
      </c>
      <c r="D79" s="11" t="str">
        <f t="shared" si="6"/>
        <v>https://data.lpdaac.earthdatacloud.nasa.gov/lp-prod-protected/ASTGTM.003/ASTGTMV003_N06W076_dem.zip</v>
      </c>
    </row>
    <row r="80" spans="1:4" x14ac:dyDescent="0.55000000000000004">
      <c r="A80" s="11" t="s">
        <v>61</v>
      </c>
      <c r="B80" s="11" t="str">
        <f t="shared" si="4"/>
        <v>ASTGTM2_N06W077.zip</v>
      </c>
      <c r="C80" s="11" t="str">
        <f t="shared" si="5"/>
        <v>ASTGTMV003_N06W077_dem.zip</v>
      </c>
      <c r="D80" s="11" t="str">
        <f t="shared" si="6"/>
        <v>https://data.lpdaac.earthdatacloud.nasa.gov/lp-prod-protected/ASTGTM.003/ASTGTMV003_N06W077_dem.zip</v>
      </c>
    </row>
    <row r="81" spans="1:4" x14ac:dyDescent="0.55000000000000004">
      <c r="A81" s="11" t="s">
        <v>60</v>
      </c>
      <c r="B81" s="11" t="str">
        <f t="shared" si="4"/>
        <v>ASTGTM2_N06W078.zip</v>
      </c>
      <c r="C81" s="11" t="str">
        <f t="shared" si="5"/>
        <v>ASTGTMV003_N06W078_dem.zip</v>
      </c>
      <c r="D81" s="11" t="str">
        <f t="shared" si="6"/>
        <v>https://data.lpdaac.earthdatacloud.nasa.gov/lp-prod-protected/ASTGTM.003/ASTGTMV003_N06W078_dem.zip</v>
      </c>
    </row>
    <row r="82" spans="1:4" x14ac:dyDescent="0.55000000000000004">
      <c r="A82" s="11" t="s">
        <v>59</v>
      </c>
      <c r="B82" s="11" t="str">
        <f t="shared" si="4"/>
        <v>ASTGTM2_N07W071.zip</v>
      </c>
      <c r="C82" s="11" t="str">
        <f t="shared" si="5"/>
        <v>ASTGTMV003_N07W071_dem.zip</v>
      </c>
      <c r="D82" s="11" t="str">
        <f t="shared" si="6"/>
        <v>https://data.lpdaac.earthdatacloud.nasa.gov/lp-prod-protected/ASTGTM.003/ASTGTMV003_N07W071_dem.zip</v>
      </c>
    </row>
    <row r="83" spans="1:4" x14ac:dyDescent="0.55000000000000004">
      <c r="A83" s="11" t="s">
        <v>58</v>
      </c>
      <c r="B83" s="11" t="str">
        <f t="shared" si="4"/>
        <v>ASTGTM2_N07W072.zip</v>
      </c>
      <c r="C83" s="11" t="str">
        <f t="shared" si="5"/>
        <v>ASTGTMV003_N07W072_dem.zip</v>
      </c>
      <c r="D83" s="11" t="str">
        <f t="shared" si="6"/>
        <v>https://data.lpdaac.earthdatacloud.nasa.gov/lp-prod-protected/ASTGTM.003/ASTGTMV003_N07W072_dem.zip</v>
      </c>
    </row>
    <row r="84" spans="1:4" x14ac:dyDescent="0.55000000000000004">
      <c r="A84" s="11" t="s">
        <v>57</v>
      </c>
      <c r="B84" s="11" t="str">
        <f t="shared" si="4"/>
        <v>ASTGTM2_N07W073.zip</v>
      </c>
      <c r="C84" s="11" t="str">
        <f t="shared" si="5"/>
        <v>ASTGTMV003_N07W073_dem.zip</v>
      </c>
      <c r="D84" s="11" t="str">
        <f t="shared" si="6"/>
        <v>https://data.lpdaac.earthdatacloud.nasa.gov/lp-prod-protected/ASTGTM.003/ASTGTMV003_N07W073_dem.zip</v>
      </c>
    </row>
    <row r="85" spans="1:4" x14ac:dyDescent="0.55000000000000004">
      <c r="A85" s="11" t="s">
        <v>56</v>
      </c>
      <c r="B85" s="11" t="str">
        <f t="shared" si="4"/>
        <v>ASTGTM2_N07W074.zip</v>
      </c>
      <c r="C85" s="11" t="str">
        <f t="shared" si="5"/>
        <v>ASTGTMV003_N07W074_dem.zip</v>
      </c>
      <c r="D85" s="11" t="str">
        <f t="shared" si="6"/>
        <v>https://data.lpdaac.earthdatacloud.nasa.gov/lp-prod-protected/ASTGTM.003/ASTGTMV003_N07W074_dem.zip</v>
      </c>
    </row>
    <row r="86" spans="1:4" x14ac:dyDescent="0.55000000000000004">
      <c r="A86" s="11" t="s">
        <v>55</v>
      </c>
      <c r="B86" s="11" t="str">
        <f t="shared" si="4"/>
        <v>ASTGTM2_N07W075.zip</v>
      </c>
      <c r="C86" s="11" t="str">
        <f t="shared" si="5"/>
        <v>ASTGTMV003_N07W075_dem.zip</v>
      </c>
      <c r="D86" s="11" t="str">
        <f t="shared" si="6"/>
        <v>https://data.lpdaac.earthdatacloud.nasa.gov/lp-prod-protected/ASTGTM.003/ASTGTMV003_N07W075_dem.zip</v>
      </c>
    </row>
    <row r="87" spans="1:4" x14ac:dyDescent="0.55000000000000004">
      <c r="A87" s="11" t="s">
        <v>54</v>
      </c>
      <c r="B87" s="11" t="str">
        <f t="shared" si="4"/>
        <v>ASTGTM2_N07W076.zip</v>
      </c>
      <c r="C87" s="11" t="str">
        <f t="shared" si="5"/>
        <v>ASTGTMV003_N07W076_dem.zip</v>
      </c>
      <c r="D87" s="11" t="str">
        <f t="shared" si="6"/>
        <v>https://data.lpdaac.earthdatacloud.nasa.gov/lp-prod-protected/ASTGTM.003/ASTGTMV003_N07W076_dem.zip</v>
      </c>
    </row>
    <row r="88" spans="1:4" x14ac:dyDescent="0.55000000000000004">
      <c r="A88" s="11" t="s">
        <v>53</v>
      </c>
      <c r="B88" s="11" t="str">
        <f t="shared" si="4"/>
        <v>ASTGTM2_N07W077.zip</v>
      </c>
      <c r="C88" s="11" t="str">
        <f t="shared" si="5"/>
        <v>ASTGTMV003_N07W077_dem.zip</v>
      </c>
      <c r="D88" s="11" t="str">
        <f t="shared" si="6"/>
        <v>https://data.lpdaac.earthdatacloud.nasa.gov/lp-prod-protected/ASTGTM.003/ASTGTMV003_N07W077_dem.zip</v>
      </c>
    </row>
    <row r="89" spans="1:4" x14ac:dyDescent="0.55000000000000004">
      <c r="A89" s="11" t="s">
        <v>52</v>
      </c>
      <c r="B89" s="11" t="str">
        <f t="shared" si="4"/>
        <v>ASTGTM2_N07W078.zip</v>
      </c>
      <c r="C89" s="11" t="str">
        <f t="shared" si="5"/>
        <v>ASTGTMV003_N07W078_dem.zip</v>
      </c>
      <c r="D89" s="11" t="str">
        <f t="shared" si="6"/>
        <v>https://data.lpdaac.earthdatacloud.nasa.gov/lp-prod-protected/ASTGTM.003/ASTGTMV003_N07W078_dem.zip</v>
      </c>
    </row>
    <row r="90" spans="1:4" x14ac:dyDescent="0.55000000000000004">
      <c r="A90" s="11" t="s">
        <v>51</v>
      </c>
      <c r="B90" s="11" t="str">
        <f t="shared" si="4"/>
        <v>ASTGTM2_N08W073.zip</v>
      </c>
      <c r="C90" s="11" t="str">
        <f t="shared" si="5"/>
        <v>ASTGTMV003_N08W073_dem.zip</v>
      </c>
      <c r="D90" s="11" t="str">
        <f t="shared" si="6"/>
        <v>https://data.lpdaac.earthdatacloud.nasa.gov/lp-prod-protected/ASTGTM.003/ASTGTMV003_N08W073_dem.zip</v>
      </c>
    </row>
    <row r="91" spans="1:4" x14ac:dyDescent="0.55000000000000004">
      <c r="A91" s="11" t="s">
        <v>50</v>
      </c>
      <c r="B91" s="11" t="str">
        <f t="shared" si="4"/>
        <v>ASTGTM2_N08W074.zip</v>
      </c>
      <c r="C91" s="11" t="str">
        <f t="shared" si="5"/>
        <v>ASTGTMV003_N08W074_dem.zip</v>
      </c>
      <c r="D91" s="11" t="str">
        <f t="shared" si="6"/>
        <v>https://data.lpdaac.earthdatacloud.nasa.gov/lp-prod-protected/ASTGTM.003/ASTGTMV003_N08W074_dem.zip</v>
      </c>
    </row>
    <row r="92" spans="1:4" x14ac:dyDescent="0.55000000000000004">
      <c r="A92" s="11" t="s">
        <v>49</v>
      </c>
      <c r="B92" s="11" t="str">
        <f t="shared" si="4"/>
        <v>ASTGTM2_N08W075.zip</v>
      </c>
      <c r="C92" s="11" t="str">
        <f t="shared" si="5"/>
        <v>ASTGTMV003_N08W075_dem.zip</v>
      </c>
      <c r="D92" s="11" t="str">
        <f t="shared" si="6"/>
        <v>https://data.lpdaac.earthdatacloud.nasa.gov/lp-prod-protected/ASTGTM.003/ASTGTMV003_N08W075_dem.zip</v>
      </c>
    </row>
    <row r="93" spans="1:4" x14ac:dyDescent="0.55000000000000004">
      <c r="A93" s="11" t="s">
        <v>48</v>
      </c>
      <c r="B93" s="11" t="str">
        <f t="shared" si="4"/>
        <v>ASTGTM2_N08W076.zip</v>
      </c>
      <c r="C93" s="11" t="str">
        <f t="shared" si="5"/>
        <v>ASTGTMV003_N08W076_dem.zip</v>
      </c>
      <c r="D93" s="11" t="str">
        <f t="shared" si="6"/>
        <v>https://data.lpdaac.earthdatacloud.nasa.gov/lp-prod-protected/ASTGTM.003/ASTGTMV003_N08W076_dem.zip</v>
      </c>
    </row>
    <row r="94" spans="1:4" x14ac:dyDescent="0.55000000000000004">
      <c r="A94" s="11" t="s">
        <v>47</v>
      </c>
      <c r="B94" s="11" t="str">
        <f t="shared" si="4"/>
        <v>ASTGTM2_N08W077.zip</v>
      </c>
      <c r="C94" s="11" t="str">
        <f t="shared" si="5"/>
        <v>ASTGTMV003_N08W077_dem.zip</v>
      </c>
      <c r="D94" s="11" t="str">
        <f t="shared" si="6"/>
        <v>https://data.lpdaac.earthdatacloud.nasa.gov/lp-prod-protected/ASTGTM.003/ASTGTMV003_N08W077_dem.zip</v>
      </c>
    </row>
    <row r="95" spans="1:4" x14ac:dyDescent="0.55000000000000004">
      <c r="A95" s="11" t="s">
        <v>46</v>
      </c>
      <c r="B95" s="11" t="str">
        <f t="shared" si="4"/>
        <v>ASTGTM2_N08W078.zip</v>
      </c>
      <c r="C95" s="11" t="str">
        <f t="shared" si="5"/>
        <v>ASTGTMV003_N08W078_dem.zip</v>
      </c>
      <c r="D95" s="11" t="str">
        <f t="shared" si="6"/>
        <v>https://data.lpdaac.earthdatacloud.nasa.gov/lp-prod-protected/ASTGTM.003/ASTGTMV003_N08W078_dem.zip</v>
      </c>
    </row>
    <row r="96" spans="1:4" x14ac:dyDescent="0.55000000000000004">
      <c r="A96" s="11" t="s">
        <v>45</v>
      </c>
      <c r="B96" s="11" t="str">
        <f t="shared" si="4"/>
        <v>ASTGTM2_N09W073.zip</v>
      </c>
      <c r="C96" s="11" t="str">
        <f t="shared" si="5"/>
        <v>ASTGTMV003_N09W073_dem.zip</v>
      </c>
      <c r="D96" s="11" t="str">
        <f t="shared" si="6"/>
        <v>https://data.lpdaac.earthdatacloud.nasa.gov/lp-prod-protected/ASTGTM.003/ASTGTMV003_N09W073_dem.zip</v>
      </c>
    </row>
    <row r="97" spans="1:4" x14ac:dyDescent="0.55000000000000004">
      <c r="A97" s="11" t="s">
        <v>44</v>
      </c>
      <c r="B97" s="11" t="str">
        <f t="shared" si="4"/>
        <v>ASTGTM2_N09W074.zip</v>
      </c>
      <c r="C97" s="11" t="str">
        <f t="shared" si="5"/>
        <v>ASTGTMV003_N09W074_dem.zip</v>
      </c>
      <c r="D97" s="11" t="str">
        <f t="shared" si="6"/>
        <v>https://data.lpdaac.earthdatacloud.nasa.gov/lp-prod-protected/ASTGTM.003/ASTGTMV003_N09W074_dem.zip</v>
      </c>
    </row>
    <row r="98" spans="1:4" x14ac:dyDescent="0.55000000000000004">
      <c r="A98" s="11" t="s">
        <v>43</v>
      </c>
      <c r="B98" s="11" t="str">
        <f t="shared" ref="B98:B129" si="7">CONCATENATE("ASTGTM2_",A98,".zip")</f>
        <v>ASTGTM2_N09W075.zip</v>
      </c>
      <c r="C98" s="11" t="str">
        <f t="shared" si="5"/>
        <v>ASTGTMV003_N09W075_dem.zip</v>
      </c>
      <c r="D98" s="11" t="str">
        <f t="shared" si="6"/>
        <v>https://data.lpdaac.earthdatacloud.nasa.gov/lp-prod-protected/ASTGTM.003/ASTGTMV003_N09W075_dem.zip</v>
      </c>
    </row>
    <row r="99" spans="1:4" x14ac:dyDescent="0.55000000000000004">
      <c r="A99" s="11" t="s">
        <v>42</v>
      </c>
      <c r="B99" s="11" t="str">
        <f t="shared" si="7"/>
        <v>ASTGTM2_N09W076.zip</v>
      </c>
      <c r="C99" s="11" t="str">
        <f t="shared" si="5"/>
        <v>ASTGTMV003_N09W076_dem.zip</v>
      </c>
      <c r="D99" s="11" t="str">
        <f t="shared" si="6"/>
        <v>https://data.lpdaac.earthdatacloud.nasa.gov/lp-prod-protected/ASTGTM.003/ASTGTMV003_N09W076_dem.zip</v>
      </c>
    </row>
    <row r="100" spans="1:4" x14ac:dyDescent="0.55000000000000004">
      <c r="A100" s="11" t="s">
        <v>41</v>
      </c>
      <c r="B100" s="11" t="str">
        <f t="shared" si="7"/>
        <v>ASTGTM2_N09W077.zip</v>
      </c>
      <c r="C100" s="11" t="str">
        <f t="shared" si="5"/>
        <v>ASTGTMV003_N09W077_dem.zip</v>
      </c>
      <c r="D100" s="11" t="str">
        <f t="shared" si="6"/>
        <v>https://data.lpdaac.earthdatacloud.nasa.gov/lp-prod-protected/ASTGTM.003/ASTGTMV003_N09W077_dem.zip</v>
      </c>
    </row>
    <row r="101" spans="1:4" x14ac:dyDescent="0.55000000000000004">
      <c r="A101" s="11" t="s">
        <v>40</v>
      </c>
      <c r="B101" s="11" t="str">
        <f t="shared" si="7"/>
        <v>ASTGTM2_N10W073.zip</v>
      </c>
      <c r="C101" s="11" t="str">
        <f t="shared" si="5"/>
        <v>ASTGTMV003_N10W073_dem.zip</v>
      </c>
      <c r="D101" s="11" t="str">
        <f t="shared" si="6"/>
        <v>https://data.lpdaac.earthdatacloud.nasa.gov/lp-prod-protected/ASTGTM.003/ASTGTMV003_N10W073_dem.zip</v>
      </c>
    </row>
    <row r="102" spans="1:4" x14ac:dyDescent="0.55000000000000004">
      <c r="A102" s="11" t="s">
        <v>39</v>
      </c>
      <c r="B102" s="11" t="str">
        <f t="shared" si="7"/>
        <v>ASTGTM2_N10W074.zip</v>
      </c>
      <c r="C102" s="11" t="str">
        <f t="shared" si="5"/>
        <v>ASTGTMV003_N10W074_dem.zip</v>
      </c>
      <c r="D102" s="11" t="str">
        <f t="shared" si="6"/>
        <v>https://data.lpdaac.earthdatacloud.nasa.gov/lp-prod-protected/ASTGTM.003/ASTGTMV003_N10W074_dem.zip</v>
      </c>
    </row>
    <row r="103" spans="1:4" x14ac:dyDescent="0.55000000000000004">
      <c r="A103" s="11" t="s">
        <v>38</v>
      </c>
      <c r="B103" s="11" t="str">
        <f t="shared" si="7"/>
        <v>ASTGTM2_N10W075.zip</v>
      </c>
      <c r="C103" s="11" t="str">
        <f t="shared" si="5"/>
        <v>ASTGTMV003_N10W075_dem.zip</v>
      </c>
      <c r="D103" s="11" t="str">
        <f t="shared" si="6"/>
        <v>https://data.lpdaac.earthdatacloud.nasa.gov/lp-prod-protected/ASTGTM.003/ASTGTMV003_N10W075_dem.zip</v>
      </c>
    </row>
    <row r="104" spans="1:4" x14ac:dyDescent="0.55000000000000004">
      <c r="A104" s="11" t="s">
        <v>37</v>
      </c>
      <c r="B104" s="11" t="str">
        <f t="shared" si="7"/>
        <v>ASTGTM2_N10W076.zip</v>
      </c>
      <c r="C104" s="11" t="str">
        <f t="shared" si="5"/>
        <v>ASTGTMV003_N10W076_dem.zip</v>
      </c>
      <c r="D104" s="11" t="str">
        <f t="shared" si="6"/>
        <v>https://data.lpdaac.earthdatacloud.nasa.gov/lp-prod-protected/ASTGTM.003/ASTGTMV003_N10W076_dem.zip</v>
      </c>
    </row>
    <row r="105" spans="1:4" x14ac:dyDescent="0.55000000000000004">
      <c r="A105" s="11" t="s">
        <v>36</v>
      </c>
      <c r="B105" s="11" t="str">
        <f t="shared" si="7"/>
        <v>ASTGTM2_N11W072.zip</v>
      </c>
      <c r="C105" s="11" t="str">
        <f t="shared" si="5"/>
        <v>ASTGTMV003_N11W072_dem.zip</v>
      </c>
      <c r="D105" s="11" t="str">
        <f t="shared" si="6"/>
        <v>https://data.lpdaac.earthdatacloud.nasa.gov/lp-prod-protected/ASTGTM.003/ASTGTMV003_N11W072_dem.zip</v>
      </c>
    </row>
    <row r="106" spans="1:4" x14ac:dyDescent="0.55000000000000004">
      <c r="A106" s="11" t="s">
        <v>35</v>
      </c>
      <c r="B106" s="11" t="str">
        <f t="shared" si="7"/>
        <v>ASTGTM2_N11W073.zip</v>
      </c>
      <c r="C106" s="11" t="str">
        <f t="shared" si="5"/>
        <v>ASTGTMV003_N11W073_dem.zip</v>
      </c>
      <c r="D106" s="11" t="str">
        <f t="shared" si="6"/>
        <v>https://data.lpdaac.earthdatacloud.nasa.gov/lp-prod-protected/ASTGTM.003/ASTGTMV003_N11W073_dem.zip</v>
      </c>
    </row>
    <row r="107" spans="1:4" x14ac:dyDescent="0.55000000000000004">
      <c r="A107" s="11" t="s">
        <v>34</v>
      </c>
      <c r="B107" s="11" t="str">
        <f t="shared" si="7"/>
        <v>ASTGTM2_N11W074.zip</v>
      </c>
      <c r="C107" s="11" t="str">
        <f t="shared" si="5"/>
        <v>ASTGTMV003_N11W074_dem.zip</v>
      </c>
      <c r="D107" s="11" t="str">
        <f t="shared" si="6"/>
        <v>https://data.lpdaac.earthdatacloud.nasa.gov/lp-prod-protected/ASTGTM.003/ASTGTMV003_N11W074_dem.zip</v>
      </c>
    </row>
    <row r="108" spans="1:4" x14ac:dyDescent="0.55000000000000004">
      <c r="A108" s="11" t="s">
        <v>33</v>
      </c>
      <c r="B108" s="11" t="str">
        <f t="shared" si="7"/>
        <v>ASTGTM2_N12W072.zip</v>
      </c>
      <c r="C108" s="11" t="str">
        <f t="shared" si="5"/>
        <v>ASTGTMV003_N12W072_dem.zip</v>
      </c>
      <c r="D108" s="11" t="str">
        <f t="shared" si="6"/>
        <v>https://data.lpdaac.earthdatacloud.nasa.gov/lp-prod-protected/ASTGTM.003/ASTGTMV003_N12W072_dem.zip</v>
      </c>
    </row>
    <row r="109" spans="1:4" x14ac:dyDescent="0.55000000000000004">
      <c r="A109" s="11" t="s">
        <v>32</v>
      </c>
      <c r="B109" s="11" t="str">
        <f t="shared" si="7"/>
        <v>ASTGTM2_N12W073.zip</v>
      </c>
      <c r="C109" s="11" t="str">
        <f t="shared" si="5"/>
        <v>ASTGTMV003_N12W073_dem.zip</v>
      </c>
      <c r="D109" s="11" t="str">
        <f t="shared" si="6"/>
        <v>https://data.lpdaac.earthdatacloud.nasa.gov/lp-prod-protected/ASTGTM.003/ASTGTMV003_N12W073_dem.zip</v>
      </c>
    </row>
    <row r="110" spans="1:4" x14ac:dyDescent="0.55000000000000004">
      <c r="A110" s="11" t="s">
        <v>158</v>
      </c>
      <c r="B110" s="11" t="str">
        <f t="shared" si="7"/>
        <v>ASTGTM2_N12W082.zip</v>
      </c>
      <c r="C110" s="11" t="str">
        <f t="shared" si="5"/>
        <v>ASTGTMV003_N12W082_dem.zip</v>
      </c>
      <c r="D110" s="11" t="str">
        <f t="shared" si="6"/>
        <v>https://data.lpdaac.earthdatacloud.nasa.gov/lp-prod-protected/ASTGTM.003/ASTGTMV003_N12W082_dem.zip</v>
      </c>
    </row>
    <row r="111" spans="1:4" x14ac:dyDescent="0.55000000000000004">
      <c r="A111" s="11" t="s">
        <v>157</v>
      </c>
      <c r="B111" s="11" t="str">
        <f t="shared" si="7"/>
        <v>ASTGTM2_N13W082.zip</v>
      </c>
      <c r="C111" s="11" t="str">
        <f t="shared" si="5"/>
        <v>ASTGTMV003_N13W082_dem.zip</v>
      </c>
      <c r="D111" s="11" t="str">
        <f t="shared" si="6"/>
        <v>https://data.lpdaac.earthdatacloud.nasa.gov/lp-prod-protected/ASTGTM.003/ASTGTMV003_N13W082_dem.zip</v>
      </c>
    </row>
    <row r="112" spans="1:4" x14ac:dyDescent="0.55000000000000004">
      <c r="A112" s="11" t="s">
        <v>137</v>
      </c>
      <c r="B112" s="11" t="str">
        <f t="shared" si="7"/>
        <v>ASTGTM2_S01W070.zip</v>
      </c>
      <c r="C112" s="11" t="str">
        <f t="shared" si="5"/>
        <v>ASTGTMV003_S01W070_dem.zip</v>
      </c>
      <c r="D112" s="11" t="str">
        <f t="shared" si="6"/>
        <v>https://data.lpdaac.earthdatacloud.nasa.gov/lp-prod-protected/ASTGTM.003/ASTGTMV003_S01W070_dem.zip</v>
      </c>
    </row>
    <row r="113" spans="1:4" x14ac:dyDescent="0.55000000000000004">
      <c r="A113" s="11" t="s">
        <v>136</v>
      </c>
      <c r="B113" s="11" t="str">
        <f t="shared" si="7"/>
        <v>ASTGTM2_S01W071.zip</v>
      </c>
      <c r="C113" s="11" t="str">
        <f t="shared" si="5"/>
        <v>ASTGTMV003_S01W071_dem.zip</v>
      </c>
      <c r="D113" s="11" t="str">
        <f t="shared" si="6"/>
        <v>https://data.lpdaac.earthdatacloud.nasa.gov/lp-prod-protected/ASTGTM.003/ASTGTMV003_S01W071_dem.zip</v>
      </c>
    </row>
    <row r="114" spans="1:4" x14ac:dyDescent="0.55000000000000004">
      <c r="A114" s="11" t="s">
        <v>135</v>
      </c>
      <c r="B114" s="11" t="str">
        <f t="shared" si="7"/>
        <v>ASTGTM2_S01W072.zip</v>
      </c>
      <c r="C114" s="11" t="str">
        <f t="shared" si="5"/>
        <v>ASTGTMV003_S01W072_dem.zip</v>
      </c>
      <c r="D114" s="11" t="str">
        <f t="shared" si="6"/>
        <v>https://data.lpdaac.earthdatacloud.nasa.gov/lp-prod-protected/ASTGTM.003/ASTGTMV003_S01W072_dem.zip</v>
      </c>
    </row>
    <row r="115" spans="1:4" x14ac:dyDescent="0.55000000000000004">
      <c r="A115" s="11" t="s">
        <v>134</v>
      </c>
      <c r="B115" s="11" t="str">
        <f t="shared" si="7"/>
        <v>ASTGTM2_S01W073.zip</v>
      </c>
      <c r="C115" s="11" t="str">
        <f t="shared" si="5"/>
        <v>ASTGTMV003_S01W073_dem.zip</v>
      </c>
      <c r="D115" s="11" t="str">
        <f t="shared" si="6"/>
        <v>https://data.lpdaac.earthdatacloud.nasa.gov/lp-prod-protected/ASTGTM.003/ASTGTMV003_S01W073_dem.zip</v>
      </c>
    </row>
    <row r="116" spans="1:4" x14ac:dyDescent="0.55000000000000004">
      <c r="A116" s="11" t="s">
        <v>133</v>
      </c>
      <c r="B116" s="11" t="str">
        <f t="shared" si="7"/>
        <v>ASTGTM2_S01W074.zip</v>
      </c>
      <c r="C116" s="11" t="str">
        <f t="shared" si="5"/>
        <v>ASTGTMV003_S01W074_dem.zip</v>
      </c>
      <c r="D116" s="11" t="str">
        <f t="shared" si="6"/>
        <v>https://data.lpdaac.earthdatacloud.nasa.gov/lp-prod-protected/ASTGTM.003/ASTGTMV003_S01W074_dem.zip</v>
      </c>
    </row>
    <row r="117" spans="1:4" x14ac:dyDescent="0.55000000000000004">
      <c r="A117" s="11" t="s">
        <v>132</v>
      </c>
      <c r="B117" s="11" t="str">
        <f t="shared" si="7"/>
        <v>ASTGTM2_S01W075.zip</v>
      </c>
      <c r="C117" s="11" t="str">
        <f t="shared" si="5"/>
        <v>ASTGTMV003_S01W075_dem.zip</v>
      </c>
      <c r="D117" s="11" t="str">
        <f t="shared" si="6"/>
        <v>https://data.lpdaac.earthdatacloud.nasa.gov/lp-prod-protected/ASTGTM.003/ASTGTMV003_S01W075_dem.zip</v>
      </c>
    </row>
    <row r="118" spans="1:4" x14ac:dyDescent="0.55000000000000004">
      <c r="A118" s="11" t="s">
        <v>131</v>
      </c>
      <c r="B118" s="11" t="str">
        <f t="shared" si="7"/>
        <v>ASTGTM2_S01W076.zip</v>
      </c>
      <c r="C118" s="11" t="str">
        <f t="shared" si="5"/>
        <v>ASTGTMV003_S01W076_dem.zip</v>
      </c>
      <c r="D118" s="11" t="str">
        <f t="shared" si="6"/>
        <v>https://data.lpdaac.earthdatacloud.nasa.gov/lp-prod-protected/ASTGTM.003/ASTGTMV003_S01W076_dem.zip</v>
      </c>
    </row>
    <row r="119" spans="1:4" x14ac:dyDescent="0.55000000000000004">
      <c r="A119" s="11" t="s">
        <v>130</v>
      </c>
      <c r="B119" s="11" t="str">
        <f t="shared" si="7"/>
        <v>ASTGTM2_S01W077.zip</v>
      </c>
      <c r="C119" s="11" t="str">
        <f t="shared" si="5"/>
        <v>ASTGTMV003_S01W077_dem.zip</v>
      </c>
      <c r="D119" s="11" t="str">
        <f t="shared" si="6"/>
        <v>https://data.lpdaac.earthdatacloud.nasa.gov/lp-prod-protected/ASTGTM.003/ASTGTMV003_S01W077_dem.zip</v>
      </c>
    </row>
    <row r="120" spans="1:4" x14ac:dyDescent="0.55000000000000004">
      <c r="A120" s="11" t="s">
        <v>143</v>
      </c>
      <c r="B120" s="11" t="str">
        <f t="shared" si="7"/>
        <v>ASTGTM2_S02W070.zip</v>
      </c>
      <c r="C120" s="11" t="str">
        <f t="shared" si="5"/>
        <v>ASTGTMV003_S02W070_dem.zip</v>
      </c>
      <c r="D120" s="11" t="str">
        <f t="shared" si="6"/>
        <v>https://data.lpdaac.earthdatacloud.nasa.gov/lp-prod-protected/ASTGTM.003/ASTGTMV003_S02W070_dem.zip</v>
      </c>
    </row>
    <row r="121" spans="1:4" x14ac:dyDescent="0.55000000000000004">
      <c r="A121" s="11" t="s">
        <v>142</v>
      </c>
      <c r="B121" s="11" t="str">
        <f t="shared" si="7"/>
        <v>ASTGTM2_S02W071.zip</v>
      </c>
      <c r="C121" s="11" t="str">
        <f t="shared" si="5"/>
        <v>ASTGTMV003_S02W071_dem.zip</v>
      </c>
      <c r="D121" s="11" t="str">
        <f t="shared" si="6"/>
        <v>https://data.lpdaac.earthdatacloud.nasa.gov/lp-prod-protected/ASTGTM.003/ASTGTMV003_S02W071_dem.zip</v>
      </c>
    </row>
    <row r="122" spans="1:4" x14ac:dyDescent="0.55000000000000004">
      <c r="A122" s="11" t="s">
        <v>141</v>
      </c>
      <c r="B122" s="11" t="str">
        <f t="shared" si="7"/>
        <v>ASTGTM2_S02W072.zip</v>
      </c>
      <c r="C122" s="11" t="str">
        <f t="shared" si="5"/>
        <v>ASTGTMV003_S02W072_dem.zip</v>
      </c>
      <c r="D122" s="11" t="str">
        <f t="shared" si="6"/>
        <v>https://data.lpdaac.earthdatacloud.nasa.gov/lp-prod-protected/ASTGTM.003/ASTGTMV003_S02W072_dem.zip</v>
      </c>
    </row>
    <row r="123" spans="1:4" x14ac:dyDescent="0.55000000000000004">
      <c r="A123" s="11" t="s">
        <v>140</v>
      </c>
      <c r="B123" s="11" t="str">
        <f t="shared" si="7"/>
        <v>ASTGTM2_S02W073.zip</v>
      </c>
      <c r="C123" s="11" t="str">
        <f t="shared" si="5"/>
        <v>ASTGTMV003_S02W073_dem.zip</v>
      </c>
      <c r="D123" s="11" t="str">
        <f t="shared" si="6"/>
        <v>https://data.lpdaac.earthdatacloud.nasa.gov/lp-prod-protected/ASTGTM.003/ASTGTMV003_S02W073_dem.zip</v>
      </c>
    </row>
    <row r="124" spans="1:4" x14ac:dyDescent="0.55000000000000004">
      <c r="A124" s="11" t="s">
        <v>139</v>
      </c>
      <c r="B124" s="11" t="str">
        <f t="shared" si="7"/>
        <v>ASTGTM2_S02W074.zip</v>
      </c>
      <c r="C124" s="11" t="str">
        <f t="shared" si="5"/>
        <v>ASTGTMV003_S02W074_dem.zip</v>
      </c>
      <c r="D124" s="11" t="str">
        <f t="shared" si="6"/>
        <v>https://data.lpdaac.earthdatacloud.nasa.gov/lp-prod-protected/ASTGTM.003/ASTGTMV003_S02W074_dem.zip</v>
      </c>
    </row>
    <row r="125" spans="1:4" x14ac:dyDescent="0.55000000000000004">
      <c r="A125" s="11" t="s">
        <v>138</v>
      </c>
      <c r="B125" s="11" t="str">
        <f t="shared" si="7"/>
        <v>ASTGTM2_S02W075.zip</v>
      </c>
      <c r="C125" s="11" t="str">
        <f t="shared" si="5"/>
        <v>ASTGTMV003_S02W075_dem.zip</v>
      </c>
      <c r="D125" s="11" t="str">
        <f t="shared" si="6"/>
        <v>https://data.lpdaac.earthdatacloud.nasa.gov/lp-prod-protected/ASTGTM.003/ASTGTMV003_S02W075_dem.zip</v>
      </c>
    </row>
    <row r="126" spans="1:4" x14ac:dyDescent="0.55000000000000004">
      <c r="A126" s="11" t="s">
        <v>148</v>
      </c>
      <c r="B126" s="11" t="str">
        <f t="shared" si="7"/>
        <v>ASTGTM2_S03W070.zip</v>
      </c>
      <c r="C126" s="11" t="str">
        <f t="shared" si="5"/>
        <v>ASTGTMV003_S03W070_dem.zip</v>
      </c>
      <c r="D126" s="11" t="str">
        <f t="shared" si="6"/>
        <v>https://data.lpdaac.earthdatacloud.nasa.gov/lp-prod-protected/ASTGTM.003/ASTGTMV003_S03W070_dem.zip</v>
      </c>
    </row>
    <row r="127" spans="1:4" x14ac:dyDescent="0.55000000000000004">
      <c r="A127" s="11" t="s">
        <v>147</v>
      </c>
      <c r="B127" s="11" t="str">
        <f t="shared" si="7"/>
        <v>ASTGTM2_S03W071.zip</v>
      </c>
      <c r="C127" s="11" t="str">
        <f t="shared" si="5"/>
        <v>ASTGTMV003_S03W071_dem.zip</v>
      </c>
      <c r="D127" s="11" t="str">
        <f t="shared" si="6"/>
        <v>https://data.lpdaac.earthdatacloud.nasa.gov/lp-prod-protected/ASTGTM.003/ASTGTMV003_S03W071_dem.zip</v>
      </c>
    </row>
    <row r="128" spans="1:4" x14ac:dyDescent="0.55000000000000004">
      <c r="A128" s="11" t="s">
        <v>146</v>
      </c>
      <c r="B128" s="11" t="str">
        <f t="shared" si="7"/>
        <v>ASTGTM2_S03W072.zip</v>
      </c>
      <c r="C128" s="11" t="str">
        <f t="shared" si="5"/>
        <v>ASTGTMV003_S03W072_dem.zip</v>
      </c>
      <c r="D128" s="11" t="str">
        <f t="shared" si="6"/>
        <v>https://data.lpdaac.earthdatacloud.nasa.gov/lp-prod-protected/ASTGTM.003/ASTGTMV003_S03W072_dem.zip</v>
      </c>
    </row>
    <row r="129" spans="1:4" x14ac:dyDescent="0.55000000000000004">
      <c r="A129" s="11" t="s">
        <v>145</v>
      </c>
      <c r="B129" s="11" t="str">
        <f t="shared" si="7"/>
        <v>ASTGTM2_S03W073.zip</v>
      </c>
      <c r="C129" s="11" t="str">
        <f t="shared" si="5"/>
        <v>ASTGTMV003_S03W073_dem.zip</v>
      </c>
      <c r="D129" s="11" t="str">
        <f t="shared" si="6"/>
        <v>https://data.lpdaac.earthdatacloud.nasa.gov/lp-prod-protected/ASTGTM.003/ASTGTMV003_S03W073_dem.zip</v>
      </c>
    </row>
    <row r="130" spans="1:4" x14ac:dyDescent="0.55000000000000004">
      <c r="A130" s="11" t="s">
        <v>144</v>
      </c>
      <c r="B130" s="11" t="str">
        <f t="shared" ref="B130:B134" si="8">CONCATENATE("ASTGTM2_",A130,".zip")</f>
        <v>ASTGTM2_S03W074.zip</v>
      </c>
      <c r="C130" s="11" t="str">
        <f t="shared" si="5"/>
        <v>ASTGTMV003_S03W074_dem.zip</v>
      </c>
      <c r="D130" s="11" t="str">
        <f t="shared" si="6"/>
        <v>https://data.lpdaac.earthdatacloud.nasa.gov/lp-prod-protected/ASTGTM.003/ASTGTMV003_S03W074_dem.zip</v>
      </c>
    </row>
    <row r="131" spans="1:4" x14ac:dyDescent="0.55000000000000004">
      <c r="A131" s="11" t="s">
        <v>150</v>
      </c>
      <c r="B131" s="11" t="str">
        <f t="shared" si="8"/>
        <v>ASTGTM2_S04W070.zip</v>
      </c>
      <c r="C131" s="11" t="str">
        <f t="shared" ref="C131:D134" si="9">CONCATENATE("ASTGTMV003_",A131,"_dem.zip")</f>
        <v>ASTGTMV003_S04W070_dem.zip</v>
      </c>
      <c r="D131" s="11" t="str">
        <f t="shared" ref="D131:D134" si="10">CONCATENATE("https://data.lpdaac.earthdatacloud.nasa.gov/lp-prod-protected/ASTGTM.003/ASTGTMV003_",A131,"_dem.zip")</f>
        <v>https://data.lpdaac.earthdatacloud.nasa.gov/lp-prod-protected/ASTGTM.003/ASTGTMV003_S04W070_dem.zip</v>
      </c>
    </row>
    <row r="132" spans="1:4" x14ac:dyDescent="0.55000000000000004">
      <c r="A132" s="11" t="s">
        <v>149</v>
      </c>
      <c r="B132" s="11" t="str">
        <f t="shared" si="8"/>
        <v>ASTGTM2_S04W071.zip</v>
      </c>
      <c r="C132" s="11" t="str">
        <f t="shared" si="9"/>
        <v>ASTGTMV003_S04W071_dem.zip</v>
      </c>
      <c r="D132" s="11" t="str">
        <f t="shared" si="10"/>
        <v>https://data.lpdaac.earthdatacloud.nasa.gov/lp-prod-protected/ASTGTM.003/ASTGTMV003_S04W071_dem.zip</v>
      </c>
    </row>
    <row r="133" spans="1:4" x14ac:dyDescent="0.55000000000000004">
      <c r="A133" s="11" t="s">
        <v>152</v>
      </c>
      <c r="B133" s="11" t="str">
        <f t="shared" si="8"/>
        <v>ASTGTM2_S05W070.zip</v>
      </c>
      <c r="C133" s="11" t="str">
        <f t="shared" si="9"/>
        <v>ASTGTMV003_S05W070_dem.zip</v>
      </c>
      <c r="D133" s="11" t="str">
        <f t="shared" si="10"/>
        <v>https://data.lpdaac.earthdatacloud.nasa.gov/lp-prod-protected/ASTGTM.003/ASTGTMV003_S05W070_dem.zip</v>
      </c>
    </row>
    <row r="134" spans="1:4" x14ac:dyDescent="0.55000000000000004">
      <c r="A134" s="11" t="s">
        <v>151</v>
      </c>
      <c r="B134" s="11" t="str">
        <f t="shared" si="8"/>
        <v>ASTGTM2_S05W071.zip</v>
      </c>
      <c r="C134" s="11" t="str">
        <f t="shared" si="9"/>
        <v>ASTGTMV003_S05W071_dem.zip</v>
      </c>
      <c r="D134" s="11" t="str">
        <f t="shared" si="10"/>
        <v>https://data.lpdaac.earthdatacloud.nasa.gov/lp-prod-protected/ASTGTM.003/ASTGTMV003_S05W071_dem.zip</v>
      </c>
    </row>
  </sheetData>
  <autoFilter ref="A1:B132" xr:uid="{00000000-0009-0000-0000-000001000000}">
    <sortState xmlns:xlrd2="http://schemas.microsoft.com/office/spreadsheetml/2017/richdata2" ref="A2:B134">
      <sortCondition ref="A1:A13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EB65B-6261-4B80-A9B3-FC9A5D9E133F}">
  <dimension ref="B2:B10"/>
  <sheetViews>
    <sheetView showGridLines="0" showRowColHeaders="0" zoomScale="160" zoomScaleNormal="160" workbookViewId="0">
      <selection activeCell="C8" sqref="C8"/>
    </sheetView>
  </sheetViews>
  <sheetFormatPr defaultColWidth="11.3828125" defaultRowHeight="17.149999999999999" x14ac:dyDescent="0.55000000000000004"/>
  <cols>
    <col min="1" max="1" width="2.69140625" style="11" customWidth="1"/>
    <col min="2" max="2" width="20.53515625" style="11" bestFit="1" customWidth="1"/>
    <col min="3" max="16384" width="11.3828125" style="11"/>
  </cols>
  <sheetData>
    <row r="2" spans="2:2" x14ac:dyDescent="0.55000000000000004">
      <c r="B2" s="11" t="s">
        <v>178</v>
      </c>
    </row>
    <row r="3" spans="2:2" x14ac:dyDescent="0.55000000000000004">
      <c r="B3" s="11" t="s">
        <v>170</v>
      </c>
    </row>
    <row r="4" spans="2:2" x14ac:dyDescent="0.55000000000000004">
      <c r="B4" s="11" t="s">
        <v>171</v>
      </c>
    </row>
    <row r="5" spans="2:2" x14ac:dyDescent="0.55000000000000004">
      <c r="B5" s="11" t="s">
        <v>172</v>
      </c>
    </row>
    <row r="6" spans="2:2" x14ac:dyDescent="0.55000000000000004">
      <c r="B6" s="11" t="s">
        <v>173</v>
      </c>
    </row>
    <row r="7" spans="2:2" x14ac:dyDescent="0.55000000000000004">
      <c r="B7" s="11" t="s">
        <v>174</v>
      </c>
    </row>
    <row r="8" spans="2:2" x14ac:dyDescent="0.55000000000000004">
      <c r="B8" s="11" t="s">
        <v>175</v>
      </c>
    </row>
    <row r="9" spans="2:2" x14ac:dyDescent="0.55000000000000004">
      <c r="B9" s="11" t="s">
        <v>176</v>
      </c>
    </row>
    <row r="10" spans="2:2" x14ac:dyDescent="0.55000000000000004">
      <c r="B10" s="11" t="s">
        <v>177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23982-78DC-49B5-A10F-2A33703F27A0}">
  <dimension ref="B2:B22"/>
  <sheetViews>
    <sheetView showGridLines="0" showRowColHeaders="0" zoomScale="115" zoomScaleNormal="115" workbookViewId="0">
      <selection activeCell="B7" sqref="B7"/>
    </sheetView>
  </sheetViews>
  <sheetFormatPr defaultColWidth="11.3828125" defaultRowHeight="17.149999999999999" x14ac:dyDescent="0.4"/>
  <cols>
    <col min="1" max="1" width="2.69140625" style="13" customWidth="1"/>
    <col min="2" max="2" width="63.84375" style="13" customWidth="1"/>
    <col min="3" max="16384" width="11.3828125" style="13"/>
  </cols>
  <sheetData>
    <row r="2" spans="2:2" x14ac:dyDescent="0.4">
      <c r="B2" s="12" t="s">
        <v>180</v>
      </c>
    </row>
    <row r="3" spans="2:2" x14ac:dyDescent="0.4">
      <c r="B3" s="14" t="s">
        <v>181</v>
      </c>
    </row>
    <row r="4" spans="2:2" x14ac:dyDescent="0.4">
      <c r="B4" s="14" t="s">
        <v>182</v>
      </c>
    </row>
    <row r="5" spans="2:2" x14ac:dyDescent="0.4">
      <c r="B5" s="12"/>
    </row>
    <row r="6" spans="2:2" x14ac:dyDescent="0.4">
      <c r="B6" s="12" t="s">
        <v>183</v>
      </c>
    </row>
    <row r="7" spans="2:2" x14ac:dyDescent="0.4">
      <c r="B7" s="15" t="s">
        <v>184</v>
      </c>
    </row>
    <row r="22" spans="2:2" x14ac:dyDescent="0.4">
      <c r="B22" s="16" t="s">
        <v>185</v>
      </c>
    </row>
  </sheetData>
  <sheetProtection algorithmName="SHA-512" hashValue="bTceIAnuQBpB8+f6rzttpkszPIc8jELrlfCRKErPltUjte8lOzcd5XNQgb2o9GYWOc1rapIGzlpccuIQ5ZvneQ==" saltValue="rlLEvjSGVDIHlX8xFrO/6Q==" spinCount="100000" sheet="1" objects="1" scenarios="1" selectLockedCells="1"/>
  <hyperlinks>
    <hyperlink ref="B3" r:id="rId1" xr:uid="{1CE4C701-AEA1-4771-91C8-AA6B197660AF}"/>
    <hyperlink ref="B4" r:id="rId2" xr:uid="{97D3DFA9-F740-42FB-AE88-1DB713D12B02}"/>
    <hyperlink ref="B7" r:id="rId3" xr:uid="{78542DFC-D6BD-43F4-8A87-521681B9CA12}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</vt:lpstr>
      <vt:lpstr>ListGranules</vt:lpstr>
      <vt:lpstr>ALOSPALSAR</vt:lpstr>
      <vt:lpstr>{R}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</cp:lastModifiedBy>
  <dcterms:created xsi:type="dcterms:W3CDTF">2017-03-17T20:15:39Z</dcterms:created>
  <dcterms:modified xsi:type="dcterms:W3CDTF">2022-07-09T22:21:10Z</dcterms:modified>
</cp:coreProperties>
</file>