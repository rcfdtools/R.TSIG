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UECIJG.ClassSourcecode/TSIG/Taller6/"/>
    </mc:Choice>
  </mc:AlternateContent>
  <xr:revisionPtr revIDLastSave="1" documentId="8_{69166213-5BA7-4A20-8BCA-CA50EA85FD2F}" xr6:coauthVersionLast="47" xr6:coauthVersionMax="47" xr10:uidLastSave="{EB392856-DFB8-4B19-8497-38B518A87E0D}"/>
  <bookViews>
    <workbookView xWindow="-98" yWindow="-98" windowWidth="19396" windowHeight="11475" xr2:uid="{76DD096F-A9D3-4BBC-BEEF-001885BF17B6}"/>
  </bookViews>
  <sheets>
    <sheet name="Sheet1" sheetId="1" r:id="rId1"/>
  </sheets>
  <definedNames>
    <definedName name="zmin">Sheet1!$C$1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" i="1"/>
  <c r="N2" i="1" s="1"/>
  <c r="M5" i="1"/>
  <c r="M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L29" i="1"/>
  <c r="K5" i="1"/>
  <c r="K6" i="1"/>
  <c r="L7" i="1" s="1"/>
  <c r="K7" i="1"/>
  <c r="L8" i="1" s="1"/>
  <c r="K8" i="1"/>
  <c r="K9" i="1"/>
  <c r="L10" i="1" s="1"/>
  <c r="K10" i="1"/>
  <c r="K11" i="1"/>
  <c r="K12" i="1"/>
  <c r="L13" i="1" s="1"/>
  <c r="K13" i="1"/>
  <c r="K14" i="1"/>
  <c r="L15" i="1" s="1"/>
  <c r="K15" i="1"/>
  <c r="L16" i="1" s="1"/>
  <c r="K16" i="1"/>
  <c r="K17" i="1"/>
  <c r="L18" i="1" s="1"/>
  <c r="K18" i="1"/>
  <c r="K19" i="1"/>
  <c r="K20" i="1"/>
  <c r="L21" i="1" s="1"/>
  <c r="K21" i="1"/>
  <c r="K22" i="1"/>
  <c r="L23" i="1" s="1"/>
  <c r="K23" i="1"/>
  <c r="L24" i="1" s="1"/>
  <c r="K24" i="1"/>
  <c r="K25" i="1"/>
  <c r="L26" i="1" s="1"/>
  <c r="K26" i="1"/>
  <c r="K27" i="1"/>
  <c r="K28" i="1"/>
  <c r="K29" i="1"/>
  <c r="K30" i="1"/>
  <c r="L31" i="1" s="1"/>
  <c r="K31" i="1"/>
  <c r="L32" i="1" s="1"/>
  <c r="K32" i="1"/>
  <c r="K33" i="1"/>
  <c r="L34" i="1" s="1"/>
  <c r="K34" i="1"/>
  <c r="K35" i="1"/>
  <c r="K36" i="1"/>
  <c r="K37" i="1"/>
  <c r="K38" i="1"/>
  <c r="L39" i="1" s="1"/>
  <c r="K39" i="1"/>
  <c r="L40" i="1" s="1"/>
  <c r="K40" i="1"/>
  <c r="K41" i="1"/>
  <c r="L42" i="1" s="1"/>
  <c r="K42" i="1"/>
  <c r="K43" i="1"/>
  <c r="K44" i="1"/>
  <c r="L45" i="1" s="1"/>
  <c r="K45" i="1"/>
  <c r="K46" i="1"/>
  <c r="L47" i="1" s="1"/>
  <c r="K47" i="1"/>
  <c r="L48" i="1" s="1"/>
  <c r="K48" i="1"/>
  <c r="K49" i="1"/>
  <c r="L50" i="1" s="1"/>
  <c r="K50" i="1"/>
  <c r="K51" i="1"/>
  <c r="K52" i="1"/>
  <c r="L53" i="1" s="1"/>
  <c r="K53" i="1"/>
  <c r="K54" i="1"/>
  <c r="K4" i="1"/>
  <c r="C1" i="1"/>
  <c r="L54" i="1" l="1"/>
  <c r="L22" i="1"/>
  <c r="L6" i="1"/>
  <c r="L46" i="1"/>
  <c r="L14" i="1"/>
  <c r="L37" i="1"/>
  <c r="L52" i="1"/>
  <c r="L44" i="1"/>
  <c r="L36" i="1"/>
  <c r="L28" i="1"/>
  <c r="L20" i="1"/>
  <c r="L12" i="1"/>
  <c r="L30" i="1"/>
  <c r="L5" i="1"/>
  <c r="L51" i="1"/>
  <c r="L43" i="1"/>
  <c r="L35" i="1"/>
  <c r="L27" i="1"/>
  <c r="L19" i="1"/>
  <c r="L11" i="1"/>
  <c r="L38" i="1"/>
  <c r="L49" i="1"/>
  <c r="L41" i="1"/>
  <c r="L33" i="1"/>
  <c r="L25" i="1"/>
  <c r="L17" i="1"/>
  <c r="L9" i="1"/>
  <c r="L2" i="1" l="1"/>
</calcChain>
</file>

<file path=xl/sharedStrings.xml><?xml version="1.0" encoding="utf-8"?>
<sst xmlns="http://schemas.openxmlformats.org/spreadsheetml/2006/main" count="18" uniqueCount="18">
  <si>
    <t>id</t>
  </si>
  <si>
    <t>Lm</t>
  </si>
  <si>
    <t>Abscissa</t>
  </si>
  <si>
    <t>vertex_pos</t>
  </si>
  <si>
    <t>vertex_ind</t>
  </si>
  <si>
    <t>vertex_par</t>
  </si>
  <si>
    <t>vertex_p_1</t>
  </si>
  <si>
    <t>distance</t>
  </si>
  <si>
    <t>angle</t>
  </si>
  <si>
    <t>SAMPLE_1</t>
  </si>
  <si>
    <t>zmin</t>
  </si>
  <si>
    <t>z-zmin</t>
  </si>
  <si>
    <t>Atrapkm2</t>
  </si>
  <si>
    <t>Atotal</t>
  </si>
  <si>
    <t>Slpmed</t>
  </si>
  <si>
    <t>Slp Sent Dib</t>
  </si>
  <si>
    <t>Slp abs</t>
  </si>
  <si>
    <t>Slp Sent 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</si>
</sst>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C5F7-0402-449A-B71A-37C039B62032}">
  <dimension ref="A1:O54"/>
  <sheetViews>
    <sheetView tabSelected="1" topLeftCell="C1" zoomScale="115" zoomScaleNormal="115" workbookViewId="0">
      <pane ySplit="3" topLeftCell="A4" activePane="bottomLeft" state="frozen"/>
      <selection pane="bottomLeft" activeCell="O5" sqref="O5"/>
    </sheetView>
  </sheetViews>
  <sheetFormatPr defaultRowHeight="14.25" x14ac:dyDescent="0.45"/>
  <cols>
    <col min="1" max="1" width="2.73046875" bestFit="1" customWidth="1"/>
    <col min="2" max="3" width="11.73046875" bestFit="1" customWidth="1"/>
    <col min="5" max="5" width="8.6640625" bestFit="1" customWidth="1"/>
    <col min="6" max="6" width="8.73046875" bestFit="1" customWidth="1"/>
    <col min="7" max="7" width="9" bestFit="1" customWidth="1"/>
    <col min="8" max="8" width="7.46484375" bestFit="1" customWidth="1"/>
    <col min="9" max="9" width="11.73046875" bestFit="1" customWidth="1"/>
    <col min="10" max="10" width="8.796875" bestFit="1" customWidth="1"/>
    <col min="13" max="13" width="10.59765625" customWidth="1"/>
    <col min="14" max="14" width="11.6640625" customWidth="1"/>
  </cols>
  <sheetData>
    <row r="1" spans="1:15" x14ac:dyDescent="0.45">
      <c r="B1" t="s">
        <v>10</v>
      </c>
      <c r="C1">
        <f>MIN(J4:J1000)</f>
        <v>102</v>
      </c>
      <c r="L1" t="s">
        <v>13</v>
      </c>
      <c r="M1" t="s">
        <v>14</v>
      </c>
    </row>
    <row r="2" spans="1:15" x14ac:dyDescent="0.45">
      <c r="L2">
        <f>SUM(L4:L1000)</f>
        <v>133.59797248574395</v>
      </c>
      <c r="M2">
        <f>AVERAGE(M4:M1000)</f>
        <v>1.0627338451199205E-2</v>
      </c>
      <c r="N2">
        <f>AVERAGE(N4:N1000)</f>
        <v>-1.0627338451199205E-2</v>
      </c>
      <c r="O2">
        <f>AVERAGE(O4:O1000)</f>
        <v>0.1182195063004069</v>
      </c>
    </row>
    <row r="3" spans="1:15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11</v>
      </c>
      <c r="L3" t="s">
        <v>12</v>
      </c>
      <c r="M3" t="s">
        <v>15</v>
      </c>
      <c r="N3" t="s">
        <v>17</v>
      </c>
      <c r="O3" t="s">
        <v>16</v>
      </c>
    </row>
    <row r="4" spans="1:15" x14ac:dyDescent="0.45">
      <c r="A4">
        <v>1</v>
      </c>
      <c r="B4">
        <v>2335.4859839999999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148.53245205770401</v>
      </c>
      <c r="J4">
        <v>4217</v>
      </c>
      <c r="K4">
        <f>J4-zmin</f>
        <v>4115</v>
      </c>
      <c r="L4">
        <v>0</v>
      </c>
    </row>
    <row r="5" spans="1:15" x14ac:dyDescent="0.45">
      <c r="A5">
        <v>2</v>
      </c>
      <c r="B5">
        <v>2335.4859839999999</v>
      </c>
      <c r="C5">
        <v>2335.4859839999999</v>
      </c>
      <c r="D5">
        <v>0</v>
      </c>
      <c r="E5">
        <v>0</v>
      </c>
      <c r="F5">
        <v>0</v>
      </c>
      <c r="G5">
        <v>0</v>
      </c>
      <c r="H5">
        <v>0</v>
      </c>
      <c r="I5">
        <v>148.5324520577</v>
      </c>
      <c r="J5">
        <v>4374</v>
      </c>
      <c r="K5">
        <f>J5-zmin</f>
        <v>4272</v>
      </c>
      <c r="L5">
        <f>(((K4+K5)*B5)/2)/1000000</f>
        <v>9.7938604739039992</v>
      </c>
      <c r="M5">
        <f>(J4-J5)/B5</f>
        <v>-6.7223696085345466E-2</v>
      </c>
      <c r="N5">
        <f>(J5-J4)/B5</f>
        <v>6.7223696085345466E-2</v>
      </c>
      <c r="O5">
        <f>ABS(J5-J4)/B5</f>
        <v>6.7223696085345466E-2</v>
      </c>
    </row>
    <row r="6" spans="1:15" x14ac:dyDescent="0.45">
      <c r="A6">
        <v>3</v>
      </c>
      <c r="B6">
        <v>2335.4859839999999</v>
      </c>
      <c r="C6">
        <v>4670.9719690000002</v>
      </c>
      <c r="D6">
        <v>0</v>
      </c>
      <c r="E6">
        <v>0</v>
      </c>
      <c r="F6">
        <v>0</v>
      </c>
      <c r="G6">
        <v>0</v>
      </c>
      <c r="H6">
        <v>0</v>
      </c>
      <c r="I6">
        <v>148.53245205770401</v>
      </c>
      <c r="J6">
        <v>4422</v>
      </c>
      <c r="K6">
        <f>J6-zmin</f>
        <v>4320</v>
      </c>
      <c r="L6">
        <f t="shared" ref="L6:L54" si="0">(((K5+K6)*B6)/2)/1000000</f>
        <v>10.033247787263999</v>
      </c>
      <c r="M6">
        <f t="shared" ref="M6:M54" si="1">(J5-J6)/B6</f>
        <v>-2.0552467592971864E-2</v>
      </c>
      <c r="N6">
        <f t="shared" ref="N6:N54" si="2">(J6-J5)/B6</f>
        <v>2.0552467592971864E-2</v>
      </c>
      <c r="O6">
        <f t="shared" ref="O6:O54" si="3">ABS(J6-J5)/B6</f>
        <v>2.0552467592971864E-2</v>
      </c>
    </row>
    <row r="7" spans="1:15" x14ac:dyDescent="0.45">
      <c r="A7">
        <v>4</v>
      </c>
      <c r="B7">
        <v>2335.4859839999999</v>
      </c>
      <c r="C7">
        <v>7006.4579540000004</v>
      </c>
      <c r="D7">
        <v>0</v>
      </c>
      <c r="E7">
        <v>0</v>
      </c>
      <c r="F7">
        <v>0</v>
      </c>
      <c r="G7">
        <v>0</v>
      </c>
      <c r="H7">
        <v>0</v>
      </c>
      <c r="I7">
        <v>148.53245205770401</v>
      </c>
      <c r="J7">
        <v>3575</v>
      </c>
      <c r="K7">
        <f>J7-zmin</f>
        <v>3473</v>
      </c>
      <c r="L7">
        <f t="shared" si="0"/>
        <v>9.1002211366559997</v>
      </c>
      <c r="M7">
        <f t="shared" si="1"/>
        <v>0.36266541773431599</v>
      </c>
      <c r="N7">
        <f t="shared" si="2"/>
        <v>-0.36266541773431599</v>
      </c>
      <c r="O7">
        <f t="shared" si="3"/>
        <v>0.36266541773431599</v>
      </c>
    </row>
    <row r="8" spans="1:15" x14ac:dyDescent="0.45">
      <c r="A8">
        <v>5</v>
      </c>
      <c r="B8">
        <v>2335.4859839999999</v>
      </c>
      <c r="C8">
        <v>9341.9439390000007</v>
      </c>
      <c r="D8">
        <v>0</v>
      </c>
      <c r="E8">
        <v>0</v>
      </c>
      <c r="F8">
        <v>0</v>
      </c>
      <c r="G8">
        <v>0</v>
      </c>
      <c r="H8">
        <v>0</v>
      </c>
      <c r="I8">
        <v>148.5324520577</v>
      </c>
      <c r="J8">
        <v>3414</v>
      </c>
      <c r="K8">
        <f>J8-zmin</f>
        <v>3312</v>
      </c>
      <c r="L8">
        <f t="shared" si="0"/>
        <v>7.9231362007200001</v>
      </c>
      <c r="M8">
        <f t="shared" si="1"/>
        <v>6.8936401718093121E-2</v>
      </c>
      <c r="N8">
        <f t="shared" si="2"/>
        <v>-6.8936401718093121E-2</v>
      </c>
      <c r="O8">
        <f t="shared" si="3"/>
        <v>6.8936401718093121E-2</v>
      </c>
    </row>
    <row r="9" spans="1:15" x14ac:dyDescent="0.45">
      <c r="A9">
        <v>6</v>
      </c>
      <c r="B9">
        <v>2335.4859839999999</v>
      </c>
      <c r="C9">
        <v>11677.42992</v>
      </c>
      <c r="D9">
        <v>0</v>
      </c>
      <c r="E9">
        <v>0</v>
      </c>
      <c r="F9">
        <v>0</v>
      </c>
      <c r="G9">
        <v>0</v>
      </c>
      <c r="H9">
        <v>0</v>
      </c>
      <c r="I9">
        <v>148.53245205770401</v>
      </c>
      <c r="J9">
        <v>2827</v>
      </c>
      <c r="K9">
        <f>J9-zmin</f>
        <v>2725</v>
      </c>
      <c r="L9">
        <f t="shared" si="0"/>
        <v>7.0496644427039996</v>
      </c>
      <c r="M9">
        <f t="shared" si="1"/>
        <v>0.25133955160571841</v>
      </c>
      <c r="N9">
        <f t="shared" si="2"/>
        <v>-0.25133955160571841</v>
      </c>
      <c r="O9">
        <f t="shared" si="3"/>
        <v>0.25133955160571841</v>
      </c>
    </row>
    <row r="10" spans="1:15" x14ac:dyDescent="0.45">
      <c r="A10">
        <v>7</v>
      </c>
      <c r="B10">
        <v>2335.4859839999999</v>
      </c>
      <c r="C10">
        <v>14012.9159</v>
      </c>
      <c r="D10">
        <v>0</v>
      </c>
      <c r="E10">
        <v>0</v>
      </c>
      <c r="F10">
        <v>0</v>
      </c>
      <c r="G10">
        <v>0</v>
      </c>
      <c r="H10">
        <v>0</v>
      </c>
      <c r="I10">
        <v>148.53245205769699</v>
      </c>
      <c r="J10">
        <v>2008</v>
      </c>
      <c r="K10">
        <f>J10-zmin</f>
        <v>1906</v>
      </c>
      <c r="L10">
        <f t="shared" si="0"/>
        <v>5.407817795952</v>
      </c>
      <c r="M10">
        <f t="shared" si="1"/>
        <v>0.35067647830508242</v>
      </c>
      <c r="N10">
        <f t="shared" si="2"/>
        <v>-0.35067647830508242</v>
      </c>
      <c r="O10">
        <f t="shared" si="3"/>
        <v>0.35067647830508242</v>
      </c>
    </row>
    <row r="11" spans="1:15" x14ac:dyDescent="0.45">
      <c r="A11">
        <v>8</v>
      </c>
      <c r="B11">
        <v>2335.4859839999999</v>
      </c>
      <c r="C11">
        <v>16348.401889999999</v>
      </c>
      <c r="D11">
        <v>0</v>
      </c>
      <c r="E11">
        <v>0</v>
      </c>
      <c r="F11">
        <v>0</v>
      </c>
      <c r="G11">
        <v>0</v>
      </c>
      <c r="H11">
        <v>0</v>
      </c>
      <c r="I11">
        <v>148.53245205770401</v>
      </c>
      <c r="J11">
        <v>2251</v>
      </c>
      <c r="K11">
        <f>J11-zmin</f>
        <v>2149</v>
      </c>
      <c r="L11">
        <f t="shared" si="0"/>
        <v>4.7351978325599999</v>
      </c>
      <c r="M11">
        <f t="shared" si="1"/>
        <v>-0.10404686718942005</v>
      </c>
      <c r="N11">
        <f t="shared" si="2"/>
        <v>0.10404686718942005</v>
      </c>
      <c r="O11">
        <f t="shared" si="3"/>
        <v>0.10404686718942005</v>
      </c>
    </row>
    <row r="12" spans="1:15" x14ac:dyDescent="0.45">
      <c r="A12">
        <v>9</v>
      </c>
      <c r="B12">
        <v>2335.4859839999999</v>
      </c>
      <c r="C12">
        <v>18683.887869999999</v>
      </c>
      <c r="D12">
        <v>0</v>
      </c>
      <c r="E12">
        <v>0</v>
      </c>
      <c r="F12">
        <v>0</v>
      </c>
      <c r="G12">
        <v>0</v>
      </c>
      <c r="H12">
        <v>0</v>
      </c>
      <c r="I12">
        <v>148.53245205770401</v>
      </c>
      <c r="J12">
        <v>1818</v>
      </c>
      <c r="K12">
        <f>J12-zmin</f>
        <v>1716</v>
      </c>
      <c r="L12">
        <f t="shared" si="0"/>
        <v>4.5133266640799992</v>
      </c>
      <c r="M12">
        <f t="shared" si="1"/>
        <v>0.18540038474493367</v>
      </c>
      <c r="N12">
        <f t="shared" si="2"/>
        <v>-0.18540038474493367</v>
      </c>
      <c r="O12">
        <f t="shared" si="3"/>
        <v>0.18540038474493367</v>
      </c>
    </row>
    <row r="13" spans="1:15" x14ac:dyDescent="0.45">
      <c r="A13">
        <v>10</v>
      </c>
      <c r="B13">
        <v>2335.4859839999999</v>
      </c>
      <c r="C13">
        <v>21019.37386</v>
      </c>
      <c r="D13">
        <v>0</v>
      </c>
      <c r="E13">
        <v>0</v>
      </c>
      <c r="F13">
        <v>0</v>
      </c>
      <c r="G13">
        <v>0</v>
      </c>
      <c r="H13">
        <v>0</v>
      </c>
      <c r="I13">
        <v>148.5324520577</v>
      </c>
      <c r="J13">
        <v>1332</v>
      </c>
      <c r="K13">
        <f>J13-zmin</f>
        <v>1230</v>
      </c>
      <c r="L13">
        <f t="shared" si="0"/>
        <v>3.440170854432</v>
      </c>
      <c r="M13">
        <f t="shared" si="1"/>
        <v>0.2080937343788401</v>
      </c>
      <c r="N13">
        <f t="shared" si="2"/>
        <v>-0.2080937343788401</v>
      </c>
      <c r="O13">
        <f t="shared" si="3"/>
        <v>0.2080937343788401</v>
      </c>
    </row>
    <row r="14" spans="1:15" x14ac:dyDescent="0.45">
      <c r="A14">
        <v>11</v>
      </c>
      <c r="B14">
        <v>2335.4859839999999</v>
      </c>
      <c r="C14">
        <v>23354.859840000001</v>
      </c>
      <c r="D14">
        <v>0</v>
      </c>
      <c r="E14">
        <v>0</v>
      </c>
      <c r="F14">
        <v>0</v>
      </c>
      <c r="G14">
        <v>0</v>
      </c>
      <c r="H14">
        <v>0</v>
      </c>
      <c r="I14">
        <v>148.53245205770401</v>
      </c>
      <c r="J14">
        <v>1094</v>
      </c>
      <c r="K14">
        <f>J14-zmin</f>
        <v>992</v>
      </c>
      <c r="L14">
        <f t="shared" si="0"/>
        <v>2.5947249282239997</v>
      </c>
      <c r="M14">
        <f t="shared" si="1"/>
        <v>0.10190598514848548</v>
      </c>
      <c r="N14">
        <f t="shared" si="2"/>
        <v>-0.10190598514848548</v>
      </c>
      <c r="O14">
        <f t="shared" si="3"/>
        <v>0.10190598514848548</v>
      </c>
    </row>
    <row r="15" spans="1:15" x14ac:dyDescent="0.45">
      <c r="A15">
        <v>12</v>
      </c>
      <c r="B15">
        <v>2335.4859839999999</v>
      </c>
      <c r="C15">
        <v>25690.345829999998</v>
      </c>
      <c r="D15">
        <v>0</v>
      </c>
      <c r="E15">
        <v>0</v>
      </c>
      <c r="F15">
        <v>0</v>
      </c>
      <c r="G15">
        <v>0</v>
      </c>
      <c r="H15">
        <v>0</v>
      </c>
      <c r="I15">
        <v>148.53245205770401</v>
      </c>
      <c r="J15">
        <v>996</v>
      </c>
      <c r="K15">
        <f>J15-zmin</f>
        <v>894</v>
      </c>
      <c r="L15">
        <f t="shared" si="0"/>
        <v>2.2023632829120001</v>
      </c>
      <c r="M15">
        <f t="shared" si="1"/>
        <v>4.1961288002317555E-2</v>
      </c>
      <c r="N15">
        <f t="shared" si="2"/>
        <v>-4.1961288002317555E-2</v>
      </c>
      <c r="O15">
        <f t="shared" si="3"/>
        <v>4.1961288002317555E-2</v>
      </c>
    </row>
    <row r="16" spans="1:15" x14ac:dyDescent="0.45">
      <c r="A16">
        <v>13</v>
      </c>
      <c r="B16">
        <v>2335.4859839999999</v>
      </c>
      <c r="C16">
        <v>28025.83181</v>
      </c>
      <c r="D16">
        <v>0</v>
      </c>
      <c r="E16">
        <v>0</v>
      </c>
      <c r="F16">
        <v>0</v>
      </c>
      <c r="G16">
        <v>0</v>
      </c>
      <c r="H16">
        <v>0</v>
      </c>
      <c r="I16">
        <v>148.5324520577</v>
      </c>
      <c r="J16">
        <v>862</v>
      </c>
      <c r="K16">
        <f>J16-zmin</f>
        <v>760</v>
      </c>
      <c r="L16">
        <f t="shared" si="0"/>
        <v>1.931446908768</v>
      </c>
      <c r="M16">
        <f t="shared" si="1"/>
        <v>5.7375638697046448E-2</v>
      </c>
      <c r="N16">
        <f t="shared" si="2"/>
        <v>-5.7375638697046448E-2</v>
      </c>
      <c r="O16">
        <f t="shared" si="3"/>
        <v>5.7375638697046448E-2</v>
      </c>
    </row>
    <row r="17" spans="1:15" x14ac:dyDescent="0.45">
      <c r="A17">
        <v>14</v>
      </c>
      <c r="B17">
        <v>2335.4859839999999</v>
      </c>
      <c r="C17">
        <v>30361.317800000001</v>
      </c>
      <c r="D17">
        <v>0</v>
      </c>
      <c r="E17">
        <v>0</v>
      </c>
      <c r="F17">
        <v>0</v>
      </c>
      <c r="G17">
        <v>0</v>
      </c>
      <c r="H17">
        <v>0</v>
      </c>
      <c r="I17">
        <v>148.53245205770401</v>
      </c>
      <c r="J17">
        <v>833</v>
      </c>
      <c r="K17">
        <f>J17-zmin</f>
        <v>731</v>
      </c>
      <c r="L17">
        <f t="shared" si="0"/>
        <v>1.7411048010719998</v>
      </c>
      <c r="M17">
        <f t="shared" si="1"/>
        <v>1.24171158374205E-2</v>
      </c>
      <c r="N17">
        <f t="shared" si="2"/>
        <v>-1.24171158374205E-2</v>
      </c>
      <c r="O17">
        <f t="shared" si="3"/>
        <v>1.24171158374205E-2</v>
      </c>
    </row>
    <row r="18" spans="1:15" x14ac:dyDescent="0.45">
      <c r="A18">
        <v>15</v>
      </c>
      <c r="B18">
        <v>2335.4859839999999</v>
      </c>
      <c r="C18">
        <v>32696.803779999998</v>
      </c>
      <c r="D18">
        <v>0</v>
      </c>
      <c r="E18">
        <v>0</v>
      </c>
      <c r="F18">
        <v>0</v>
      </c>
      <c r="G18">
        <v>0</v>
      </c>
      <c r="H18">
        <v>0</v>
      </c>
      <c r="I18">
        <v>148.53245205770401</v>
      </c>
      <c r="J18">
        <v>635</v>
      </c>
      <c r="K18">
        <f>J18-zmin</f>
        <v>533</v>
      </c>
      <c r="L18">
        <f t="shared" si="0"/>
        <v>1.4760271418879998</v>
      </c>
      <c r="M18">
        <f t="shared" si="1"/>
        <v>8.4778928821008931E-2</v>
      </c>
      <c r="N18">
        <f t="shared" si="2"/>
        <v>-8.4778928821008931E-2</v>
      </c>
      <c r="O18">
        <f t="shared" si="3"/>
        <v>8.4778928821008931E-2</v>
      </c>
    </row>
    <row r="19" spans="1:15" x14ac:dyDescent="0.45">
      <c r="A19">
        <v>16</v>
      </c>
      <c r="B19">
        <v>2335.4859839999999</v>
      </c>
      <c r="C19">
        <v>35032.289770000003</v>
      </c>
      <c r="D19">
        <v>0</v>
      </c>
      <c r="E19">
        <v>0</v>
      </c>
      <c r="F19">
        <v>0</v>
      </c>
      <c r="G19">
        <v>0</v>
      </c>
      <c r="H19">
        <v>0</v>
      </c>
      <c r="I19">
        <v>148.5324520577</v>
      </c>
      <c r="J19">
        <v>881</v>
      </c>
      <c r="K19">
        <f>J19-zmin</f>
        <v>779</v>
      </c>
      <c r="L19">
        <f t="shared" si="0"/>
        <v>1.532078805504</v>
      </c>
      <c r="M19">
        <f t="shared" si="1"/>
        <v>-0.1053313964139808</v>
      </c>
      <c r="N19">
        <f t="shared" si="2"/>
        <v>0.1053313964139808</v>
      </c>
      <c r="O19">
        <f t="shared" si="3"/>
        <v>0.1053313964139808</v>
      </c>
    </row>
    <row r="20" spans="1:15" x14ac:dyDescent="0.45">
      <c r="A20">
        <v>17</v>
      </c>
      <c r="B20">
        <v>2335.4859839999999</v>
      </c>
      <c r="C20">
        <v>37367.775750000001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148.53245205770401</v>
      </c>
      <c r="J20">
        <v>1102</v>
      </c>
      <c r="K20">
        <f>J20-zmin</f>
        <v>1000</v>
      </c>
      <c r="L20">
        <f t="shared" si="0"/>
        <v>2.0774147827679998</v>
      </c>
      <c r="M20">
        <f t="shared" si="1"/>
        <v>-9.4626986209307956E-2</v>
      </c>
      <c r="N20">
        <f t="shared" si="2"/>
        <v>9.4626986209307956E-2</v>
      </c>
      <c r="O20">
        <f t="shared" si="3"/>
        <v>9.4626986209307956E-2</v>
      </c>
    </row>
    <row r="21" spans="1:15" x14ac:dyDescent="0.45">
      <c r="A21">
        <v>18</v>
      </c>
      <c r="B21">
        <v>2335.4859839999999</v>
      </c>
      <c r="C21">
        <v>39703.261740000002</v>
      </c>
      <c r="D21">
        <v>0</v>
      </c>
      <c r="E21">
        <v>0</v>
      </c>
      <c r="F21">
        <v>0</v>
      </c>
      <c r="G21">
        <v>0</v>
      </c>
      <c r="H21">
        <v>0</v>
      </c>
      <c r="I21">
        <v>148.53245205770099</v>
      </c>
      <c r="J21">
        <v>776</v>
      </c>
      <c r="K21">
        <f>J21-zmin</f>
        <v>674</v>
      </c>
      <c r="L21">
        <f t="shared" si="0"/>
        <v>1.9548017686079999</v>
      </c>
      <c r="M21">
        <f t="shared" si="1"/>
        <v>0.13958550906893391</v>
      </c>
      <c r="N21">
        <f t="shared" si="2"/>
        <v>-0.13958550906893391</v>
      </c>
      <c r="O21">
        <f t="shared" si="3"/>
        <v>0.13958550906893391</v>
      </c>
    </row>
    <row r="22" spans="1:15" x14ac:dyDescent="0.45">
      <c r="A22">
        <v>19</v>
      </c>
      <c r="B22">
        <v>2335.4859839999999</v>
      </c>
      <c r="C22">
        <v>42038.747719999999</v>
      </c>
      <c r="D22">
        <v>0</v>
      </c>
      <c r="E22">
        <v>0</v>
      </c>
      <c r="F22">
        <v>0</v>
      </c>
      <c r="G22">
        <v>0</v>
      </c>
      <c r="H22">
        <v>0</v>
      </c>
      <c r="I22">
        <v>148.5324520577</v>
      </c>
      <c r="J22">
        <v>458</v>
      </c>
      <c r="K22">
        <f>J22-zmin</f>
        <v>356</v>
      </c>
      <c r="L22">
        <f t="shared" si="0"/>
        <v>1.2027752817599999</v>
      </c>
      <c r="M22">
        <f t="shared" si="1"/>
        <v>0.1361600978034386</v>
      </c>
      <c r="N22">
        <f t="shared" si="2"/>
        <v>-0.1361600978034386</v>
      </c>
      <c r="O22">
        <f t="shared" si="3"/>
        <v>0.1361600978034386</v>
      </c>
    </row>
    <row r="23" spans="1:15" x14ac:dyDescent="0.45">
      <c r="A23">
        <v>20</v>
      </c>
      <c r="B23">
        <v>2335.4859839999999</v>
      </c>
      <c r="C23">
        <v>44374.23371</v>
      </c>
      <c r="D23">
        <v>0</v>
      </c>
      <c r="E23">
        <v>0</v>
      </c>
      <c r="F23">
        <v>0</v>
      </c>
      <c r="G23">
        <v>0</v>
      </c>
      <c r="H23">
        <v>0</v>
      </c>
      <c r="I23">
        <v>148.53245205770401</v>
      </c>
      <c r="J23">
        <v>944</v>
      </c>
      <c r="K23">
        <f>J23-zmin</f>
        <v>842</v>
      </c>
      <c r="L23">
        <f t="shared" si="0"/>
        <v>1.3989561044159999</v>
      </c>
      <c r="M23">
        <f t="shared" si="1"/>
        <v>-0.2080937343788401</v>
      </c>
      <c r="N23">
        <f t="shared" si="2"/>
        <v>0.2080937343788401</v>
      </c>
      <c r="O23">
        <f t="shared" si="3"/>
        <v>0.2080937343788401</v>
      </c>
    </row>
    <row r="24" spans="1:15" x14ac:dyDescent="0.45">
      <c r="A24">
        <v>21</v>
      </c>
      <c r="B24">
        <v>2335.4859839999999</v>
      </c>
      <c r="C24">
        <v>46709.719689999998</v>
      </c>
      <c r="D24">
        <v>0</v>
      </c>
      <c r="E24">
        <v>0</v>
      </c>
      <c r="F24">
        <v>0</v>
      </c>
      <c r="G24">
        <v>0</v>
      </c>
      <c r="H24">
        <v>0</v>
      </c>
      <c r="I24">
        <v>148.5324520577</v>
      </c>
      <c r="J24">
        <v>403</v>
      </c>
      <c r="K24">
        <f>J24-zmin</f>
        <v>301</v>
      </c>
      <c r="L24">
        <f t="shared" si="0"/>
        <v>1.3347302398560001</v>
      </c>
      <c r="M24">
        <f t="shared" si="1"/>
        <v>0.23164343682912036</v>
      </c>
      <c r="N24">
        <f t="shared" si="2"/>
        <v>-0.23164343682912036</v>
      </c>
      <c r="O24">
        <f t="shared" si="3"/>
        <v>0.23164343682912036</v>
      </c>
    </row>
    <row r="25" spans="1:15" x14ac:dyDescent="0.45">
      <c r="A25">
        <v>22</v>
      </c>
      <c r="B25">
        <v>2335.4859839999999</v>
      </c>
      <c r="C25">
        <v>49045.205679999999</v>
      </c>
      <c r="D25">
        <v>0</v>
      </c>
      <c r="E25">
        <v>0</v>
      </c>
      <c r="F25">
        <v>0</v>
      </c>
      <c r="G25">
        <v>0</v>
      </c>
      <c r="H25">
        <v>0</v>
      </c>
      <c r="I25">
        <v>148.53245205770401</v>
      </c>
      <c r="J25">
        <v>176</v>
      </c>
      <c r="K25">
        <f>J25-zmin</f>
        <v>74</v>
      </c>
      <c r="L25">
        <f t="shared" si="0"/>
        <v>0.43790362199999999</v>
      </c>
      <c r="M25">
        <f t="shared" si="1"/>
        <v>9.7196044658429431E-2</v>
      </c>
      <c r="N25">
        <f t="shared" si="2"/>
        <v>-9.7196044658429431E-2</v>
      </c>
      <c r="O25">
        <f t="shared" si="3"/>
        <v>9.7196044658429431E-2</v>
      </c>
    </row>
    <row r="26" spans="1:15" x14ac:dyDescent="0.45">
      <c r="A26">
        <v>23</v>
      </c>
      <c r="B26">
        <v>2335.4859839999999</v>
      </c>
      <c r="C26">
        <v>51380.691659999997</v>
      </c>
      <c r="D26">
        <v>0</v>
      </c>
      <c r="E26">
        <v>0</v>
      </c>
      <c r="F26">
        <v>0</v>
      </c>
      <c r="G26">
        <v>0</v>
      </c>
      <c r="H26">
        <v>0</v>
      </c>
      <c r="I26">
        <v>148.53245205770401</v>
      </c>
      <c r="J26">
        <v>145</v>
      </c>
      <c r="K26">
        <f>J26-zmin</f>
        <v>43</v>
      </c>
      <c r="L26">
        <f t="shared" si="0"/>
        <v>0.13662593006399998</v>
      </c>
      <c r="M26">
        <f t="shared" si="1"/>
        <v>1.3273468653794328E-2</v>
      </c>
      <c r="N26">
        <f t="shared" si="2"/>
        <v>-1.3273468653794328E-2</v>
      </c>
      <c r="O26">
        <f t="shared" si="3"/>
        <v>1.3273468653794328E-2</v>
      </c>
    </row>
    <row r="27" spans="1:15" x14ac:dyDescent="0.45">
      <c r="A27">
        <v>24</v>
      </c>
      <c r="B27">
        <v>2335.4859839999999</v>
      </c>
      <c r="C27">
        <v>53716.177649999998</v>
      </c>
      <c r="D27">
        <v>0</v>
      </c>
      <c r="E27">
        <v>0</v>
      </c>
      <c r="F27">
        <v>0</v>
      </c>
      <c r="G27">
        <v>0</v>
      </c>
      <c r="H27">
        <v>0</v>
      </c>
      <c r="I27">
        <v>148.5324520577</v>
      </c>
      <c r="J27">
        <v>139</v>
      </c>
      <c r="K27">
        <f>J27-zmin</f>
        <v>37</v>
      </c>
      <c r="L27">
        <f t="shared" si="0"/>
        <v>9.3419439359999995E-2</v>
      </c>
      <c r="M27">
        <f t="shared" si="1"/>
        <v>2.569058449121483E-3</v>
      </c>
      <c r="N27">
        <f t="shared" si="2"/>
        <v>-2.569058449121483E-3</v>
      </c>
      <c r="O27">
        <f t="shared" si="3"/>
        <v>2.569058449121483E-3</v>
      </c>
    </row>
    <row r="28" spans="1:15" x14ac:dyDescent="0.45">
      <c r="A28">
        <v>25</v>
      </c>
      <c r="B28">
        <v>2335.4859839999999</v>
      </c>
      <c r="C28">
        <v>56051.663630000003</v>
      </c>
      <c r="D28">
        <v>0</v>
      </c>
      <c r="E28">
        <v>0</v>
      </c>
      <c r="F28">
        <v>0</v>
      </c>
      <c r="G28">
        <v>0</v>
      </c>
      <c r="H28">
        <v>0</v>
      </c>
      <c r="I28">
        <v>148.53245205770401</v>
      </c>
      <c r="J28">
        <v>128</v>
      </c>
      <c r="K28">
        <f>J28-zmin</f>
        <v>26</v>
      </c>
      <c r="L28">
        <f t="shared" si="0"/>
        <v>7.3567808496000003E-2</v>
      </c>
      <c r="M28">
        <f t="shared" si="1"/>
        <v>4.7099404900560514E-3</v>
      </c>
      <c r="N28">
        <f t="shared" si="2"/>
        <v>-4.7099404900560514E-3</v>
      </c>
      <c r="O28">
        <f t="shared" si="3"/>
        <v>4.7099404900560514E-3</v>
      </c>
    </row>
    <row r="29" spans="1:15" x14ac:dyDescent="0.45">
      <c r="A29">
        <v>26</v>
      </c>
      <c r="B29">
        <v>2335.4859839999999</v>
      </c>
      <c r="C29">
        <v>58387.149619999997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148.53245205770401</v>
      </c>
      <c r="J29">
        <v>114</v>
      </c>
      <c r="K29">
        <f>J29-zmin</f>
        <v>12</v>
      </c>
      <c r="L29">
        <f t="shared" si="0"/>
        <v>4.4374233695999993E-2</v>
      </c>
      <c r="M29">
        <f t="shared" si="1"/>
        <v>5.9944697146167934E-3</v>
      </c>
      <c r="N29">
        <f t="shared" si="2"/>
        <v>-5.9944697146167934E-3</v>
      </c>
      <c r="O29">
        <f t="shared" si="3"/>
        <v>5.9944697146167934E-3</v>
      </c>
    </row>
    <row r="30" spans="1:15" x14ac:dyDescent="0.45">
      <c r="A30">
        <v>27</v>
      </c>
      <c r="B30">
        <v>2335.4859839999999</v>
      </c>
      <c r="C30">
        <v>60722.635600000001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148.5324520577</v>
      </c>
      <c r="J30">
        <v>104</v>
      </c>
      <c r="K30">
        <f>J30-zmin</f>
        <v>2</v>
      </c>
      <c r="L30">
        <f t="shared" si="0"/>
        <v>1.6348401888000002E-2</v>
      </c>
      <c r="M30">
        <f t="shared" si="1"/>
        <v>4.2817640818691377E-3</v>
      </c>
      <c r="N30">
        <f t="shared" si="2"/>
        <v>-4.2817640818691377E-3</v>
      </c>
      <c r="O30">
        <f t="shared" si="3"/>
        <v>4.2817640818691377E-3</v>
      </c>
    </row>
    <row r="31" spans="1:15" x14ac:dyDescent="0.45">
      <c r="A31">
        <v>28</v>
      </c>
      <c r="B31">
        <v>2335.4859839999999</v>
      </c>
      <c r="C31">
        <v>63058.121590000002</v>
      </c>
      <c r="D31">
        <v>0</v>
      </c>
      <c r="E31">
        <v>0</v>
      </c>
      <c r="F31">
        <v>0</v>
      </c>
      <c r="G31">
        <v>0</v>
      </c>
      <c r="H31">
        <v>0</v>
      </c>
      <c r="I31">
        <v>148.53245205770401</v>
      </c>
      <c r="J31">
        <v>102</v>
      </c>
      <c r="K31">
        <f>J31-zmin</f>
        <v>0</v>
      </c>
      <c r="L31">
        <f t="shared" si="0"/>
        <v>2.335485984E-3</v>
      </c>
      <c r="M31">
        <f t="shared" si="1"/>
        <v>8.5635281637382759E-4</v>
      </c>
      <c r="N31">
        <f t="shared" si="2"/>
        <v>-8.5635281637382759E-4</v>
      </c>
      <c r="O31">
        <f t="shared" si="3"/>
        <v>8.5635281637382759E-4</v>
      </c>
    </row>
    <row r="32" spans="1:15" x14ac:dyDescent="0.45">
      <c r="A32">
        <v>29</v>
      </c>
      <c r="B32">
        <v>2335.4859839999999</v>
      </c>
      <c r="C32">
        <v>65393.60757</v>
      </c>
      <c r="D32">
        <v>0</v>
      </c>
      <c r="E32">
        <v>0</v>
      </c>
      <c r="F32">
        <v>0</v>
      </c>
      <c r="G32">
        <v>0</v>
      </c>
      <c r="H32">
        <v>0</v>
      </c>
      <c r="I32">
        <v>148.53245205770401</v>
      </c>
      <c r="J32">
        <v>105</v>
      </c>
      <c r="K32">
        <f>J32-zmin</f>
        <v>3</v>
      </c>
      <c r="L32">
        <f t="shared" si="0"/>
        <v>3.5032289759999997E-3</v>
      </c>
      <c r="M32">
        <f t="shared" si="1"/>
        <v>-1.2845292245607415E-3</v>
      </c>
      <c r="N32">
        <f t="shared" si="2"/>
        <v>1.2845292245607415E-3</v>
      </c>
      <c r="O32">
        <f t="shared" si="3"/>
        <v>1.2845292245607415E-3</v>
      </c>
    </row>
    <row r="33" spans="1:15" x14ac:dyDescent="0.45">
      <c r="A33">
        <v>30</v>
      </c>
      <c r="B33">
        <v>2335.4859839999999</v>
      </c>
      <c r="C33">
        <v>67729.093559999994</v>
      </c>
      <c r="D33">
        <v>0</v>
      </c>
      <c r="E33">
        <v>0</v>
      </c>
      <c r="F33">
        <v>0</v>
      </c>
      <c r="G33">
        <v>0</v>
      </c>
      <c r="H33">
        <v>0</v>
      </c>
      <c r="I33">
        <v>148.5324520577</v>
      </c>
      <c r="J33">
        <v>105</v>
      </c>
      <c r="K33">
        <f>J33-zmin</f>
        <v>3</v>
      </c>
      <c r="L33">
        <f t="shared" si="0"/>
        <v>7.0064579519999995E-3</v>
      </c>
      <c r="M33">
        <f t="shared" si="1"/>
        <v>0</v>
      </c>
      <c r="N33">
        <f t="shared" si="2"/>
        <v>0</v>
      </c>
      <c r="O33">
        <f t="shared" si="3"/>
        <v>0</v>
      </c>
    </row>
    <row r="34" spans="1:15" x14ac:dyDescent="0.45">
      <c r="A34">
        <v>31</v>
      </c>
      <c r="B34">
        <v>2335.4859839999999</v>
      </c>
      <c r="C34">
        <v>70064.579540000006</v>
      </c>
      <c r="D34">
        <v>0</v>
      </c>
      <c r="E34">
        <v>0</v>
      </c>
      <c r="F34">
        <v>0</v>
      </c>
      <c r="G34">
        <v>0</v>
      </c>
      <c r="H34">
        <v>0</v>
      </c>
      <c r="I34">
        <v>148.53245205770099</v>
      </c>
      <c r="J34">
        <v>103</v>
      </c>
      <c r="K34">
        <f>J34-zmin</f>
        <v>1</v>
      </c>
      <c r="L34">
        <f t="shared" si="0"/>
        <v>4.6709719679999999E-3</v>
      </c>
      <c r="M34">
        <f t="shared" si="1"/>
        <v>8.5635281637382759E-4</v>
      </c>
      <c r="N34">
        <f t="shared" si="2"/>
        <v>-8.5635281637382759E-4</v>
      </c>
      <c r="O34">
        <f t="shared" si="3"/>
        <v>8.5635281637382759E-4</v>
      </c>
    </row>
    <row r="35" spans="1:15" x14ac:dyDescent="0.45">
      <c r="A35">
        <v>32</v>
      </c>
      <c r="B35">
        <v>2335.4859839999999</v>
      </c>
      <c r="C35">
        <v>72400.065530000007</v>
      </c>
      <c r="D35">
        <v>0</v>
      </c>
      <c r="E35">
        <v>0</v>
      </c>
      <c r="F35">
        <v>0</v>
      </c>
      <c r="G35">
        <v>0</v>
      </c>
      <c r="H35">
        <v>0</v>
      </c>
      <c r="I35">
        <v>148.53245205770401</v>
      </c>
      <c r="J35">
        <v>113</v>
      </c>
      <c r="K35">
        <f>J35-zmin</f>
        <v>11</v>
      </c>
      <c r="L35">
        <f t="shared" si="0"/>
        <v>1.4012915903999999E-2</v>
      </c>
      <c r="M35">
        <f t="shared" si="1"/>
        <v>-4.2817640818691377E-3</v>
      </c>
      <c r="N35">
        <f t="shared" si="2"/>
        <v>4.2817640818691377E-3</v>
      </c>
      <c r="O35">
        <f t="shared" si="3"/>
        <v>4.2817640818691377E-3</v>
      </c>
    </row>
    <row r="36" spans="1:15" x14ac:dyDescent="0.45">
      <c r="A36">
        <v>33</v>
      </c>
      <c r="B36">
        <v>2335.4859839999999</v>
      </c>
      <c r="C36">
        <v>74735.551510000005</v>
      </c>
      <c r="D36">
        <v>0</v>
      </c>
      <c r="E36">
        <v>0</v>
      </c>
      <c r="F36">
        <v>0</v>
      </c>
      <c r="G36">
        <v>0</v>
      </c>
      <c r="H36">
        <v>0</v>
      </c>
      <c r="I36">
        <v>148.5324520577</v>
      </c>
      <c r="J36">
        <v>208</v>
      </c>
      <c r="K36">
        <f>J36-zmin</f>
        <v>106</v>
      </c>
      <c r="L36">
        <f t="shared" si="0"/>
        <v>0.13662593006399998</v>
      </c>
      <c r="M36">
        <f t="shared" si="1"/>
        <v>-4.0676758777756811E-2</v>
      </c>
      <c r="N36">
        <f t="shared" si="2"/>
        <v>4.0676758777756811E-2</v>
      </c>
      <c r="O36">
        <f t="shared" si="3"/>
        <v>4.0676758777756811E-2</v>
      </c>
    </row>
    <row r="37" spans="1:15" x14ac:dyDescent="0.45">
      <c r="A37">
        <v>34</v>
      </c>
      <c r="B37">
        <v>2335.4859839999999</v>
      </c>
      <c r="C37">
        <v>77071.037500000006</v>
      </c>
      <c r="D37">
        <v>0</v>
      </c>
      <c r="E37">
        <v>0</v>
      </c>
      <c r="F37">
        <v>0</v>
      </c>
      <c r="G37">
        <v>0</v>
      </c>
      <c r="H37">
        <v>0</v>
      </c>
      <c r="I37">
        <v>148.53245205770401</v>
      </c>
      <c r="J37">
        <v>475</v>
      </c>
      <c r="K37">
        <f>J37-zmin</f>
        <v>373</v>
      </c>
      <c r="L37">
        <f t="shared" si="0"/>
        <v>0.55934889316799996</v>
      </c>
      <c r="M37">
        <f t="shared" si="1"/>
        <v>-0.11432310098590598</v>
      </c>
      <c r="N37">
        <f t="shared" si="2"/>
        <v>0.11432310098590598</v>
      </c>
      <c r="O37">
        <f t="shared" si="3"/>
        <v>0.11432310098590598</v>
      </c>
    </row>
    <row r="38" spans="1:15" x14ac:dyDescent="0.45">
      <c r="A38">
        <v>35</v>
      </c>
      <c r="B38">
        <v>2335.4859839999999</v>
      </c>
      <c r="C38">
        <v>79406.523480000003</v>
      </c>
      <c r="D38">
        <v>0</v>
      </c>
      <c r="E38">
        <v>0</v>
      </c>
      <c r="F38">
        <v>0</v>
      </c>
      <c r="G38">
        <v>0</v>
      </c>
      <c r="H38">
        <v>0</v>
      </c>
      <c r="I38">
        <v>148.5324520577</v>
      </c>
      <c r="J38">
        <v>255</v>
      </c>
      <c r="K38">
        <f>J38-zmin</f>
        <v>153</v>
      </c>
      <c r="L38">
        <f t="shared" si="0"/>
        <v>0.6142328137919999</v>
      </c>
      <c r="M38">
        <f t="shared" si="1"/>
        <v>9.4198809801121039E-2</v>
      </c>
      <c r="N38">
        <f t="shared" si="2"/>
        <v>-9.4198809801121039E-2</v>
      </c>
      <c r="O38">
        <f t="shared" si="3"/>
        <v>9.4198809801121039E-2</v>
      </c>
    </row>
    <row r="39" spans="1:15" x14ac:dyDescent="0.45">
      <c r="A39">
        <v>36</v>
      </c>
      <c r="B39">
        <v>2335.4859839999999</v>
      </c>
      <c r="C39">
        <v>81742.009470000005</v>
      </c>
      <c r="D39">
        <v>0</v>
      </c>
      <c r="E39">
        <v>0</v>
      </c>
      <c r="F39">
        <v>0</v>
      </c>
      <c r="G39">
        <v>0</v>
      </c>
      <c r="H39">
        <v>0</v>
      </c>
      <c r="I39">
        <v>148.53245205770401</v>
      </c>
      <c r="J39">
        <v>270</v>
      </c>
      <c r="K39">
        <f>J39-zmin</f>
        <v>168</v>
      </c>
      <c r="L39">
        <f t="shared" si="0"/>
        <v>0.37484550043199999</v>
      </c>
      <c r="M39">
        <f t="shared" si="1"/>
        <v>-6.422646122803707E-3</v>
      </c>
      <c r="N39">
        <f t="shared" si="2"/>
        <v>6.422646122803707E-3</v>
      </c>
      <c r="O39">
        <f t="shared" si="3"/>
        <v>6.422646122803707E-3</v>
      </c>
    </row>
    <row r="40" spans="1:15" x14ac:dyDescent="0.45">
      <c r="A40">
        <v>37</v>
      </c>
      <c r="B40">
        <v>2335.4859839999999</v>
      </c>
      <c r="C40">
        <v>84077.495450000002</v>
      </c>
      <c r="D40">
        <v>0</v>
      </c>
      <c r="E40">
        <v>0</v>
      </c>
      <c r="F40">
        <v>0</v>
      </c>
      <c r="G40">
        <v>0</v>
      </c>
      <c r="H40">
        <v>0</v>
      </c>
      <c r="I40">
        <v>148.53245205770401</v>
      </c>
      <c r="J40">
        <v>421</v>
      </c>
      <c r="K40">
        <f>J40-zmin</f>
        <v>319</v>
      </c>
      <c r="L40">
        <f t="shared" si="0"/>
        <v>0.56869083710400004</v>
      </c>
      <c r="M40">
        <f t="shared" si="1"/>
        <v>-6.4654637636223977E-2</v>
      </c>
      <c r="N40">
        <f t="shared" si="2"/>
        <v>6.4654637636223977E-2</v>
      </c>
      <c r="O40">
        <f t="shared" si="3"/>
        <v>6.4654637636223977E-2</v>
      </c>
    </row>
    <row r="41" spans="1:15" x14ac:dyDescent="0.45">
      <c r="A41">
        <v>38</v>
      </c>
      <c r="B41">
        <v>2335.4859839999999</v>
      </c>
      <c r="C41">
        <v>86412.981440000003</v>
      </c>
      <c r="D41">
        <v>0</v>
      </c>
      <c r="E41">
        <v>0</v>
      </c>
      <c r="F41">
        <v>0</v>
      </c>
      <c r="G41">
        <v>0</v>
      </c>
      <c r="H41">
        <v>0</v>
      </c>
      <c r="I41">
        <v>148.5324520577</v>
      </c>
      <c r="J41">
        <v>756</v>
      </c>
      <c r="K41">
        <f>J41-zmin</f>
        <v>654</v>
      </c>
      <c r="L41">
        <f t="shared" si="0"/>
        <v>1.1362139312159998</v>
      </c>
      <c r="M41">
        <f t="shared" si="1"/>
        <v>-0.14343909674261612</v>
      </c>
      <c r="N41">
        <f t="shared" si="2"/>
        <v>0.14343909674261612</v>
      </c>
      <c r="O41">
        <f t="shared" si="3"/>
        <v>0.14343909674261612</v>
      </c>
    </row>
    <row r="42" spans="1:15" x14ac:dyDescent="0.45">
      <c r="A42">
        <v>39</v>
      </c>
      <c r="B42">
        <v>2335.4859839999999</v>
      </c>
      <c r="C42">
        <v>88748.467420000001</v>
      </c>
      <c r="D42">
        <v>0</v>
      </c>
      <c r="E42">
        <v>0</v>
      </c>
      <c r="F42">
        <v>0</v>
      </c>
      <c r="G42">
        <v>0</v>
      </c>
      <c r="H42">
        <v>0</v>
      </c>
      <c r="I42">
        <v>148.53245205770401</v>
      </c>
      <c r="J42">
        <v>1556</v>
      </c>
      <c r="K42">
        <f>J42-zmin</f>
        <v>1454</v>
      </c>
      <c r="L42">
        <f t="shared" si="0"/>
        <v>2.4616022271359999</v>
      </c>
      <c r="M42">
        <f t="shared" si="1"/>
        <v>-0.34254112654953106</v>
      </c>
      <c r="N42">
        <f t="shared" si="2"/>
        <v>0.34254112654953106</v>
      </c>
      <c r="O42">
        <f t="shared" si="3"/>
        <v>0.34254112654953106</v>
      </c>
    </row>
    <row r="43" spans="1:15" x14ac:dyDescent="0.45">
      <c r="A43">
        <v>40</v>
      </c>
      <c r="B43">
        <v>2335.4859839999999</v>
      </c>
      <c r="C43">
        <v>91083.953410000002</v>
      </c>
      <c r="D43">
        <v>0</v>
      </c>
      <c r="E43">
        <v>0</v>
      </c>
      <c r="F43">
        <v>0</v>
      </c>
      <c r="G43">
        <v>0</v>
      </c>
      <c r="H43">
        <v>0</v>
      </c>
      <c r="I43">
        <v>148.53245205770401</v>
      </c>
      <c r="J43">
        <v>1470</v>
      </c>
      <c r="K43">
        <f>J43-zmin</f>
        <v>1368</v>
      </c>
      <c r="L43">
        <f t="shared" si="0"/>
        <v>3.2953707234239999</v>
      </c>
      <c r="M43">
        <f t="shared" si="1"/>
        <v>3.6823171104074584E-2</v>
      </c>
      <c r="N43">
        <f t="shared" si="2"/>
        <v>-3.6823171104074584E-2</v>
      </c>
      <c r="O43">
        <f t="shared" si="3"/>
        <v>3.6823171104074584E-2</v>
      </c>
    </row>
    <row r="44" spans="1:15" x14ac:dyDescent="0.45">
      <c r="A44">
        <v>41</v>
      </c>
      <c r="B44">
        <v>2335.4859839999999</v>
      </c>
      <c r="C44">
        <v>93419.43939</v>
      </c>
      <c r="D44">
        <v>0</v>
      </c>
      <c r="E44">
        <v>0</v>
      </c>
      <c r="F44">
        <v>0</v>
      </c>
      <c r="G44">
        <v>0</v>
      </c>
      <c r="H44">
        <v>0</v>
      </c>
      <c r="I44">
        <v>148.5324520577</v>
      </c>
      <c r="J44">
        <v>1228</v>
      </c>
      <c r="K44">
        <f>J44-zmin</f>
        <v>1126</v>
      </c>
      <c r="L44">
        <f t="shared" si="0"/>
        <v>2.9123510220479996</v>
      </c>
      <c r="M44">
        <f t="shared" si="1"/>
        <v>0.10361869078123313</v>
      </c>
      <c r="N44">
        <f t="shared" si="2"/>
        <v>-0.10361869078123313</v>
      </c>
      <c r="O44">
        <f t="shared" si="3"/>
        <v>0.10361869078123313</v>
      </c>
    </row>
    <row r="45" spans="1:15" x14ac:dyDescent="0.45">
      <c r="A45">
        <v>42</v>
      </c>
      <c r="B45">
        <v>2335.4859839999999</v>
      </c>
      <c r="C45">
        <v>95754.925380000001</v>
      </c>
      <c r="D45">
        <v>0</v>
      </c>
      <c r="E45">
        <v>0</v>
      </c>
      <c r="F45">
        <v>0</v>
      </c>
      <c r="G45">
        <v>0</v>
      </c>
      <c r="H45">
        <v>0</v>
      </c>
      <c r="I45">
        <v>148.53245205770401</v>
      </c>
      <c r="J45">
        <v>870</v>
      </c>
      <c r="K45">
        <f>J45-zmin</f>
        <v>768</v>
      </c>
      <c r="L45">
        <f t="shared" si="0"/>
        <v>2.2117052268479998</v>
      </c>
      <c r="M45">
        <f t="shared" si="1"/>
        <v>0.15328715413091515</v>
      </c>
      <c r="N45">
        <f t="shared" si="2"/>
        <v>-0.15328715413091515</v>
      </c>
      <c r="O45">
        <f t="shared" si="3"/>
        <v>0.15328715413091515</v>
      </c>
    </row>
    <row r="46" spans="1:15" x14ac:dyDescent="0.45">
      <c r="A46">
        <v>43</v>
      </c>
      <c r="B46">
        <v>2335.4859839999999</v>
      </c>
      <c r="C46">
        <v>98090.411359999998</v>
      </c>
      <c r="D46">
        <v>0</v>
      </c>
      <c r="E46">
        <v>0</v>
      </c>
      <c r="F46">
        <v>0</v>
      </c>
      <c r="G46">
        <v>0</v>
      </c>
      <c r="H46">
        <v>0</v>
      </c>
      <c r="I46">
        <v>148.53245205770099</v>
      </c>
      <c r="J46">
        <v>1683</v>
      </c>
      <c r="K46">
        <f>J46-zmin</f>
        <v>1581</v>
      </c>
      <c r="L46">
        <f t="shared" si="0"/>
        <v>2.7430282882079999</v>
      </c>
      <c r="M46">
        <f t="shared" si="1"/>
        <v>-0.34810741985596094</v>
      </c>
      <c r="N46">
        <f t="shared" si="2"/>
        <v>0.34810741985596094</v>
      </c>
      <c r="O46">
        <f t="shared" si="3"/>
        <v>0.34810741985596094</v>
      </c>
    </row>
    <row r="47" spans="1:15" x14ac:dyDescent="0.45">
      <c r="A47">
        <v>44</v>
      </c>
      <c r="B47">
        <v>2335.4859839999999</v>
      </c>
      <c r="C47">
        <v>100425.8973</v>
      </c>
      <c r="D47">
        <v>0</v>
      </c>
      <c r="E47">
        <v>0</v>
      </c>
      <c r="F47">
        <v>0</v>
      </c>
      <c r="G47">
        <v>0</v>
      </c>
      <c r="H47">
        <v>0</v>
      </c>
      <c r="I47">
        <v>148.5324520577</v>
      </c>
      <c r="J47">
        <v>1843</v>
      </c>
      <c r="K47">
        <f>J47-zmin</f>
        <v>1741</v>
      </c>
      <c r="L47">
        <f t="shared" si="0"/>
        <v>3.8792422194239999</v>
      </c>
      <c r="M47">
        <f t="shared" si="1"/>
        <v>-6.8508225309906204E-2</v>
      </c>
      <c r="N47">
        <f t="shared" si="2"/>
        <v>6.8508225309906204E-2</v>
      </c>
      <c r="O47">
        <f t="shared" si="3"/>
        <v>6.8508225309906204E-2</v>
      </c>
    </row>
    <row r="48" spans="1:15" x14ac:dyDescent="0.45">
      <c r="A48">
        <v>45</v>
      </c>
      <c r="B48">
        <v>2335.4859839999999</v>
      </c>
      <c r="C48">
        <v>102761.3833</v>
      </c>
      <c r="D48">
        <v>0</v>
      </c>
      <c r="E48">
        <v>0</v>
      </c>
      <c r="F48">
        <v>0</v>
      </c>
      <c r="G48">
        <v>0</v>
      </c>
      <c r="H48">
        <v>0</v>
      </c>
      <c r="I48">
        <v>148.53245205770401</v>
      </c>
      <c r="J48">
        <v>1641</v>
      </c>
      <c r="K48">
        <f>J48-zmin</f>
        <v>1539</v>
      </c>
      <c r="L48">
        <f t="shared" si="0"/>
        <v>3.8301970137599999</v>
      </c>
      <c r="M48">
        <f t="shared" si="1"/>
        <v>8.6491634453756586E-2</v>
      </c>
      <c r="N48">
        <f t="shared" si="2"/>
        <v>-8.6491634453756586E-2</v>
      </c>
      <c r="O48">
        <f t="shared" si="3"/>
        <v>8.6491634453756586E-2</v>
      </c>
    </row>
    <row r="49" spans="1:15" x14ac:dyDescent="0.45">
      <c r="A49">
        <v>46</v>
      </c>
      <c r="B49">
        <v>2335.4859839999999</v>
      </c>
      <c r="C49">
        <v>105096.86930000001</v>
      </c>
      <c r="D49">
        <v>0</v>
      </c>
      <c r="E49">
        <v>0</v>
      </c>
      <c r="F49">
        <v>0</v>
      </c>
      <c r="G49">
        <v>0</v>
      </c>
      <c r="H49">
        <v>0</v>
      </c>
      <c r="I49">
        <v>148.53245205770401</v>
      </c>
      <c r="J49">
        <v>1954</v>
      </c>
      <c r="K49">
        <f>J49-zmin</f>
        <v>1852</v>
      </c>
      <c r="L49">
        <f t="shared" si="0"/>
        <v>3.959816485872</v>
      </c>
      <c r="M49">
        <f t="shared" si="1"/>
        <v>-0.13401921576250403</v>
      </c>
      <c r="N49">
        <f t="shared" si="2"/>
        <v>0.13401921576250403</v>
      </c>
      <c r="O49">
        <f t="shared" si="3"/>
        <v>0.13401921576250403</v>
      </c>
    </row>
    <row r="50" spans="1:15" x14ac:dyDescent="0.45">
      <c r="A50">
        <v>47</v>
      </c>
      <c r="B50">
        <v>2335.4859839999999</v>
      </c>
      <c r="C50">
        <v>107432.3553</v>
      </c>
      <c r="D50">
        <v>0</v>
      </c>
      <c r="E50">
        <v>0</v>
      </c>
      <c r="F50">
        <v>0</v>
      </c>
      <c r="G50">
        <v>0</v>
      </c>
      <c r="H50">
        <v>0</v>
      </c>
      <c r="I50">
        <v>148.5324520577</v>
      </c>
      <c r="J50">
        <v>1471</v>
      </c>
      <c r="K50">
        <f>J50-zmin</f>
        <v>1369</v>
      </c>
      <c r="L50">
        <f t="shared" si="0"/>
        <v>3.7613001772320001</v>
      </c>
      <c r="M50">
        <f t="shared" si="1"/>
        <v>0.20680920515427936</v>
      </c>
      <c r="N50">
        <f t="shared" si="2"/>
        <v>-0.20680920515427936</v>
      </c>
      <c r="O50">
        <f t="shared" si="3"/>
        <v>0.20680920515427936</v>
      </c>
    </row>
    <row r="51" spans="1:15" x14ac:dyDescent="0.45">
      <c r="A51">
        <v>48</v>
      </c>
      <c r="B51">
        <v>2335.4859839999999</v>
      </c>
      <c r="C51">
        <v>109767.8412</v>
      </c>
      <c r="D51">
        <v>0</v>
      </c>
      <c r="E51">
        <v>0</v>
      </c>
      <c r="F51">
        <v>0</v>
      </c>
      <c r="G51">
        <v>0</v>
      </c>
      <c r="H51">
        <v>0</v>
      </c>
      <c r="I51">
        <v>148.53245205770401</v>
      </c>
      <c r="J51">
        <v>2180</v>
      </c>
      <c r="K51">
        <f>J51-zmin</f>
        <v>2078</v>
      </c>
      <c r="L51">
        <f t="shared" si="0"/>
        <v>4.0252100934239996</v>
      </c>
      <c r="M51">
        <f t="shared" si="1"/>
        <v>-0.30357707340452189</v>
      </c>
      <c r="N51">
        <f t="shared" si="2"/>
        <v>0.30357707340452189</v>
      </c>
      <c r="O51">
        <f t="shared" si="3"/>
        <v>0.30357707340452189</v>
      </c>
    </row>
    <row r="52" spans="1:15" x14ac:dyDescent="0.45">
      <c r="A52">
        <v>49</v>
      </c>
      <c r="B52">
        <v>2335.4859839999999</v>
      </c>
      <c r="C52">
        <v>112103.3272</v>
      </c>
      <c r="D52">
        <v>0</v>
      </c>
      <c r="E52">
        <v>0</v>
      </c>
      <c r="F52">
        <v>0</v>
      </c>
      <c r="G52">
        <v>0</v>
      </c>
      <c r="H52">
        <v>0</v>
      </c>
      <c r="I52">
        <v>148.5324520577</v>
      </c>
      <c r="J52">
        <v>1766</v>
      </c>
      <c r="K52">
        <f>J52-zmin</f>
        <v>1664</v>
      </c>
      <c r="L52">
        <f t="shared" si="0"/>
        <v>4.3696942760640001</v>
      </c>
      <c r="M52">
        <f t="shared" si="1"/>
        <v>0.17726503298938232</v>
      </c>
      <c r="N52">
        <f t="shared" si="2"/>
        <v>-0.17726503298938232</v>
      </c>
      <c r="O52">
        <f t="shared" si="3"/>
        <v>0.17726503298938232</v>
      </c>
    </row>
    <row r="53" spans="1:15" x14ac:dyDescent="0.45">
      <c r="A53">
        <v>50</v>
      </c>
      <c r="B53">
        <v>2335.4859839999999</v>
      </c>
      <c r="C53">
        <v>114438.8132</v>
      </c>
      <c r="D53">
        <v>0</v>
      </c>
      <c r="E53">
        <v>0</v>
      </c>
      <c r="F53">
        <v>0</v>
      </c>
      <c r="G53">
        <v>0</v>
      </c>
      <c r="H53">
        <v>0</v>
      </c>
      <c r="I53">
        <v>148.53245205770401</v>
      </c>
      <c r="J53">
        <v>2321</v>
      </c>
      <c r="K53">
        <f>J53-zmin</f>
        <v>2219</v>
      </c>
      <c r="L53">
        <f t="shared" si="0"/>
        <v>4.5343460379360003</v>
      </c>
      <c r="M53">
        <f t="shared" si="1"/>
        <v>-0.23763790654373715</v>
      </c>
      <c r="N53">
        <f t="shared" si="2"/>
        <v>0.23763790654373715</v>
      </c>
      <c r="O53">
        <f t="shared" si="3"/>
        <v>0.23763790654373715</v>
      </c>
    </row>
    <row r="54" spans="1:15" x14ac:dyDescent="0.45">
      <c r="A54">
        <v>51</v>
      </c>
      <c r="B54">
        <v>2335.4859839999999</v>
      </c>
      <c r="C54">
        <v>116774.299</v>
      </c>
      <c r="J54">
        <v>2976</v>
      </c>
      <c r="K54">
        <f>J54-zmin</f>
        <v>2874</v>
      </c>
      <c r="L54">
        <f t="shared" si="0"/>
        <v>5.9473150582559997</v>
      </c>
      <c r="M54">
        <f t="shared" si="1"/>
        <v>-0.28045554736242856</v>
      </c>
      <c r="N54">
        <f t="shared" si="2"/>
        <v>0.28045554736242856</v>
      </c>
      <c r="O54">
        <f t="shared" si="3"/>
        <v>0.28045554736242856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zmin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2025-04-10T18:42:58Z</dcterms:created>
  <dcterms:modified xsi:type="dcterms:W3CDTF">2025-04-10T19:05:21Z</dcterms:modified>
</cp:coreProperties>
</file>