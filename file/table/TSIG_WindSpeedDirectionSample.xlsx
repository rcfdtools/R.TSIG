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AAF24214-73D3-4B64-95B1-80ECAE919716}" xr6:coauthVersionLast="47" xr6:coauthVersionMax="47" xr10:uidLastSave="{00000000-0000-0000-0000-000000000000}"/>
  <bookViews>
    <workbookView xWindow="-28882" yWindow="6465" windowWidth="14565" windowHeight="15563" xr2:uid="{72E4CBD1-0E4B-4C3C-BF1D-B2D91BD85BCD}"/>
  </bookViews>
  <sheets>
    <sheet name="Wi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</calcChain>
</file>

<file path=xl/sharedStrings.xml><?xml version="1.0" encoding="utf-8"?>
<sst xmlns="http://schemas.openxmlformats.org/spreadsheetml/2006/main" count="14" uniqueCount="14">
  <si>
    <t>Wind speed and wind direction calculation from u10 and v10 vector fields</t>
  </si>
  <si>
    <t>u10 (m/s)</t>
  </si>
  <si>
    <t>v10 (m/s)</t>
  </si>
  <si>
    <t>Dir (°)</t>
  </si>
  <si>
    <t>Python</t>
  </si>
  <si>
    <t>import math as math</t>
  </si>
  <si>
    <t>Vel (m/s)</t>
  </si>
  <si>
    <t>east</t>
  </si>
  <si>
    <t>north</t>
  </si>
  <si>
    <t>vel = (u10**2 + v10**2)**0.5</t>
  </si>
  <si>
    <t>dir = (180 + math.atan2(u10, v10) * 180 / math.pi) % 360</t>
  </si>
  <si>
    <t>QGIS</t>
  </si>
  <si>
    <t>WindVel = ("u10_mean"^2 + "v10_stat_v10_mean"^2)^0.5</t>
  </si>
  <si>
    <t>WindDir = (180 + atan2("u10_mean", "v10_stat_v10_mean") * 180 / pi()) %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</si>
</sst>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11F4-B029-46A6-B1B9-D3E8BF3A8046}">
  <dimension ref="B2:D15"/>
  <sheetViews>
    <sheetView showGridLines="0" tabSelected="1" zoomScale="175" zoomScaleNormal="175" workbookViewId="0">
      <selection activeCell="B16" sqref="B16"/>
    </sheetView>
  </sheetViews>
  <sheetFormatPr defaultColWidth="8.86328125" defaultRowHeight="16.5" x14ac:dyDescent="0.6"/>
  <cols>
    <col min="1" max="1" width="2.796875" style="1" customWidth="1"/>
    <col min="2" max="2" width="8.86328125" style="1"/>
    <col min="3" max="3" width="15.9296875" style="1" customWidth="1"/>
    <col min="4" max="16384" width="8.86328125" style="1"/>
  </cols>
  <sheetData>
    <row r="2" spans="2:4" x14ac:dyDescent="0.6">
      <c r="B2" s="1" t="s">
        <v>0</v>
      </c>
    </row>
    <row r="3" spans="2:4" x14ac:dyDescent="0.6">
      <c r="B3" s="1" t="s">
        <v>1</v>
      </c>
      <c r="C3" s="2">
        <v>-0.35</v>
      </c>
      <c r="D3" s="1" t="s">
        <v>7</v>
      </c>
    </row>
    <row r="4" spans="2:4" x14ac:dyDescent="0.6">
      <c r="B4" s="1" t="s">
        <v>2</v>
      </c>
      <c r="C4" s="2">
        <v>1.18</v>
      </c>
      <c r="D4" s="1" t="s">
        <v>8</v>
      </c>
    </row>
    <row r="5" spans="2:4" x14ac:dyDescent="0.6">
      <c r="B5" s="1" t="s">
        <v>6</v>
      </c>
      <c r="C5" s="1">
        <f>(C3^2+C4^2)^0.5</f>
        <v>1.2308127396155761</v>
      </c>
    </row>
    <row r="6" spans="2:4" x14ac:dyDescent="0.6">
      <c r="B6" s="1" t="s">
        <v>3</v>
      </c>
      <c r="C6" s="1">
        <f>MOD(180 + ATAN2(C3,C4)*180/PI(),360)</f>
        <v>286.52089218900352</v>
      </c>
    </row>
    <row r="8" spans="2:4" x14ac:dyDescent="0.6">
      <c r="B8" s="1" t="s">
        <v>4</v>
      </c>
    </row>
    <row r="9" spans="2:4" x14ac:dyDescent="0.6">
      <c r="B9" s="1" t="s">
        <v>5</v>
      </c>
    </row>
    <row r="10" spans="2:4" x14ac:dyDescent="0.6">
      <c r="B10" s="1" t="s">
        <v>9</v>
      </c>
    </row>
    <row r="11" spans="2:4" x14ac:dyDescent="0.6">
      <c r="B11" s="1" t="s">
        <v>10</v>
      </c>
    </row>
    <row r="13" spans="2:4" x14ac:dyDescent="0.6">
      <c r="B13" s="1" t="s">
        <v>11</v>
      </c>
    </row>
    <row r="14" spans="2:4" x14ac:dyDescent="0.6">
      <c r="B14" s="1" t="s">
        <v>12</v>
      </c>
    </row>
    <row r="15" spans="2:4" x14ac:dyDescent="0.6">
      <c r="B1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2025-11-10T16:52:53Z</dcterms:created>
  <dcterms:modified xsi:type="dcterms:W3CDTF">2026-10-22T15:42:55Z</dcterms:modified>
</cp:coreProperties>
</file>