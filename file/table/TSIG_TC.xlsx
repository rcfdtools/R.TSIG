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chartsheets/sheet1.xml" ContentType="application/vnd.openxmlformats-officedocument.spreadsheetml.chart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embeddings/oleObject1.bin" ContentType="application/vnd.openxmlformats-officedocument.oleObject"/>
  <Override PartName="/xl/embeddings/oleObject2.bin" ContentType="application/vnd.openxmlformats-officedocument.oleObject"/>
  <Override PartName="/xl/embeddings/oleObject3.bin" ContentType="application/vnd.openxmlformats-officedocument.oleObject"/>
  <Override PartName="/xl/embeddings/oleObject4.bin" ContentType="application/vnd.openxmlformats-officedocument.oleObject"/>
  <Override PartName="/xl/embeddings/oleObject5.bin" ContentType="application/vnd.openxmlformats-officedocument.oleObject"/>
  <Override PartName="/xl/embeddings/oleObject6.bin" ContentType="application/vnd.openxmlformats-officedocument.oleObject"/>
  <Override PartName="/xl/embeddings/oleObject7.bin" ContentType="application/vnd.openxmlformats-officedocument.oleObject"/>
  <Override PartName="/xl/embeddings/oleObject8.bin" ContentType="application/vnd.openxmlformats-officedocument.oleObject"/>
  <Override PartName="/xl/embeddings/oleObject9.bin" ContentType="application/vnd.openxmlformats-officedocument.oleObject"/>
  <Override PartName="/xl/embeddings/oleObject10.bin" ContentType="application/vnd.openxmlformats-officedocument.oleObject"/>
  <Override PartName="/xl/embeddings/oleObject11.bin" ContentType="application/vnd.openxmlformats-officedocument.oleObject"/>
  <Override PartName="/xl/embeddings/oleObject12.bin" ContentType="application/vnd.openxmlformats-officedocument.oleObject"/>
  <Override PartName="/xl/embeddings/oleObject13.bin" ContentType="application/vnd.openxmlformats-officedocument.oleObject"/>
  <Override PartName="/xl/embeddings/oleObject14.bin" ContentType="application/vnd.openxmlformats-officedocument.oleObject"/>
  <Override PartName="/xl/embeddings/oleObject15.bin" ContentType="application/vnd.openxmlformats-officedocument.oleObject"/>
  <Override PartName="/xl/drawings/drawing2.xml" ContentType="application/vnd.openxmlformats-officedocument.drawing+xml"/>
  <Override PartName="/xl/embeddings/oleObject16.bin" ContentType="application/vnd.openxmlformats-officedocument.oleObject"/>
  <Override PartName="/xl/embeddings/oleObject17.bin" ContentType="application/vnd.openxmlformats-officedocument.oleObject"/>
  <Override PartName="/xl/embeddings/oleObject18.bin" ContentType="application/vnd.openxmlformats-officedocument.oleObject"/>
  <Override PartName="/xl/embeddings/oleObject19.bin" ContentType="application/vnd.openxmlformats-officedocument.oleObject"/>
  <Override PartName="/xl/embeddings/oleObject20.bin" ContentType="application/vnd.openxmlformats-officedocument.oleObject"/>
  <Override PartName="/xl/embeddings/oleObject21.bin" ContentType="application/vnd.openxmlformats-officedocument.oleObject"/>
  <Override PartName="/xl/embeddings/oleObject22.bin" ContentType="application/vnd.openxmlformats-officedocument.oleObject"/>
  <Override PartName="/xl/embeddings/oleObject23.bin" ContentType="application/vnd.openxmlformats-officedocument.oleObject"/>
  <Override PartName="/xl/embeddings/oleObject24.bin" ContentType="application/vnd.openxmlformats-officedocument.oleObject"/>
  <Override PartName="/xl/embeddings/oleObject25.bin" ContentType="application/vnd.openxmlformats-officedocument.oleObject"/>
  <Override PartName="/xl/embeddings/oleObject26.bin" ContentType="application/vnd.openxmlformats-officedocument.oleObject"/>
  <Override PartName="/xl/embeddings/oleObject27.bin" ContentType="application/vnd.openxmlformats-officedocument.oleObject"/>
  <Override PartName="/xl/embeddings/oleObject28.bin" ContentType="application/vnd.openxmlformats-officedocument.oleObject"/>
  <Override PartName="/xl/embeddings/oleObject29.bin" ContentType="application/vnd.openxmlformats-officedocument.oleObject"/>
  <Override PartName="/xl/embeddings/oleObject30.bin" ContentType="application/vnd.openxmlformats-officedocument.oleObject"/>
  <Override PartName="/xl/comments1.xml" ContentType="application/vnd.openxmlformats-officedocument.spreadsheetml.comments+xml"/>
  <Override PartName="/xl/drawings/drawing3.xml" ContentType="application/vnd.openxmlformats-officedocument.drawing+xml"/>
  <Override PartName="/xl/charts/chart1.xml" ContentType="application/vnd.openxmlformats-officedocument.drawingml.chart+xml"/>
  <Override PartName="/xl/drawings/drawing4.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4"/>
  <workbookPr defaultThemeVersion="166925"/>
  <mc:AlternateContent xmlns:mc="http://schemas.openxmlformats.org/markup-compatibility/2006">
    <mc:Choice Requires="x15">
      <x15ac:absPath xmlns:x15ac="http://schemas.microsoft.com/office/spreadsheetml/2010/11/ac" url="D:\R.TSIG\file\table\"/>
    </mc:Choice>
  </mc:AlternateContent>
  <xr:revisionPtr revIDLastSave="0" documentId="13_ncr:1_{47658BF0-4497-4C70-AF1D-0ACF7E9C4FEC}" xr6:coauthVersionLast="47" xr6:coauthVersionMax="47" xr10:uidLastSave="{00000000-0000-0000-0000-000000000000}"/>
  <bookViews>
    <workbookView xWindow="-98" yWindow="-98" windowWidth="28996" windowHeight="15675" tabRatio="721" activeTab="1" xr2:uid="{00000000-000D-0000-FFFF-FFFF00000000}"/>
  </bookViews>
  <sheets>
    <sheet name="Intro" sheetId="27" r:id="rId1"/>
    <sheet name="tc y Morf." sheetId="21" r:id="rId2"/>
    <sheet name="tc, Graph" sheetId="26" r:id="rId3"/>
    <sheet name="BasinTemp" sheetId="22" r:id="rId4"/>
    <sheet name="RiverTemp" sheetId="23" r:id="rId5"/>
    <sheet name="Temp" sheetId="24" r:id="rId6"/>
    <sheet name="{R}" sheetId="29" r:id="rId7"/>
  </sheets>
  <definedNames>
    <definedName name="_xlnm._FilterDatabase" localSheetId="1" hidden="1">'tc y Morf.'!$B$9:$AN$213</definedName>
    <definedName name="_xlnm.Database">#REF!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F13" i="21" l="1"/>
  <c r="AE13" i="21"/>
  <c r="AC13" i="21"/>
  <c r="AL13" i="21"/>
  <c r="AK13" i="21"/>
  <c r="AJ13" i="21"/>
  <c r="W149" i="24"/>
  <c r="W150" i="24"/>
  <c r="W151" i="24"/>
  <c r="W152" i="24"/>
  <c r="W153" i="24"/>
  <c r="W154" i="24"/>
  <c r="W155" i="24"/>
  <c r="W156" i="24"/>
  <c r="W157" i="24"/>
  <c r="W158" i="24"/>
  <c r="W159" i="24"/>
  <c r="W160" i="24"/>
  <c r="W146" i="24"/>
  <c r="W147" i="24"/>
  <c r="W148" i="24"/>
  <c r="W135" i="24"/>
  <c r="W136" i="24"/>
  <c r="W137" i="24"/>
  <c r="W138" i="24"/>
  <c r="W139" i="24"/>
  <c r="W140" i="24"/>
  <c r="W141" i="24"/>
  <c r="W142" i="24"/>
  <c r="W143" i="24"/>
  <c r="W144" i="24"/>
  <c r="W145" i="24"/>
  <c r="W125" i="24"/>
  <c r="W126" i="24"/>
  <c r="W127" i="24"/>
  <c r="W128" i="24"/>
  <c r="W129" i="24"/>
  <c r="W130" i="24"/>
  <c r="W131" i="24"/>
  <c r="W132" i="24"/>
  <c r="W133" i="24"/>
  <c r="W134" i="24"/>
  <c r="W120" i="24"/>
  <c r="W121" i="24"/>
  <c r="W122" i="24"/>
  <c r="W123" i="24"/>
  <c r="W124" i="24"/>
  <c r="W105" i="24"/>
  <c r="W106" i="24"/>
  <c r="W107" i="24"/>
  <c r="W108" i="24"/>
  <c r="W109" i="24"/>
  <c r="W110" i="24"/>
  <c r="W111" i="24"/>
  <c r="W112" i="24"/>
  <c r="W113" i="24"/>
  <c r="W114" i="24"/>
  <c r="W115" i="24"/>
  <c r="W116" i="24"/>
  <c r="W117" i="24"/>
  <c r="W118" i="24"/>
  <c r="W119" i="24"/>
  <c r="W87" i="24"/>
  <c r="W88" i="24"/>
  <c r="W89" i="24"/>
  <c r="W90" i="24"/>
  <c r="W91" i="24"/>
  <c r="W92" i="24"/>
  <c r="W93" i="24"/>
  <c r="W94" i="24"/>
  <c r="W95" i="24"/>
  <c r="W96" i="24"/>
  <c r="W97" i="24"/>
  <c r="W98" i="24"/>
  <c r="W99" i="24"/>
  <c r="W100" i="24"/>
  <c r="W101" i="24"/>
  <c r="W102" i="24"/>
  <c r="W103" i="24"/>
  <c r="W104" i="24"/>
  <c r="W81" i="24"/>
  <c r="W82" i="24"/>
  <c r="W83" i="24"/>
  <c r="W84" i="24"/>
  <c r="W85" i="24"/>
  <c r="W86" i="24"/>
  <c r="W75" i="24"/>
  <c r="W76" i="24"/>
  <c r="W77" i="24"/>
  <c r="W78" i="24"/>
  <c r="W79" i="24"/>
  <c r="W80" i="24"/>
  <c r="W66" i="24"/>
  <c r="W67" i="24"/>
  <c r="W68" i="24"/>
  <c r="W69" i="24"/>
  <c r="W70" i="24"/>
  <c r="W71" i="24"/>
  <c r="W72" i="24"/>
  <c r="W73" i="24"/>
  <c r="W74" i="24"/>
  <c r="W5" i="24"/>
  <c r="W6" i="24"/>
  <c r="W7" i="24"/>
  <c r="W8" i="24"/>
  <c r="W9" i="24"/>
  <c r="W10" i="24"/>
  <c r="W11" i="24"/>
  <c r="W12" i="24"/>
  <c r="W13" i="24"/>
  <c r="W14" i="24"/>
  <c r="W15" i="24"/>
  <c r="W16" i="24"/>
  <c r="W17" i="24"/>
  <c r="W18" i="24"/>
  <c r="W19" i="24"/>
  <c r="W20" i="24"/>
  <c r="W21" i="24"/>
  <c r="W22" i="24"/>
  <c r="W23" i="24"/>
  <c r="W24" i="24"/>
  <c r="W25" i="24"/>
  <c r="W26" i="24"/>
  <c r="W27" i="24"/>
  <c r="W28" i="24"/>
  <c r="W29" i="24"/>
  <c r="W30" i="24"/>
  <c r="W31" i="24"/>
  <c r="W32" i="24"/>
  <c r="W33" i="24"/>
  <c r="W34" i="24"/>
  <c r="W35" i="24"/>
  <c r="W36" i="24"/>
  <c r="W37" i="24"/>
  <c r="W38" i="24"/>
  <c r="W39" i="24"/>
  <c r="W40" i="24"/>
  <c r="W41" i="24"/>
  <c r="W42" i="24"/>
  <c r="W43" i="24"/>
  <c r="W44" i="24"/>
  <c r="W45" i="24"/>
  <c r="W46" i="24"/>
  <c r="W47" i="24"/>
  <c r="W48" i="24"/>
  <c r="W49" i="24"/>
  <c r="W50" i="24"/>
  <c r="W51" i="24"/>
  <c r="W52" i="24"/>
  <c r="W53" i="24"/>
  <c r="W54" i="24"/>
  <c r="W55" i="24"/>
  <c r="W56" i="24"/>
  <c r="W57" i="24"/>
  <c r="W58" i="24"/>
  <c r="W59" i="24"/>
  <c r="W60" i="24"/>
  <c r="W61" i="24"/>
  <c r="W62" i="24"/>
  <c r="W63" i="24"/>
  <c r="W64" i="24"/>
  <c r="W65" i="24"/>
  <c r="W3" i="24"/>
  <c r="W4" i="24"/>
  <c r="W2" i="24"/>
  <c r="I3" i="23"/>
  <c r="I4" i="23"/>
  <c r="I5" i="23"/>
  <c r="I6" i="23"/>
  <c r="I7" i="23"/>
  <c r="I8" i="23"/>
  <c r="I9" i="23"/>
  <c r="I10" i="23"/>
  <c r="I11" i="23"/>
  <c r="I12" i="23"/>
  <c r="I13" i="23"/>
  <c r="I14" i="23"/>
  <c r="I15" i="23"/>
  <c r="I16" i="23"/>
  <c r="I17" i="23"/>
  <c r="I18" i="23"/>
  <c r="I19" i="23"/>
  <c r="I20" i="23"/>
  <c r="I21" i="23"/>
  <c r="I22" i="23"/>
  <c r="I23" i="23"/>
  <c r="I24" i="23"/>
  <c r="I25" i="23"/>
  <c r="I26" i="23"/>
  <c r="I27" i="23"/>
  <c r="I28" i="23"/>
  <c r="I29" i="23"/>
  <c r="I30" i="23"/>
  <c r="I31" i="23"/>
  <c r="I32" i="23"/>
  <c r="I33" i="23"/>
  <c r="I34" i="23"/>
  <c r="I35" i="23"/>
  <c r="I36" i="23"/>
  <c r="I37" i="23"/>
  <c r="I38" i="23"/>
  <c r="I39" i="23"/>
  <c r="I40" i="23"/>
  <c r="I41" i="23"/>
  <c r="I42" i="23"/>
  <c r="I43" i="23"/>
  <c r="I44" i="23"/>
  <c r="I45" i="23"/>
  <c r="I46" i="23"/>
  <c r="I47" i="23"/>
  <c r="I48" i="23"/>
  <c r="I49" i="23"/>
  <c r="I50" i="23"/>
  <c r="I51" i="23"/>
  <c r="I52" i="23"/>
  <c r="I53" i="23"/>
  <c r="I54" i="23"/>
  <c r="I55" i="23"/>
  <c r="I56" i="23"/>
  <c r="I57" i="23"/>
  <c r="I58" i="23"/>
  <c r="I59" i="23"/>
  <c r="I60" i="23"/>
  <c r="I61" i="23"/>
  <c r="I62" i="23"/>
  <c r="I63" i="23"/>
  <c r="I64" i="23"/>
  <c r="I65" i="23"/>
  <c r="I66" i="23"/>
  <c r="I67" i="23"/>
  <c r="I68" i="23"/>
  <c r="I69" i="23"/>
  <c r="I70" i="23"/>
  <c r="I71" i="23"/>
  <c r="I72" i="23"/>
  <c r="I73" i="23"/>
  <c r="I74" i="23"/>
  <c r="I75" i="23"/>
  <c r="I76" i="23"/>
  <c r="I77" i="23"/>
  <c r="I78" i="23"/>
  <c r="I79" i="23"/>
  <c r="I80" i="23"/>
  <c r="I81" i="23"/>
  <c r="I82" i="23"/>
  <c r="I83" i="23"/>
  <c r="I84" i="23"/>
  <c r="I85" i="23"/>
  <c r="I86" i="23"/>
  <c r="I87" i="23"/>
  <c r="I88" i="23"/>
  <c r="I89" i="23"/>
  <c r="I90" i="23"/>
  <c r="I91" i="23"/>
  <c r="I92" i="23"/>
  <c r="I93" i="23"/>
  <c r="I94" i="23"/>
  <c r="I95" i="23"/>
  <c r="I96" i="23"/>
  <c r="I97" i="23"/>
  <c r="I98" i="23"/>
  <c r="I99" i="23"/>
  <c r="I100" i="23"/>
  <c r="I101" i="23"/>
  <c r="I102" i="23"/>
  <c r="I103" i="23"/>
  <c r="I104" i="23"/>
  <c r="I105" i="23"/>
  <c r="I106" i="23"/>
  <c r="I107" i="23"/>
  <c r="I108" i="23"/>
  <c r="I109" i="23"/>
  <c r="I110" i="23"/>
  <c r="I111" i="23"/>
  <c r="I112" i="23"/>
  <c r="I113" i="23"/>
  <c r="I114" i="23"/>
  <c r="I115" i="23"/>
  <c r="I116" i="23"/>
  <c r="I117" i="23"/>
  <c r="I118" i="23"/>
  <c r="I119" i="23"/>
  <c r="I120" i="23"/>
  <c r="I121" i="23"/>
  <c r="I122" i="23"/>
  <c r="I123" i="23"/>
  <c r="I124" i="23"/>
  <c r="I125" i="23"/>
  <c r="I126" i="23"/>
  <c r="I127" i="23"/>
  <c r="I128" i="23"/>
  <c r="I129" i="23"/>
  <c r="I130" i="23"/>
  <c r="I131" i="23"/>
  <c r="I132" i="23"/>
  <c r="I133" i="23"/>
  <c r="I134" i="23"/>
  <c r="I135" i="23"/>
  <c r="I136" i="23"/>
  <c r="I137" i="23"/>
  <c r="I138" i="23"/>
  <c r="I139" i="23"/>
  <c r="I140" i="23"/>
  <c r="I141" i="23"/>
  <c r="I142" i="23"/>
  <c r="I143" i="23"/>
  <c r="I144" i="23"/>
  <c r="I145" i="23"/>
  <c r="I146" i="23"/>
  <c r="I147" i="23"/>
  <c r="I148" i="23"/>
  <c r="I149" i="23"/>
  <c r="I150" i="23"/>
  <c r="I151" i="23"/>
  <c r="I152" i="23"/>
  <c r="I153" i="23"/>
  <c r="I154" i="23"/>
  <c r="I155" i="23"/>
  <c r="I156" i="23"/>
  <c r="I157" i="23"/>
  <c r="I158" i="23"/>
  <c r="I159" i="23"/>
  <c r="I160" i="23"/>
  <c r="I2" i="23"/>
  <c r="T13" i="21"/>
  <c r="F3" i="22"/>
  <c r="F4" i="22"/>
  <c r="F5" i="22"/>
  <c r="F6" i="22"/>
  <c r="F7" i="22"/>
  <c r="F8" i="22"/>
  <c r="F9" i="22"/>
  <c r="F10" i="22"/>
  <c r="F11" i="22"/>
  <c r="F12" i="22"/>
  <c r="F13" i="22"/>
  <c r="F14" i="22"/>
  <c r="F15" i="22"/>
  <c r="F16" i="22"/>
  <c r="F17" i="22"/>
  <c r="F18" i="22"/>
  <c r="F19" i="22"/>
  <c r="F20" i="22"/>
  <c r="F21" i="22"/>
  <c r="F22" i="22"/>
  <c r="F23" i="22"/>
  <c r="F24" i="22"/>
  <c r="F25" i="22"/>
  <c r="F26" i="22"/>
  <c r="F27" i="22"/>
  <c r="F28" i="22"/>
  <c r="F29" i="22"/>
  <c r="F30" i="22"/>
  <c r="F31" i="22"/>
  <c r="F32" i="22"/>
  <c r="F33" i="22"/>
  <c r="F34" i="22"/>
  <c r="F35" i="22"/>
  <c r="F36" i="22"/>
  <c r="F37" i="22"/>
  <c r="F38" i="22"/>
  <c r="F39" i="22"/>
  <c r="F40" i="22"/>
  <c r="F41" i="22"/>
  <c r="F42" i="22"/>
  <c r="F43" i="22"/>
  <c r="F44" i="22"/>
  <c r="F45" i="22"/>
  <c r="F46" i="22"/>
  <c r="F47" i="22"/>
  <c r="F48" i="22"/>
  <c r="F49" i="22"/>
  <c r="F50" i="22"/>
  <c r="F51" i="22"/>
  <c r="F52" i="22"/>
  <c r="F53" i="22"/>
  <c r="F54" i="22"/>
  <c r="F55" i="22"/>
  <c r="F56" i="22"/>
  <c r="F57" i="22"/>
  <c r="F58" i="22"/>
  <c r="F59" i="22"/>
  <c r="F60" i="22"/>
  <c r="F61" i="22"/>
  <c r="F62" i="22"/>
  <c r="F63" i="22"/>
  <c r="F64" i="22"/>
  <c r="F65" i="22"/>
  <c r="F66" i="22"/>
  <c r="F67" i="22"/>
  <c r="F68" i="22"/>
  <c r="F69" i="22"/>
  <c r="F70" i="22"/>
  <c r="F71" i="22"/>
  <c r="F72" i="22"/>
  <c r="F73" i="22"/>
  <c r="F74" i="22"/>
  <c r="F75" i="22"/>
  <c r="F76" i="22"/>
  <c r="F77" i="22"/>
  <c r="F78" i="22"/>
  <c r="F79" i="22"/>
  <c r="F80" i="22"/>
  <c r="F81" i="22"/>
  <c r="F82" i="22"/>
  <c r="F83" i="22"/>
  <c r="F84" i="22"/>
  <c r="F85" i="22"/>
  <c r="F86" i="22"/>
  <c r="F87" i="22"/>
  <c r="F88" i="22"/>
  <c r="F89" i="22"/>
  <c r="F90" i="22"/>
  <c r="F91" i="22"/>
  <c r="F92" i="22"/>
  <c r="F93" i="22"/>
  <c r="F94" i="22"/>
  <c r="F95" i="22"/>
  <c r="F96" i="22"/>
  <c r="F97" i="22"/>
  <c r="F98" i="22"/>
  <c r="F99" i="22"/>
  <c r="F100" i="22"/>
  <c r="F101" i="22"/>
  <c r="F102" i="22"/>
  <c r="F103" i="22"/>
  <c r="F104" i="22"/>
  <c r="F105" i="22"/>
  <c r="F106" i="22"/>
  <c r="F107" i="22"/>
  <c r="F108" i="22"/>
  <c r="F109" i="22"/>
  <c r="F110" i="22"/>
  <c r="F111" i="22"/>
  <c r="F112" i="22"/>
  <c r="F113" i="22"/>
  <c r="F114" i="22"/>
  <c r="F115" i="22"/>
  <c r="F116" i="22"/>
  <c r="F117" i="22"/>
  <c r="F118" i="22"/>
  <c r="F119" i="22"/>
  <c r="F120" i="22"/>
  <c r="F121" i="22"/>
  <c r="F122" i="22"/>
  <c r="F123" i="22"/>
  <c r="F124" i="22"/>
  <c r="F125" i="22"/>
  <c r="F126" i="22"/>
  <c r="F127" i="22"/>
  <c r="F128" i="22"/>
  <c r="F129" i="22"/>
  <c r="F130" i="22"/>
  <c r="F131" i="22"/>
  <c r="F132" i="22"/>
  <c r="F133" i="22"/>
  <c r="F134" i="22"/>
  <c r="F135" i="22"/>
  <c r="F136" i="22"/>
  <c r="F137" i="22"/>
  <c r="F138" i="22"/>
  <c r="F139" i="22"/>
  <c r="F140" i="22"/>
  <c r="F141" i="22"/>
  <c r="F142" i="22"/>
  <c r="F143" i="22"/>
  <c r="F144" i="22"/>
  <c r="F145" i="22"/>
  <c r="F146" i="22"/>
  <c r="F147" i="22"/>
  <c r="F148" i="22"/>
  <c r="F149" i="22"/>
  <c r="F150" i="22"/>
  <c r="F151" i="22"/>
  <c r="F152" i="22"/>
  <c r="F153" i="22"/>
  <c r="F154" i="22"/>
  <c r="F155" i="22"/>
  <c r="F156" i="22"/>
  <c r="F157" i="22"/>
  <c r="F158" i="22"/>
  <c r="F159" i="22"/>
  <c r="F160" i="22"/>
  <c r="F2" i="22"/>
  <c r="H3" i="22"/>
  <c r="H4" i="22"/>
  <c r="H5" i="22"/>
  <c r="H6" i="22"/>
  <c r="H7" i="22"/>
  <c r="H8" i="22"/>
  <c r="H9" i="22"/>
  <c r="H10" i="22"/>
  <c r="H11" i="22"/>
  <c r="H12" i="22"/>
  <c r="H13" i="22"/>
  <c r="H14" i="22"/>
  <c r="H15" i="22"/>
  <c r="H16" i="22"/>
  <c r="H17" i="22"/>
  <c r="H18" i="22"/>
  <c r="H19" i="22"/>
  <c r="H20" i="22"/>
  <c r="H21" i="22"/>
  <c r="H22" i="22"/>
  <c r="H23" i="22"/>
  <c r="H24" i="22"/>
  <c r="H25" i="22"/>
  <c r="H26" i="22"/>
  <c r="H27" i="22"/>
  <c r="H28" i="22"/>
  <c r="H29" i="22"/>
  <c r="H30" i="22"/>
  <c r="H31" i="22"/>
  <c r="H32" i="22"/>
  <c r="H33" i="22"/>
  <c r="H34" i="22"/>
  <c r="H35" i="22"/>
  <c r="H36" i="22"/>
  <c r="H37" i="22"/>
  <c r="H38" i="22"/>
  <c r="H39" i="22"/>
  <c r="H40" i="22"/>
  <c r="H41" i="22"/>
  <c r="H42" i="22"/>
  <c r="H43" i="22"/>
  <c r="H44" i="22"/>
  <c r="H45" i="22"/>
  <c r="H46" i="22"/>
  <c r="H47" i="22"/>
  <c r="H48" i="22"/>
  <c r="H49" i="22"/>
  <c r="H50" i="22"/>
  <c r="H51" i="22"/>
  <c r="H52" i="22"/>
  <c r="H53" i="22"/>
  <c r="H54" i="22"/>
  <c r="H55" i="22"/>
  <c r="H56" i="22"/>
  <c r="H57" i="22"/>
  <c r="H58" i="22"/>
  <c r="H59" i="22"/>
  <c r="H60" i="22"/>
  <c r="H61" i="22"/>
  <c r="H62" i="22"/>
  <c r="H63" i="22"/>
  <c r="H64" i="22"/>
  <c r="H65" i="22"/>
  <c r="H66" i="22"/>
  <c r="H67" i="22"/>
  <c r="H68" i="22"/>
  <c r="H69" i="22"/>
  <c r="H70" i="22"/>
  <c r="H71" i="22"/>
  <c r="H72" i="22"/>
  <c r="H73" i="22"/>
  <c r="H74" i="22"/>
  <c r="H75" i="22"/>
  <c r="H76" i="22"/>
  <c r="H77" i="22"/>
  <c r="H78" i="22"/>
  <c r="H79" i="22"/>
  <c r="H80" i="22"/>
  <c r="H81" i="22"/>
  <c r="H82" i="22"/>
  <c r="H83" i="22"/>
  <c r="H84" i="22"/>
  <c r="H85" i="22"/>
  <c r="H86" i="22"/>
  <c r="H87" i="22"/>
  <c r="H88" i="22"/>
  <c r="H89" i="22"/>
  <c r="H90" i="22"/>
  <c r="H91" i="22"/>
  <c r="H92" i="22"/>
  <c r="H93" i="22"/>
  <c r="H94" i="22"/>
  <c r="H95" i="22"/>
  <c r="H96" i="22"/>
  <c r="H97" i="22"/>
  <c r="H98" i="22"/>
  <c r="H99" i="22"/>
  <c r="H100" i="22"/>
  <c r="H101" i="22"/>
  <c r="H102" i="22"/>
  <c r="H103" i="22"/>
  <c r="H104" i="22"/>
  <c r="H105" i="22"/>
  <c r="H106" i="22"/>
  <c r="H107" i="22"/>
  <c r="H108" i="22"/>
  <c r="H109" i="22"/>
  <c r="H110" i="22"/>
  <c r="H111" i="22"/>
  <c r="H112" i="22"/>
  <c r="H113" i="22"/>
  <c r="H114" i="22"/>
  <c r="H115" i="22"/>
  <c r="H116" i="22"/>
  <c r="H117" i="22"/>
  <c r="H118" i="22"/>
  <c r="H119" i="22"/>
  <c r="H120" i="22"/>
  <c r="H121" i="22"/>
  <c r="H122" i="22"/>
  <c r="H123" i="22"/>
  <c r="H124" i="22"/>
  <c r="H125" i="22"/>
  <c r="H126" i="22"/>
  <c r="H127" i="22"/>
  <c r="H128" i="22"/>
  <c r="H129" i="22"/>
  <c r="H130" i="22"/>
  <c r="H131" i="22"/>
  <c r="H132" i="22"/>
  <c r="H133" i="22"/>
  <c r="H134" i="22"/>
  <c r="H135" i="22"/>
  <c r="H136" i="22"/>
  <c r="H137" i="22"/>
  <c r="H138" i="22"/>
  <c r="H139" i="22"/>
  <c r="H140" i="22"/>
  <c r="H141" i="22"/>
  <c r="H142" i="22"/>
  <c r="H143" i="22"/>
  <c r="H144" i="22"/>
  <c r="H145" i="22"/>
  <c r="H146" i="22"/>
  <c r="H147" i="22"/>
  <c r="H148" i="22"/>
  <c r="H149" i="22"/>
  <c r="H150" i="22"/>
  <c r="H151" i="22"/>
  <c r="H152" i="22"/>
  <c r="H153" i="22"/>
  <c r="H154" i="22"/>
  <c r="H155" i="22"/>
  <c r="H156" i="22"/>
  <c r="H157" i="22"/>
  <c r="H158" i="22"/>
  <c r="H159" i="22"/>
  <c r="H160" i="22"/>
  <c r="H2" i="22"/>
  <c r="K13" i="21"/>
  <c r="O13" i="21" l="1"/>
  <c r="AN13" i="21"/>
  <c r="AM13" i="21"/>
  <c r="U8" i="21"/>
  <c r="U7" i="21"/>
  <c r="U6" i="21"/>
  <c r="U5" i="21"/>
  <c r="AC14" i="21"/>
  <c r="O14" i="21" s="1"/>
  <c r="AC15" i="21"/>
  <c r="O15" i="21" s="1"/>
  <c r="AC16" i="21"/>
  <c r="O16" i="21" s="1"/>
  <c r="AC17" i="21"/>
  <c r="O17" i="21" s="1"/>
  <c r="AC18" i="21"/>
  <c r="O18" i="21" s="1"/>
  <c r="AC19" i="21"/>
  <c r="O19" i="21" s="1"/>
  <c r="AC20" i="21"/>
  <c r="O20" i="21" s="1"/>
  <c r="AC21" i="21"/>
  <c r="O21" i="21" s="1"/>
  <c r="AC22" i="21"/>
  <c r="O22" i="21" s="1"/>
  <c r="AC23" i="21"/>
  <c r="O23" i="21" s="1"/>
  <c r="AC24" i="21"/>
  <c r="O24" i="21" s="1"/>
  <c r="AC25" i="21"/>
  <c r="O25" i="21" s="1"/>
  <c r="AC26" i="21"/>
  <c r="O26" i="21" s="1"/>
  <c r="AC27" i="21"/>
  <c r="O27" i="21" s="1"/>
  <c r="AC28" i="21"/>
  <c r="O28" i="21" s="1"/>
  <c r="AC29" i="21"/>
  <c r="O29" i="21" s="1"/>
  <c r="AC30" i="21"/>
  <c r="O30" i="21" s="1"/>
  <c r="AC31" i="21"/>
  <c r="O31" i="21" s="1"/>
  <c r="AC32" i="21"/>
  <c r="O32" i="21" s="1"/>
  <c r="AC33" i="21"/>
  <c r="O33" i="21" s="1"/>
  <c r="AC34" i="21"/>
  <c r="O34" i="21" s="1"/>
  <c r="AC35" i="21"/>
  <c r="O35" i="21" s="1"/>
  <c r="AC36" i="21"/>
  <c r="O36" i="21" s="1"/>
  <c r="AC37" i="21"/>
  <c r="O37" i="21" s="1"/>
  <c r="AC38" i="21"/>
  <c r="O38" i="21" s="1"/>
  <c r="AC39" i="21"/>
  <c r="O39" i="21" s="1"/>
  <c r="AC40" i="21"/>
  <c r="O40" i="21" s="1"/>
  <c r="AC41" i="21"/>
  <c r="O41" i="21" s="1"/>
  <c r="AC42" i="21"/>
  <c r="O42" i="21" s="1"/>
  <c r="AC43" i="21"/>
  <c r="O43" i="21" s="1"/>
  <c r="AC44" i="21"/>
  <c r="O44" i="21" s="1"/>
  <c r="AC45" i="21"/>
  <c r="O45" i="21" s="1"/>
  <c r="AC46" i="21"/>
  <c r="O46" i="21" s="1"/>
  <c r="AC47" i="21"/>
  <c r="O47" i="21" s="1"/>
  <c r="AC48" i="21"/>
  <c r="O48" i="21" s="1"/>
  <c r="AC49" i="21"/>
  <c r="O49" i="21" s="1"/>
  <c r="AC50" i="21"/>
  <c r="O50" i="21" s="1"/>
  <c r="AC51" i="21"/>
  <c r="O51" i="21" s="1"/>
  <c r="P13" i="21"/>
  <c r="Q5" i="21"/>
  <c r="AG13" i="21"/>
  <c r="M13" i="21"/>
  <c r="AD13" i="21"/>
  <c r="AH13" i="21"/>
  <c r="AI13" i="21"/>
  <c r="T14" i="21"/>
  <c r="T15" i="21"/>
  <c r="T16" i="21"/>
  <c r="T17" i="21"/>
  <c r="T18" i="21"/>
  <c r="T19" i="21"/>
  <c r="T20" i="21"/>
  <c r="T21" i="21"/>
  <c r="T22" i="21"/>
  <c r="T23" i="21"/>
  <c r="T24" i="21"/>
  <c r="T25" i="21"/>
  <c r="T26" i="21"/>
  <c r="T27" i="21"/>
  <c r="T28" i="21"/>
  <c r="T29" i="21"/>
  <c r="T30" i="21"/>
  <c r="T31" i="21"/>
  <c r="T32" i="21"/>
  <c r="T33" i="21"/>
  <c r="T34" i="21"/>
  <c r="T35" i="21"/>
  <c r="T36" i="21"/>
  <c r="T37" i="21"/>
  <c r="T38" i="21"/>
  <c r="T39" i="21"/>
  <c r="T40" i="21"/>
  <c r="T41" i="21"/>
  <c r="T42" i="21"/>
  <c r="T43" i="21"/>
  <c r="T44" i="21"/>
  <c r="T45" i="21"/>
  <c r="T46" i="21"/>
  <c r="T47" i="21"/>
  <c r="T48" i="21"/>
  <c r="T49" i="21"/>
  <c r="T50" i="21"/>
  <c r="T51" i="21"/>
  <c r="AB8" i="21"/>
  <c r="AA8" i="21"/>
  <c r="Z8" i="21"/>
  <c r="Y8" i="21"/>
  <c r="X8" i="21"/>
  <c r="W8" i="21"/>
  <c r="V8" i="21"/>
  <c r="N8" i="21"/>
  <c r="L8" i="21"/>
  <c r="J8" i="21"/>
  <c r="I8" i="21"/>
  <c r="H8" i="21"/>
  <c r="G8" i="21"/>
  <c r="F8" i="21"/>
  <c r="E8" i="21"/>
  <c r="AB7" i="21"/>
  <c r="AA7" i="21"/>
  <c r="Z7" i="21"/>
  <c r="Y7" i="21"/>
  <c r="X7" i="21"/>
  <c r="W7" i="21"/>
  <c r="V7" i="21"/>
  <c r="N7" i="21"/>
  <c r="L7" i="21"/>
  <c r="J7" i="21"/>
  <c r="I7" i="21"/>
  <c r="H7" i="21"/>
  <c r="G7" i="21"/>
  <c r="F7" i="21"/>
  <c r="E7" i="21"/>
  <c r="E6" i="21"/>
  <c r="AB6" i="21"/>
  <c r="AA6" i="21"/>
  <c r="Z6" i="21"/>
  <c r="Y6" i="21"/>
  <c r="X6" i="21"/>
  <c r="W6" i="21"/>
  <c r="V6" i="21"/>
  <c r="N6" i="21"/>
  <c r="L6" i="21"/>
  <c r="J6" i="21"/>
  <c r="I6" i="21"/>
  <c r="H6" i="21"/>
  <c r="G6" i="21"/>
  <c r="F6" i="21"/>
  <c r="AB5" i="21"/>
  <c r="AA5" i="21"/>
  <c r="Z5" i="21"/>
  <c r="Y5" i="21"/>
  <c r="X5" i="21"/>
  <c r="W5" i="21"/>
  <c r="V5" i="21"/>
  <c r="N5" i="21"/>
  <c r="L5" i="21"/>
  <c r="J5" i="21"/>
  <c r="I5" i="21"/>
  <c r="H5" i="21"/>
  <c r="G5" i="21"/>
  <c r="F5" i="21"/>
  <c r="E5" i="21"/>
  <c r="AC8" i="21" l="1"/>
  <c r="AC5" i="21"/>
  <c r="AC6" i="21"/>
  <c r="AC7" i="21"/>
  <c r="AI14" i="21"/>
  <c r="AI15" i="21"/>
  <c r="AI16" i="21"/>
  <c r="AI17" i="21"/>
  <c r="AI18" i="21"/>
  <c r="AI19" i="21"/>
  <c r="AI20" i="21"/>
  <c r="AI21" i="21"/>
  <c r="AI22" i="21"/>
  <c r="AI23" i="21"/>
  <c r="AI24" i="21"/>
  <c r="AI25" i="21"/>
  <c r="AI26" i="21"/>
  <c r="AI27" i="21"/>
  <c r="AI28" i="21"/>
  <c r="AI29" i="21"/>
  <c r="AI30" i="21"/>
  <c r="AI31" i="21"/>
  <c r="AI32" i="21"/>
  <c r="AI33" i="21"/>
  <c r="AI34" i="21"/>
  <c r="AI35" i="21"/>
  <c r="AI36" i="21"/>
  <c r="AI37" i="21"/>
  <c r="AI38" i="21"/>
  <c r="AI39" i="21"/>
  <c r="AI40" i="21"/>
  <c r="AI41" i="21"/>
  <c r="AI42" i="21"/>
  <c r="AI43" i="21"/>
  <c r="AI44" i="21"/>
  <c r="AI45" i="21"/>
  <c r="AI46" i="21"/>
  <c r="AI47" i="21"/>
  <c r="AI48" i="21"/>
  <c r="AI49" i="21"/>
  <c r="AI50" i="21"/>
  <c r="AI51" i="21"/>
  <c r="AI8" i="21" l="1"/>
  <c r="AI7" i="21"/>
  <c r="AI6" i="21"/>
  <c r="AI5" i="21"/>
  <c r="AH14" i="21"/>
  <c r="AH15" i="21"/>
  <c r="AH16" i="21"/>
  <c r="AH17" i="21"/>
  <c r="AH18" i="21"/>
  <c r="AH19" i="21"/>
  <c r="AH20" i="21"/>
  <c r="AH21" i="21"/>
  <c r="AH22" i="21"/>
  <c r="AH23" i="21"/>
  <c r="AH24" i="21"/>
  <c r="AH25" i="21"/>
  <c r="AH26" i="21"/>
  <c r="AH27" i="21"/>
  <c r="AH28" i="21"/>
  <c r="AH29" i="21"/>
  <c r="AH30" i="21"/>
  <c r="AH31" i="21"/>
  <c r="AH32" i="21"/>
  <c r="AH33" i="21"/>
  <c r="AH34" i="21"/>
  <c r="AH35" i="21"/>
  <c r="AH36" i="21"/>
  <c r="AH37" i="21"/>
  <c r="AH38" i="21"/>
  <c r="AH39" i="21"/>
  <c r="AH40" i="21"/>
  <c r="AH41" i="21"/>
  <c r="AH42" i="21"/>
  <c r="AH43" i="21"/>
  <c r="AH44" i="21"/>
  <c r="AH45" i="21"/>
  <c r="AH46" i="21"/>
  <c r="AH47" i="21"/>
  <c r="AH48" i="21"/>
  <c r="AH49" i="21"/>
  <c r="AH50" i="21"/>
  <c r="AH51" i="21"/>
  <c r="AH8" i="21" l="1"/>
  <c r="AH7" i="21"/>
  <c r="AH6" i="21"/>
  <c r="AH5" i="21"/>
  <c r="P22" i="21"/>
  <c r="P21" i="21"/>
  <c r="P20" i="21"/>
  <c r="P19" i="21"/>
  <c r="P18" i="21"/>
  <c r="P17" i="21"/>
  <c r="P16" i="21"/>
  <c r="P15" i="21"/>
  <c r="P14" i="21"/>
  <c r="AN51" i="21"/>
  <c r="AM51" i="21"/>
  <c r="AL51" i="21"/>
  <c r="AK51" i="21"/>
  <c r="AJ51" i="21"/>
  <c r="AG51" i="21"/>
  <c r="AF51" i="21"/>
  <c r="AE51" i="21"/>
  <c r="AD51" i="21"/>
  <c r="AN50" i="21"/>
  <c r="AM50" i="21"/>
  <c r="AL50" i="21"/>
  <c r="AK50" i="21"/>
  <c r="AJ50" i="21"/>
  <c r="AG50" i="21"/>
  <c r="AF50" i="21"/>
  <c r="AE50" i="21"/>
  <c r="AD50" i="21"/>
  <c r="AN49" i="21"/>
  <c r="AM49" i="21"/>
  <c r="AL49" i="21"/>
  <c r="AK49" i="21"/>
  <c r="AJ49" i="21"/>
  <c r="AG49" i="21"/>
  <c r="AF49" i="21"/>
  <c r="AE49" i="21"/>
  <c r="AD49" i="21"/>
  <c r="AN48" i="21"/>
  <c r="AM48" i="21"/>
  <c r="AL48" i="21"/>
  <c r="AK48" i="21"/>
  <c r="AJ48" i="21"/>
  <c r="AG48" i="21"/>
  <c r="AF48" i="21"/>
  <c r="AE48" i="21"/>
  <c r="AD48" i="21"/>
  <c r="AN47" i="21"/>
  <c r="AM47" i="21"/>
  <c r="AL47" i="21"/>
  <c r="AK47" i="21"/>
  <c r="AJ47" i="21"/>
  <c r="AG47" i="21"/>
  <c r="AF47" i="21"/>
  <c r="AE47" i="21"/>
  <c r="AD47" i="21"/>
  <c r="AN46" i="21"/>
  <c r="AM46" i="21"/>
  <c r="AL46" i="21"/>
  <c r="AK46" i="21"/>
  <c r="AJ46" i="21"/>
  <c r="AG46" i="21"/>
  <c r="AF46" i="21"/>
  <c r="AE46" i="21"/>
  <c r="AD46" i="21"/>
  <c r="AN45" i="21"/>
  <c r="AM45" i="21"/>
  <c r="AL45" i="21"/>
  <c r="AK45" i="21"/>
  <c r="AJ45" i="21"/>
  <c r="AG45" i="21"/>
  <c r="AF45" i="21"/>
  <c r="AE45" i="21"/>
  <c r="AD45" i="21"/>
  <c r="AN44" i="21"/>
  <c r="AM44" i="21"/>
  <c r="AL44" i="21"/>
  <c r="AK44" i="21"/>
  <c r="AJ44" i="21"/>
  <c r="AG44" i="21"/>
  <c r="AF44" i="21"/>
  <c r="AE44" i="21"/>
  <c r="AD44" i="21"/>
  <c r="AN43" i="21"/>
  <c r="AM43" i="21"/>
  <c r="AL43" i="21"/>
  <c r="AK43" i="21"/>
  <c r="AJ43" i="21"/>
  <c r="AG43" i="21"/>
  <c r="AF43" i="21"/>
  <c r="AE43" i="21"/>
  <c r="AD43" i="21"/>
  <c r="AN42" i="21"/>
  <c r="AM42" i="21"/>
  <c r="AL42" i="21"/>
  <c r="AK42" i="21"/>
  <c r="AJ42" i="21"/>
  <c r="AG42" i="21"/>
  <c r="AF42" i="21"/>
  <c r="AE42" i="21"/>
  <c r="AD42" i="21"/>
  <c r="AN41" i="21"/>
  <c r="AM41" i="21"/>
  <c r="AL41" i="21"/>
  <c r="AK41" i="21"/>
  <c r="AJ41" i="21"/>
  <c r="AG41" i="21"/>
  <c r="AF41" i="21"/>
  <c r="AE41" i="21"/>
  <c r="AD41" i="21"/>
  <c r="AN40" i="21"/>
  <c r="AM40" i="21"/>
  <c r="AL40" i="21"/>
  <c r="AK40" i="21"/>
  <c r="AJ40" i="21"/>
  <c r="AG40" i="21"/>
  <c r="AF40" i="21"/>
  <c r="AE40" i="21"/>
  <c r="AD40" i="21"/>
  <c r="AN39" i="21"/>
  <c r="AM39" i="21"/>
  <c r="AL39" i="21"/>
  <c r="AK39" i="21"/>
  <c r="AJ39" i="21"/>
  <c r="AG39" i="21"/>
  <c r="AF39" i="21"/>
  <c r="AE39" i="21"/>
  <c r="AD39" i="21"/>
  <c r="AN38" i="21"/>
  <c r="AM38" i="21"/>
  <c r="AL38" i="21"/>
  <c r="AK38" i="21"/>
  <c r="AJ38" i="21"/>
  <c r="AG38" i="21"/>
  <c r="AF38" i="21"/>
  <c r="AE38" i="21"/>
  <c r="AD38" i="21"/>
  <c r="AN37" i="21"/>
  <c r="AM37" i="21"/>
  <c r="AL37" i="21"/>
  <c r="AK37" i="21"/>
  <c r="AJ37" i="21"/>
  <c r="AG37" i="21"/>
  <c r="AF37" i="21"/>
  <c r="AE37" i="21"/>
  <c r="AD37" i="21"/>
  <c r="AN36" i="21"/>
  <c r="AM36" i="21"/>
  <c r="AL36" i="21"/>
  <c r="AK36" i="21"/>
  <c r="AJ36" i="21"/>
  <c r="AG36" i="21"/>
  <c r="AF36" i="21"/>
  <c r="AE36" i="21"/>
  <c r="AD36" i="21"/>
  <c r="AN35" i="21"/>
  <c r="AM35" i="21"/>
  <c r="AL35" i="21"/>
  <c r="AK35" i="21"/>
  <c r="AJ35" i="21"/>
  <c r="AG35" i="21"/>
  <c r="AF35" i="21"/>
  <c r="AE35" i="21"/>
  <c r="AD35" i="21"/>
  <c r="AN34" i="21"/>
  <c r="AM34" i="21"/>
  <c r="AL34" i="21"/>
  <c r="AK34" i="21"/>
  <c r="AJ34" i="21"/>
  <c r="AG34" i="21"/>
  <c r="AF34" i="21"/>
  <c r="AE34" i="21"/>
  <c r="AD34" i="21"/>
  <c r="AN33" i="21"/>
  <c r="AM33" i="21"/>
  <c r="AL33" i="21"/>
  <c r="AK33" i="21"/>
  <c r="AJ33" i="21"/>
  <c r="AG33" i="21"/>
  <c r="AF33" i="21"/>
  <c r="AE33" i="21"/>
  <c r="AD33" i="21"/>
  <c r="AN32" i="21"/>
  <c r="AM32" i="21"/>
  <c r="AL32" i="21"/>
  <c r="AK32" i="21"/>
  <c r="AJ32" i="21"/>
  <c r="AG32" i="21"/>
  <c r="AF32" i="21"/>
  <c r="AE32" i="21"/>
  <c r="AD32" i="21"/>
  <c r="AN31" i="21"/>
  <c r="AM31" i="21"/>
  <c r="AL31" i="21"/>
  <c r="AK31" i="21"/>
  <c r="AJ31" i="21"/>
  <c r="AG31" i="21"/>
  <c r="AF31" i="21"/>
  <c r="AE31" i="21"/>
  <c r="AD31" i="21"/>
  <c r="AN30" i="21"/>
  <c r="AM30" i="21"/>
  <c r="AL30" i="21"/>
  <c r="AK30" i="21"/>
  <c r="AJ30" i="21"/>
  <c r="AG30" i="21"/>
  <c r="AF30" i="21"/>
  <c r="AE30" i="21"/>
  <c r="AD30" i="21"/>
  <c r="AN29" i="21"/>
  <c r="AM29" i="21"/>
  <c r="AL29" i="21"/>
  <c r="AK29" i="21"/>
  <c r="AJ29" i="21"/>
  <c r="AG29" i="21"/>
  <c r="AF29" i="21"/>
  <c r="AE29" i="21"/>
  <c r="AD29" i="21"/>
  <c r="AN28" i="21"/>
  <c r="AM28" i="21"/>
  <c r="AL28" i="21"/>
  <c r="AK28" i="21"/>
  <c r="AJ28" i="21"/>
  <c r="AG28" i="21"/>
  <c r="AF28" i="21"/>
  <c r="AE28" i="21"/>
  <c r="AD28" i="21"/>
  <c r="AN27" i="21"/>
  <c r="AM27" i="21"/>
  <c r="AL27" i="21"/>
  <c r="AK27" i="21"/>
  <c r="AJ27" i="21"/>
  <c r="AG27" i="21"/>
  <c r="AF27" i="21"/>
  <c r="AE27" i="21"/>
  <c r="AD27" i="21"/>
  <c r="AN26" i="21"/>
  <c r="AM26" i="21"/>
  <c r="AL26" i="21"/>
  <c r="AK26" i="21"/>
  <c r="AJ26" i="21"/>
  <c r="AG26" i="21"/>
  <c r="AF26" i="21"/>
  <c r="AE26" i="21"/>
  <c r="AD26" i="21"/>
  <c r="AN25" i="21"/>
  <c r="AM25" i="21"/>
  <c r="AL25" i="21"/>
  <c r="AK25" i="21"/>
  <c r="AJ25" i="21"/>
  <c r="AG25" i="21"/>
  <c r="AF25" i="21"/>
  <c r="AE25" i="21"/>
  <c r="AD25" i="21"/>
  <c r="AN24" i="21"/>
  <c r="AM24" i="21"/>
  <c r="AL24" i="21"/>
  <c r="AK24" i="21"/>
  <c r="AJ24" i="21"/>
  <c r="AG24" i="21"/>
  <c r="AF24" i="21"/>
  <c r="AE24" i="21"/>
  <c r="AD24" i="21"/>
  <c r="AN23" i="21"/>
  <c r="AM23" i="21"/>
  <c r="AL23" i="21"/>
  <c r="AK23" i="21"/>
  <c r="AJ23" i="21"/>
  <c r="AG23" i="21"/>
  <c r="AF23" i="21"/>
  <c r="AE23" i="21"/>
  <c r="AD23" i="21"/>
  <c r="AN22" i="21"/>
  <c r="AM22" i="21"/>
  <c r="AL22" i="21"/>
  <c r="AK22" i="21"/>
  <c r="AJ22" i="21"/>
  <c r="AG22" i="21"/>
  <c r="AF22" i="21"/>
  <c r="AE22" i="21"/>
  <c r="AD22" i="21"/>
  <c r="AN21" i="21"/>
  <c r="AM21" i="21"/>
  <c r="AL21" i="21"/>
  <c r="AK21" i="21"/>
  <c r="AJ21" i="21"/>
  <c r="AG21" i="21"/>
  <c r="AF21" i="21"/>
  <c r="AE21" i="21"/>
  <c r="AD21" i="21"/>
  <c r="AN20" i="21"/>
  <c r="AM20" i="21"/>
  <c r="AL20" i="21"/>
  <c r="AK20" i="21"/>
  <c r="AJ20" i="21"/>
  <c r="AG20" i="21"/>
  <c r="AF20" i="21"/>
  <c r="AE20" i="21"/>
  <c r="AD20" i="21"/>
  <c r="AN19" i="21"/>
  <c r="AM19" i="21"/>
  <c r="AL19" i="21"/>
  <c r="AK19" i="21"/>
  <c r="AJ19" i="21"/>
  <c r="AG19" i="21"/>
  <c r="AF19" i="21"/>
  <c r="AE19" i="21"/>
  <c r="AD19" i="21"/>
  <c r="AN18" i="21"/>
  <c r="AM18" i="21"/>
  <c r="AL18" i="21"/>
  <c r="AK18" i="21"/>
  <c r="AJ18" i="21"/>
  <c r="AG18" i="21"/>
  <c r="AF18" i="21"/>
  <c r="AE18" i="21"/>
  <c r="AD18" i="21"/>
  <c r="AN17" i="21"/>
  <c r="AM17" i="21"/>
  <c r="AL17" i="21"/>
  <c r="AK17" i="21"/>
  <c r="AJ17" i="21"/>
  <c r="AG17" i="21"/>
  <c r="AF17" i="21"/>
  <c r="AE17" i="21"/>
  <c r="AD17" i="21"/>
  <c r="AN16" i="21"/>
  <c r="AM16" i="21"/>
  <c r="AL16" i="21"/>
  <c r="AK16" i="21"/>
  <c r="AJ16" i="21"/>
  <c r="AG16" i="21"/>
  <c r="AF16" i="21"/>
  <c r="AE16" i="21"/>
  <c r="AD16" i="21"/>
  <c r="AN15" i="21"/>
  <c r="AM15" i="21"/>
  <c r="AL15" i="21"/>
  <c r="AK15" i="21"/>
  <c r="AJ15" i="21"/>
  <c r="AG15" i="21"/>
  <c r="AF15" i="21"/>
  <c r="AE15" i="21"/>
  <c r="AD15" i="21"/>
  <c r="AN14" i="21"/>
  <c r="AM14" i="21"/>
  <c r="AL14" i="21"/>
  <c r="AK14" i="21"/>
  <c r="AJ14" i="21"/>
  <c r="AG14" i="21"/>
  <c r="AF14" i="21"/>
  <c r="AE14" i="21"/>
  <c r="AD14" i="21"/>
  <c r="P23" i="21"/>
  <c r="P24" i="21"/>
  <c r="P25" i="21"/>
  <c r="P26" i="21"/>
  <c r="P27" i="21"/>
  <c r="P28" i="21"/>
  <c r="P29" i="21"/>
  <c r="P30" i="21"/>
  <c r="P31" i="21"/>
  <c r="P32" i="21"/>
  <c r="P33" i="21"/>
  <c r="P34" i="21"/>
  <c r="P35" i="21"/>
  <c r="P36" i="21"/>
  <c r="P37" i="21"/>
  <c r="P38" i="21"/>
  <c r="P39" i="21"/>
  <c r="P40" i="21"/>
  <c r="P41" i="21"/>
  <c r="P42" i="21"/>
  <c r="P43" i="21"/>
  <c r="P44" i="21"/>
  <c r="P45" i="21"/>
  <c r="P46" i="21"/>
  <c r="P47" i="21"/>
  <c r="P48" i="21"/>
  <c r="P49" i="21"/>
  <c r="P50" i="21"/>
  <c r="P51" i="21"/>
  <c r="M14" i="21"/>
  <c r="M15" i="21"/>
  <c r="M16" i="21"/>
  <c r="M17" i="21"/>
  <c r="M18" i="21"/>
  <c r="M19" i="21"/>
  <c r="M20" i="21"/>
  <c r="M21" i="21"/>
  <c r="M22" i="21"/>
  <c r="M23" i="21"/>
  <c r="M24" i="21"/>
  <c r="M25" i="21"/>
  <c r="M26" i="21"/>
  <c r="M27" i="21"/>
  <c r="M28" i="21"/>
  <c r="M29" i="21"/>
  <c r="M30" i="21"/>
  <c r="M31" i="21"/>
  <c r="M32" i="21"/>
  <c r="M33" i="21"/>
  <c r="M34" i="21"/>
  <c r="M35" i="21"/>
  <c r="M36" i="21"/>
  <c r="M37" i="21"/>
  <c r="M38" i="21"/>
  <c r="M39" i="21"/>
  <c r="M40" i="21"/>
  <c r="M41" i="21"/>
  <c r="M42" i="21"/>
  <c r="M43" i="21"/>
  <c r="M44" i="21"/>
  <c r="M45" i="21"/>
  <c r="M46" i="21"/>
  <c r="M47" i="21"/>
  <c r="M48" i="21"/>
  <c r="M49" i="21"/>
  <c r="M50" i="21"/>
  <c r="M51" i="21"/>
  <c r="K51" i="21"/>
  <c r="K50" i="21"/>
  <c r="K49" i="21"/>
  <c r="K48" i="21"/>
  <c r="K47" i="21"/>
  <c r="K46" i="21"/>
  <c r="K45" i="21"/>
  <c r="K44" i="21"/>
  <c r="K43" i="21"/>
  <c r="K42" i="21"/>
  <c r="K41" i="21"/>
  <c r="K40" i="21"/>
  <c r="K39" i="21"/>
  <c r="K38" i="21"/>
  <c r="K37" i="21"/>
  <c r="K36" i="21"/>
  <c r="K35" i="21"/>
  <c r="K34" i="21"/>
  <c r="K33" i="21"/>
  <c r="K32" i="21"/>
  <c r="K31" i="21"/>
  <c r="K30" i="21"/>
  <c r="K29" i="21"/>
  <c r="K28" i="21"/>
  <c r="K27" i="21"/>
  <c r="K26" i="21"/>
  <c r="K25" i="21"/>
  <c r="K24" i="21"/>
  <c r="K23" i="21"/>
  <c r="K22" i="21"/>
  <c r="K21" i="21"/>
  <c r="K20" i="21"/>
  <c r="K19" i="21"/>
  <c r="K18" i="21"/>
  <c r="K17" i="21"/>
  <c r="K16" i="21"/>
  <c r="K15" i="21"/>
  <c r="K14" i="21"/>
  <c r="AD7" i="21" l="1"/>
  <c r="AD8" i="21"/>
  <c r="M7" i="21"/>
  <c r="M8" i="21"/>
  <c r="AK7" i="21"/>
  <c r="AK8" i="21"/>
  <c r="K7" i="21"/>
  <c r="K8" i="21"/>
  <c r="P8" i="21"/>
  <c r="P7" i="21"/>
  <c r="P6" i="21"/>
  <c r="P5" i="21"/>
  <c r="K6" i="21"/>
  <c r="K5" i="21"/>
  <c r="M6" i="21"/>
  <c r="M5" i="21"/>
  <c r="AG8" i="21" l="1"/>
  <c r="AG7" i="21"/>
  <c r="AF8" i="21"/>
  <c r="AF7" i="21"/>
  <c r="AM8" i="21"/>
  <c r="AM7" i="21"/>
  <c r="AG6" i="21"/>
  <c r="AG5" i="21"/>
  <c r="AF6" i="21"/>
  <c r="AF5" i="21"/>
  <c r="AK6" i="21"/>
  <c r="AK5" i="21"/>
  <c r="AM6" i="21"/>
  <c r="AM5" i="21"/>
  <c r="AJ7" i="21" l="1"/>
  <c r="AJ8" i="21"/>
  <c r="AL8" i="21"/>
  <c r="AL7" i="21"/>
  <c r="AE8" i="21"/>
  <c r="AE7" i="21"/>
  <c r="AN8" i="21"/>
  <c r="AN7" i="21"/>
  <c r="AN6" i="21"/>
  <c r="AN5" i="21"/>
  <c r="AD6" i="21"/>
  <c r="AD5" i="21"/>
  <c r="AL6" i="21"/>
  <c r="AL5" i="21"/>
  <c r="AE6" i="21"/>
  <c r="AE5" i="21"/>
  <c r="AJ6" i="21"/>
  <c r="AJ5" i="21"/>
  <c r="O8" i="21" l="1"/>
  <c r="O7" i="21"/>
  <c r="O6" i="21"/>
  <c r="O5" i="2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author>
    <author>Test</author>
  </authors>
  <commentList>
    <comment ref="C9" authorId="0" shapeId="0" xr:uid="{0A007042-75D6-4E66-8528-AB9A4B82F476}">
      <text>
        <r>
          <rPr>
            <sz val="9"/>
            <color indexed="81"/>
            <rFont val="Tahoma"/>
            <family val="2"/>
          </rPr>
          <t>HEC-GeoHMS Subbasin layer:  Name.
HEC-HMS: name</t>
        </r>
      </text>
    </comment>
    <comment ref="D9" authorId="0" shapeId="0" xr:uid="{9083F765-D4BA-44C6-85EA-EEEECF3E72C6}">
      <text>
        <r>
          <rPr>
            <sz val="9"/>
            <color indexed="81"/>
            <rFont val="Tahoma"/>
            <family val="2"/>
          </rPr>
          <t>From HEC-GeoHMS Subbasin layer, DrainID.
Common code value for Basins, Rivers, LongestFlowPath…</t>
        </r>
      </text>
    </comment>
    <comment ref="J9" authorId="0" shapeId="0" xr:uid="{968771CC-EE9E-4888-87E5-A5CA55BF7426}">
      <text>
        <r>
          <rPr>
            <sz val="9"/>
            <color indexed="81"/>
            <rFont val="Tahoma"/>
            <family val="2"/>
          </rPr>
          <t>Basin slope (%)
From HEC-GeoHMS Subbasin layer, BasinSlope</t>
        </r>
      </text>
    </comment>
    <comment ref="P9" authorId="0" shapeId="0" xr:uid="{03FABB62-E617-4FDE-BB10-EC897051A240}">
      <text>
        <r>
          <rPr>
            <sz val="9"/>
            <color indexed="81"/>
            <rFont val="Tahoma"/>
            <family val="2"/>
          </rPr>
          <t>S = (1000 / CN) - 10</t>
        </r>
      </text>
    </comment>
    <comment ref="U9" authorId="0" shapeId="0" xr:uid="{EEEA36ED-4A9C-453C-9C38-A5E1F0C3BCE2}">
      <text>
        <r>
          <rPr>
            <sz val="9"/>
            <color indexed="81"/>
            <rFont val="Tahoma"/>
            <family val="2"/>
          </rPr>
          <t xml:space="preserve">HEC-GeoHMS:
0 - Transit line
1 - Header basin river
HEC-HMS: no required
</t>
        </r>
      </text>
    </comment>
    <comment ref="V9" authorId="0" shapeId="0" xr:uid="{B14DE93F-59FB-4605-941A-EB413BDCD589}">
      <text>
        <r>
          <rPr>
            <sz val="9"/>
            <color indexed="81"/>
            <rFont val="Tahoma"/>
            <family val="2"/>
          </rPr>
          <t>Centroid Elevation m.s.n.m</t>
        </r>
      </text>
    </comment>
    <comment ref="W9" authorId="1" shapeId="0" xr:uid="{345229FA-2ED5-46FD-9140-DF9AA4058431}">
      <text>
        <r>
          <rPr>
            <sz val="9"/>
            <color indexed="81"/>
            <rFont val="Tahoma"/>
            <family val="2"/>
          </rPr>
          <t>HEC-HMS: se obtiene de multiplicar Akm2 * 1000000 * drain_den / 1000</t>
        </r>
      </text>
    </comment>
    <comment ref="Z9" authorId="1" shapeId="0" xr:uid="{6077E5B7-8ADA-4FD0-BF5F-FBA627C037ED}">
      <text>
        <r>
          <rPr>
            <sz val="9"/>
            <color indexed="81"/>
            <rFont val="Tahoma"/>
            <family val="2"/>
          </rPr>
          <t>HEC-HMS: 10_85_len</t>
        </r>
      </text>
    </comment>
    <comment ref="AA9" authorId="0" shapeId="0" xr:uid="{EA56511A-7360-4E2D-BC10-FA04E37033F6}">
      <text>
        <r>
          <rPr>
            <sz val="9"/>
            <color indexed="81"/>
            <rFont val="Tahoma"/>
            <family val="2"/>
          </rPr>
          <t>Hydraulic length of the watershed (meter).
HEC-GeoHMS: LongestFlowPath layer, Shape_Length or updated value over LongestFL field.
HEC-HMS: long_len</t>
        </r>
      </text>
    </comment>
    <comment ref="AB9" authorId="0" shapeId="0" xr:uid="{E5CD4E39-B065-485F-8211-91D8A9E2D220}">
      <text>
        <r>
          <rPr>
            <sz val="9"/>
            <color indexed="81"/>
            <rFont val="Tahoma"/>
            <family val="2"/>
          </rPr>
          <t>HEC-GeoHMS: from Zonal Statistic as table using ALOS PALSAR 12.5m DEM Slope and the river network.
HEC-HMS: 10_85_slo</t>
        </r>
      </text>
    </comment>
  </commentList>
</comments>
</file>

<file path=xl/sharedStrings.xml><?xml version="1.0" encoding="utf-8"?>
<sst xmlns="http://schemas.openxmlformats.org/spreadsheetml/2006/main" count="9339" uniqueCount="531">
  <si>
    <t>Nombre de cuenca</t>
  </si>
  <si>
    <t>CN I
Seco</t>
  </si>
  <si>
    <t>CN II
Normal</t>
  </si>
  <si>
    <t>CN III
Húmedo</t>
  </si>
  <si>
    <t>Nombre del cauce Principal</t>
  </si>
  <si>
    <t>Factor de Forma</t>
  </si>
  <si>
    <t>Número de Corrientes</t>
  </si>
  <si>
    <t>W26710</t>
  </si>
  <si>
    <t>W26720</t>
  </si>
  <si>
    <t>W26740</t>
  </si>
  <si>
    <t>W26750</t>
  </si>
  <si>
    <t>W26760</t>
  </si>
  <si>
    <t>W26770</t>
  </si>
  <si>
    <t>W26780</t>
  </si>
  <si>
    <t>W26790</t>
  </si>
  <si>
    <t>W26810</t>
  </si>
  <si>
    <t>W26820</t>
  </si>
  <si>
    <t>W26840</t>
  </si>
  <si>
    <t>W26850</t>
  </si>
  <si>
    <t>W26880</t>
  </si>
  <si>
    <t>W26900</t>
  </si>
  <si>
    <t>W26910</t>
  </si>
  <si>
    <t>W26920</t>
  </si>
  <si>
    <t>W26930</t>
  </si>
  <si>
    <t>W26940</t>
  </si>
  <si>
    <t>W26960</t>
  </si>
  <si>
    <t>W26970</t>
  </si>
  <si>
    <t>W26990</t>
  </si>
  <si>
    <t>W27000</t>
  </si>
  <si>
    <t>W27010</t>
  </si>
  <si>
    <t>W27040</t>
  </si>
  <si>
    <t>W27060</t>
  </si>
  <si>
    <t>W27080</t>
  </si>
  <si>
    <t>W27100</t>
  </si>
  <si>
    <t>W27120</t>
  </si>
  <si>
    <t>W27130</t>
  </si>
  <si>
    <t>W27140</t>
  </si>
  <si>
    <t>W27150</t>
  </si>
  <si>
    <t>W27160</t>
  </si>
  <si>
    <t>W27170</t>
  </si>
  <si>
    <t>W27200</t>
  </si>
  <si>
    <t>W27250</t>
  </si>
  <si>
    <t>W27290</t>
  </si>
  <si>
    <t>W27300</t>
  </si>
  <si>
    <t>W27340</t>
  </si>
  <si>
    <t>W27350</t>
  </si>
  <si>
    <t>W27390</t>
  </si>
  <si>
    <t>W27400</t>
  </si>
  <si>
    <t>W27440</t>
  </si>
  <si>
    <t>W27450</t>
  </si>
  <si>
    <t>W27490</t>
  </si>
  <si>
    <t>W27500</t>
  </si>
  <si>
    <t>Ruta más larga de la escorrentía, m</t>
  </si>
  <si>
    <t>Longitud cauce principal, km</t>
  </si>
  <si>
    <t>Longitud total cauces, km</t>
  </si>
  <si>
    <t>Pendiente media cauces, m/m</t>
  </si>
  <si>
    <t>Pendiente media cauce principal, m/m</t>
  </si>
  <si>
    <t>Perímetro, km</t>
  </si>
  <si>
    <t>Cota Mínima, m.s.n.m</t>
  </si>
  <si>
    <t>Cota Máxima, m.s.n.m</t>
  </si>
  <si>
    <t>Cota Media, m.s.n.m</t>
  </si>
  <si>
    <t>Pendiente Media, %</t>
  </si>
  <si>
    <t>Tiempo de retardo Lagtime, hr
CNLag=Método del SCS</t>
  </si>
  <si>
    <t>DrainID
HEC-HMS</t>
  </si>
  <si>
    <t>RiverName
HEC-HMS</t>
  </si>
  <si>
    <t>ISHEAD
HEC-HMS</t>
  </si>
  <si>
    <t>Nombre de subcuenca
HEC-HMS</t>
  </si>
  <si>
    <t>Z, Cota  centroide cauce principal, m.s.n.m</t>
  </si>
  <si>
    <t>Densidad de Drenaje, km/km²</t>
  </si>
  <si>
    <t>Name</t>
  </si>
  <si>
    <t>OBJECTID *</t>
  </si>
  <si>
    <t>Shape *</t>
  </si>
  <si>
    <t>gridcode</t>
  </si>
  <si>
    <t>Shape_Length</t>
  </si>
  <si>
    <t>Shape_Area</t>
  </si>
  <si>
    <t>HydroID</t>
  </si>
  <si>
    <t>DrainID</t>
  </si>
  <si>
    <t>Description</t>
  </si>
  <si>
    <t>PrecipGage</t>
  </si>
  <si>
    <t>TotStormP</t>
  </si>
  <si>
    <t>BasinSlope</t>
  </si>
  <si>
    <t>LossMet</t>
  </si>
  <si>
    <t>TransMet</t>
  </si>
  <si>
    <t>BaseMet</t>
  </si>
  <si>
    <t>PctImp</t>
  </si>
  <si>
    <t>InitAbst</t>
  </si>
  <si>
    <t>BasinCN</t>
  </si>
  <si>
    <t>Rain2Yr</t>
  </si>
  <si>
    <t>LagMethod</t>
  </si>
  <si>
    <t>Tc</t>
  </si>
  <si>
    <t>BasinLag</t>
  </si>
  <si>
    <t>MaxDeficit</t>
  </si>
  <si>
    <t>IDeficit</t>
  </si>
  <si>
    <t>InitLoss</t>
  </si>
  <si>
    <t>LossRate</t>
  </si>
  <si>
    <t>HyConduct</t>
  </si>
  <si>
    <t>WetDeficit</t>
  </si>
  <si>
    <t>WFSuction</t>
  </si>
  <si>
    <t>InitContent</t>
  </si>
  <si>
    <t>SatConduct</t>
  </si>
  <si>
    <t>ResiContent</t>
  </si>
  <si>
    <t>SatContent</t>
  </si>
  <si>
    <t>BubbPress</t>
  </si>
  <si>
    <t>PoreDist</t>
  </si>
  <si>
    <t>MaxCanopS</t>
  </si>
  <si>
    <t>MaxSurfS</t>
  </si>
  <si>
    <t>MaxSurfI</t>
  </si>
  <si>
    <t>MaxSoilPer</t>
  </si>
  <si>
    <t>SoilTensS</t>
  </si>
  <si>
    <t>MaxSoilS</t>
  </si>
  <si>
    <t>GW1MaxS</t>
  </si>
  <si>
    <t>GW2MaxS</t>
  </si>
  <si>
    <t>GW1MaxPer</t>
  </si>
  <si>
    <t>GW2MaxPer</t>
  </si>
  <si>
    <t>PctUrban</t>
  </si>
  <si>
    <t>PctSand</t>
  </si>
  <si>
    <t>PctChannel</t>
  </si>
  <si>
    <t>W25670</t>
  </si>
  <si>
    <t>Polígono</t>
  </si>
  <si>
    <t>&lt;Nulo&gt;</t>
  </si>
  <si>
    <t>SCS</t>
  </si>
  <si>
    <t>W25680</t>
  </si>
  <si>
    <t>W25690</t>
  </si>
  <si>
    <t>W25700</t>
  </si>
  <si>
    <t>W25710</t>
  </si>
  <si>
    <t>W25720</t>
  </si>
  <si>
    <t>W25730</t>
  </si>
  <si>
    <t>W25740</t>
  </si>
  <si>
    <t>W25750</t>
  </si>
  <si>
    <t>W25760</t>
  </si>
  <si>
    <t>W25770</t>
  </si>
  <si>
    <t>W25780</t>
  </si>
  <si>
    <t>W25790</t>
  </si>
  <si>
    <t>W25800</t>
  </si>
  <si>
    <t>W25810</t>
  </si>
  <si>
    <t>W25820</t>
  </si>
  <si>
    <t>W25830</t>
  </si>
  <si>
    <t>W25840</t>
  </si>
  <si>
    <t>W25850</t>
  </si>
  <si>
    <t>W25860</t>
  </si>
  <si>
    <t>W25870</t>
  </si>
  <si>
    <t>W25880</t>
  </si>
  <si>
    <t>W25890</t>
  </si>
  <si>
    <t>W25900</t>
  </si>
  <si>
    <t>W25910</t>
  </si>
  <si>
    <t>W25920</t>
  </si>
  <si>
    <t>W25930</t>
  </si>
  <si>
    <t>W25940</t>
  </si>
  <si>
    <t>W25950</t>
  </si>
  <si>
    <t>W25960</t>
  </si>
  <si>
    <t>W25970</t>
  </si>
  <si>
    <t>W25980</t>
  </si>
  <si>
    <t>W25990</t>
  </si>
  <si>
    <t>W26000</t>
  </si>
  <si>
    <t>W26010</t>
  </si>
  <si>
    <t>W26020</t>
  </si>
  <si>
    <t>W26030</t>
  </si>
  <si>
    <t>W26040</t>
  </si>
  <si>
    <t>W26050</t>
  </si>
  <si>
    <t>W26060</t>
  </si>
  <si>
    <t>W26070</t>
  </si>
  <si>
    <t>W26080</t>
  </si>
  <si>
    <t>W26090</t>
  </si>
  <si>
    <t>W26100</t>
  </si>
  <si>
    <t>W26110</t>
  </si>
  <si>
    <t>W26120</t>
  </si>
  <si>
    <t>W26130</t>
  </si>
  <si>
    <t>W26140</t>
  </si>
  <si>
    <t>W26150</t>
  </si>
  <si>
    <t>W26160</t>
  </si>
  <si>
    <t>W26170</t>
  </si>
  <si>
    <t>W26180</t>
  </si>
  <si>
    <t>W26190</t>
  </si>
  <si>
    <t>W26200</t>
  </si>
  <si>
    <t>W26210</t>
  </si>
  <si>
    <t>W26220</t>
  </si>
  <si>
    <t>W26230</t>
  </si>
  <si>
    <t>W26240</t>
  </si>
  <si>
    <t>W26250</t>
  </si>
  <si>
    <t>W26260</t>
  </si>
  <si>
    <t>W26270</t>
  </si>
  <si>
    <t>W26280</t>
  </si>
  <si>
    <t>W26290</t>
  </si>
  <si>
    <t>W26300</t>
  </si>
  <si>
    <t>W26310</t>
  </si>
  <si>
    <t>W26320</t>
  </si>
  <si>
    <t>W26330</t>
  </si>
  <si>
    <t>W26340</t>
  </si>
  <si>
    <t>W26350</t>
  </si>
  <si>
    <t>W26360</t>
  </si>
  <si>
    <t>W26370</t>
  </si>
  <si>
    <t>W26380</t>
  </si>
  <si>
    <t>W26390</t>
  </si>
  <si>
    <t>W26410</t>
  </si>
  <si>
    <t>W26420</t>
  </si>
  <si>
    <t>W26440</t>
  </si>
  <si>
    <t>W26450</t>
  </si>
  <si>
    <t>W26460</t>
  </si>
  <si>
    <t>W26470</t>
  </si>
  <si>
    <t>W26480</t>
  </si>
  <si>
    <t>W26490</t>
  </si>
  <si>
    <t>W26500</t>
  </si>
  <si>
    <t>W26510</t>
  </si>
  <si>
    <t>W26520</t>
  </si>
  <si>
    <t>W26530</t>
  </si>
  <si>
    <t>W26540</t>
  </si>
  <si>
    <t>W26550</t>
  </si>
  <si>
    <t>W26560</t>
  </si>
  <si>
    <t>W26570</t>
  </si>
  <si>
    <t>W26580</t>
  </si>
  <si>
    <t>W26590</t>
  </si>
  <si>
    <t>W26600</t>
  </si>
  <si>
    <t>W26620</t>
  </si>
  <si>
    <t>W26630</t>
  </si>
  <si>
    <t>W26640</t>
  </si>
  <si>
    <t>W26650</t>
  </si>
  <si>
    <t>W26660</t>
  </si>
  <si>
    <t>W26670</t>
  </si>
  <si>
    <t>W26680</t>
  </si>
  <si>
    <t>W26690</t>
  </si>
  <si>
    <t>W26700</t>
  </si>
  <si>
    <t>W26830</t>
  </si>
  <si>
    <t>W26870</t>
  </si>
  <si>
    <t>W26890</t>
  </si>
  <si>
    <t>W26950</t>
  </si>
  <si>
    <t>W26980</t>
  </si>
  <si>
    <t>W27050</t>
  </si>
  <si>
    <t>W27070</t>
  </si>
  <si>
    <t>W27090</t>
  </si>
  <si>
    <t>W27110</t>
  </si>
  <si>
    <t>W27190</t>
  </si>
  <si>
    <t>W27240</t>
  </si>
  <si>
    <t>W27600</t>
  </si>
  <si>
    <t>W27610</t>
  </si>
  <si>
    <t>Shape_LengthKm</t>
  </si>
  <si>
    <t>Máximo</t>
  </si>
  <si>
    <t>Medio</t>
  </si>
  <si>
    <t>Mínimo</t>
  </si>
  <si>
    <t>Desviación</t>
  </si>
  <si>
    <t>Estadísticos</t>
  </si>
  <si>
    <t>arcid</t>
  </si>
  <si>
    <t>grid_code</t>
  </si>
  <si>
    <t>from_node</t>
  </si>
  <si>
    <t>to_node</t>
  </si>
  <si>
    <t>NextDownID</t>
  </si>
  <si>
    <t>Slp</t>
  </si>
  <si>
    <t>SlpZonal</t>
  </si>
  <si>
    <t>ElevUP</t>
  </si>
  <si>
    <t>ElevDS</t>
  </si>
  <si>
    <t>RivLen</t>
  </si>
  <si>
    <t>ChnShapeMusk</t>
  </si>
  <si>
    <t>ChnShapeKine</t>
  </si>
  <si>
    <t>ChnWidth</t>
  </si>
  <si>
    <t>ChnSdSlp</t>
  </si>
  <si>
    <t>ChnManN</t>
  </si>
  <si>
    <t>RouteMet</t>
  </si>
  <si>
    <t>R24160</t>
  </si>
  <si>
    <t>Polilínea</t>
  </si>
  <si>
    <t>Muskingum</t>
  </si>
  <si>
    <t>R24170</t>
  </si>
  <si>
    <t>R24180</t>
  </si>
  <si>
    <t>R24190</t>
  </si>
  <si>
    <t>R24220</t>
  </si>
  <si>
    <t>R24200</t>
  </si>
  <si>
    <t>R24210</t>
  </si>
  <si>
    <t>R24250</t>
  </si>
  <si>
    <t>R24230</t>
  </si>
  <si>
    <t>R24260</t>
  </si>
  <si>
    <t>R24240</t>
  </si>
  <si>
    <t>R24320</t>
  </si>
  <si>
    <t>R24280</t>
  </si>
  <si>
    <t>R24270</t>
  </si>
  <si>
    <t>R24300</t>
  </si>
  <si>
    <t>R24290</t>
  </si>
  <si>
    <t>R24310</t>
  </si>
  <si>
    <t>R24350</t>
  </si>
  <si>
    <t>R24340</t>
  </si>
  <si>
    <t>R24330</t>
  </si>
  <si>
    <t>R24360</t>
  </si>
  <si>
    <t>R24370</t>
  </si>
  <si>
    <t>R24410</t>
  </si>
  <si>
    <t>R24400</t>
  </si>
  <si>
    <t>R24380</t>
  </si>
  <si>
    <t>R24390</t>
  </si>
  <si>
    <t>R24450</t>
  </si>
  <si>
    <t>R24520</t>
  </si>
  <si>
    <t>R24460</t>
  </si>
  <si>
    <t>R24420</t>
  </si>
  <si>
    <t>R24430</t>
  </si>
  <si>
    <t>R24490</t>
  </si>
  <si>
    <t>R24440</t>
  </si>
  <si>
    <t>R24470</t>
  </si>
  <si>
    <t>R24480</t>
  </si>
  <si>
    <t>R24510</t>
  </si>
  <si>
    <t>R24710</t>
  </si>
  <si>
    <t>R24500</t>
  </si>
  <si>
    <t>R24530</t>
  </si>
  <si>
    <t>R24540</t>
  </si>
  <si>
    <t>R24550</t>
  </si>
  <si>
    <t>R24590</t>
  </si>
  <si>
    <t>R24560</t>
  </si>
  <si>
    <t>R24580</t>
  </si>
  <si>
    <t>R24630</t>
  </si>
  <si>
    <t>R24690</t>
  </si>
  <si>
    <t>R24570</t>
  </si>
  <si>
    <t>R24660</t>
  </si>
  <si>
    <t>R24620</t>
  </si>
  <si>
    <t>R24730</t>
  </si>
  <si>
    <t>R24610</t>
  </si>
  <si>
    <t>R24700</t>
  </si>
  <si>
    <t>R24600</t>
  </si>
  <si>
    <t>R24680</t>
  </si>
  <si>
    <t>R24670</t>
  </si>
  <si>
    <t>R24640</t>
  </si>
  <si>
    <t>R24650</t>
  </si>
  <si>
    <t>R24830</t>
  </si>
  <si>
    <t>R24760</t>
  </si>
  <si>
    <t>R24720</t>
  </si>
  <si>
    <t>R24810</t>
  </si>
  <si>
    <t>R24750</t>
  </si>
  <si>
    <t>R24850</t>
  </si>
  <si>
    <t>R24770</t>
  </si>
  <si>
    <t>R24740</t>
  </si>
  <si>
    <t>R24880</t>
  </si>
  <si>
    <t>R24910</t>
  </si>
  <si>
    <t>R24840</t>
  </si>
  <si>
    <t>R24780</t>
  </si>
  <si>
    <t>R25060</t>
  </si>
  <si>
    <t>R24900</t>
  </si>
  <si>
    <t>R24960</t>
  </si>
  <si>
    <t>R25050</t>
  </si>
  <si>
    <t>R24940</t>
  </si>
  <si>
    <t>R24890</t>
  </si>
  <si>
    <t>R24860</t>
  </si>
  <si>
    <t>R24920</t>
  </si>
  <si>
    <t>R24800</t>
  </si>
  <si>
    <t>R24820</t>
  </si>
  <si>
    <t>R24870</t>
  </si>
  <si>
    <t>R25020</t>
  </si>
  <si>
    <t>R24980</t>
  </si>
  <si>
    <t>R24950</t>
  </si>
  <si>
    <t>R25000</t>
  </si>
  <si>
    <t>R24970</t>
  </si>
  <si>
    <t>R25270</t>
  </si>
  <si>
    <t>R25170</t>
  </si>
  <si>
    <t>R25010</t>
  </si>
  <si>
    <t>R24990</t>
  </si>
  <si>
    <t>R25040</t>
  </si>
  <si>
    <t>R25030</t>
  </si>
  <si>
    <t>R25080</t>
  </si>
  <si>
    <t>R25100</t>
  </si>
  <si>
    <t>R25150</t>
  </si>
  <si>
    <t>R25160</t>
  </si>
  <si>
    <t>R25070</t>
  </si>
  <si>
    <t>R25130</t>
  </si>
  <si>
    <t>R25140</t>
  </si>
  <si>
    <t>R25110</t>
  </si>
  <si>
    <t>R25120</t>
  </si>
  <si>
    <t>R25220</t>
  </si>
  <si>
    <t>R25190</t>
  </si>
  <si>
    <t>R25200</t>
  </si>
  <si>
    <t>R25240</t>
  </si>
  <si>
    <t>R25230</t>
  </si>
  <si>
    <t>R25440</t>
  </si>
  <si>
    <t>R25210</t>
  </si>
  <si>
    <t>R25260</t>
  </si>
  <si>
    <t>R25530</t>
  </si>
  <si>
    <t>R25420</t>
  </si>
  <si>
    <t>R25290</t>
  </si>
  <si>
    <t>R25280</t>
  </si>
  <si>
    <t>R25380</t>
  </si>
  <si>
    <t>R25300</t>
  </si>
  <si>
    <t>R25370</t>
  </si>
  <si>
    <t>R25340</t>
  </si>
  <si>
    <t>R25310</t>
  </si>
  <si>
    <t>R25330</t>
  </si>
  <si>
    <t>R25360</t>
  </si>
  <si>
    <t>R25320</t>
  </si>
  <si>
    <t>R25350</t>
  </si>
  <si>
    <t>R25450</t>
  </si>
  <si>
    <t>R25390</t>
  </si>
  <si>
    <t>R25460</t>
  </si>
  <si>
    <t>R25430</t>
  </si>
  <si>
    <t>R25410</t>
  </si>
  <si>
    <t>R25500</t>
  </si>
  <si>
    <t>R25510</t>
  </si>
  <si>
    <t>R25490</t>
  </si>
  <si>
    <t>R25480</t>
  </si>
  <si>
    <t>R25520</t>
  </si>
  <si>
    <t>R25570</t>
  </si>
  <si>
    <t>R25540</t>
  </si>
  <si>
    <t>R25590</t>
  </si>
  <si>
    <t>R25550</t>
  </si>
  <si>
    <t>R25560</t>
  </si>
  <si>
    <t>R25580</t>
  </si>
  <si>
    <t>R25640</t>
  </si>
  <si>
    <t>R25610</t>
  </si>
  <si>
    <t>R25630</t>
  </si>
  <si>
    <t>R25650</t>
  </si>
  <si>
    <t>R25620</t>
  </si>
  <si>
    <t>R25660</t>
  </si>
  <si>
    <t>R24930</t>
  </si>
  <si>
    <t>R27210</t>
  </si>
  <si>
    <t>R24790</t>
  </si>
  <si>
    <t>R27270</t>
  </si>
  <si>
    <t>R25090</t>
  </si>
  <si>
    <t>R27310</t>
  </si>
  <si>
    <t>R25180</t>
  </si>
  <si>
    <t>R27360</t>
  </si>
  <si>
    <t>R25250</t>
  </si>
  <si>
    <t>R27420</t>
  </si>
  <si>
    <t>R25400</t>
  </si>
  <si>
    <t>R27470</t>
  </si>
  <si>
    <t>R25470</t>
  </si>
  <si>
    <t>R27520</t>
  </si>
  <si>
    <t>R25600</t>
  </si>
  <si>
    <t>R27630</t>
  </si>
  <si>
    <t>DrainID
HEC-HMS Eval</t>
  </si>
  <si>
    <t>Slp1085</t>
  </si>
  <si>
    <t>Elev10</t>
  </si>
  <si>
    <t>Elev85</t>
  </si>
  <si>
    <t>LengthMi</t>
  </si>
  <si>
    <t>LengthDown</t>
  </si>
  <si>
    <t>LongestFL</t>
  </si>
  <si>
    <t>ShSlopeFpf</t>
  </si>
  <si>
    <t>ConShSlopeFpf</t>
  </si>
  <si>
    <t>ChSlopeFpf</t>
  </si>
  <si>
    <t>ShLengthFt</t>
  </si>
  <si>
    <t>ConShLengthFt</t>
  </si>
  <si>
    <t>ChLengthFt</t>
  </si>
  <si>
    <t>HYDROID</t>
  </si>
  <si>
    <t>Pilgrim</t>
  </si>
  <si>
    <t>Témez</t>
  </si>
  <si>
    <t>Kirpich</t>
  </si>
  <si>
    <t>Giandotti</t>
  </si>
  <si>
    <t>Valencia y Zuluaga</t>
  </si>
  <si>
    <t>ASC Modificado</t>
  </si>
  <si>
    <t>Clark</t>
  </si>
  <si>
    <t>Tiempo de retardo Lagtime, hr
CNLag=0.6*Tc SCS</t>
  </si>
  <si>
    <t>Kc, Coeficiente de Compacidad</t>
  </si>
  <si>
    <t>Kf, Factor de Forma</t>
  </si>
  <si>
    <t>Dd, Densidad de Drenaje, km/km²</t>
  </si>
  <si>
    <t>Used for small watersheds (A &lt;= 2000 acres) where overland flow dominates. Built into the SCS TR-55 and TR-25 urban watershed models. (where L is watershed length in ft, slope  S, and CN is the SCS runoff curve number)</t>
  </si>
  <si>
    <t>Pilgrim y McDermott</t>
  </si>
  <si>
    <t>A: Área de la cuenca en km²
S: Pendiente del cauce principal en m/m
L: Longitud del cauce en Km</t>
  </si>
  <si>
    <t>A: Área de la cuenca km²
So: Pendiente del cauce en %
L: Longitud del cauce en Km</t>
  </si>
  <si>
    <t>ASC Modificada</t>
  </si>
  <si>
    <t>n: coeficiente de rugosidad del cauce
Lp: Longitud del cauce en pies
S: Pendiente del cauce principal en m/m
P2: Precipitación max para un Tr de 2 años en pulgadas</t>
  </si>
  <si>
    <t>En función de,
L: longitud hidráulica de la cuenca en ft. 
S: parámetro en función del número de curva del suelo. Recomendado para valores de CN entre 50 y 95.
Y: pendiente de la cuenca en %.</t>
  </si>
  <si>
    <t>Coeficiente de Compacidad o Índice de Gravelius</t>
  </si>
  <si>
    <t>El Coeficiente de Compacidad siempre será mayor que uno, En la medida que éste se acerque a uno, la forma de la cuenca se parecerá a la de un círculo.
A: Área de la cuenca en km²
P: Perímetro de la cuenca en km</t>
  </si>
  <si>
    <t>Es la relación entre el ancho medio de la cuenca (B) y la longitud de su cauce principal (Lc). El ancho medio se obtiene cuando se divide el área de la cuenca por la longitud del cauce principal. En la medida que el Coeficiente de Forma de una cuenca determinada sea más bajo, estará menos sujeta a crecientes que otra del mismo tamaño (Área) pero con mayor Coeficiente de Forma de forma (Caso inverso al presentado para el Coeficiente de Compacidad o Índice de Gravelius).
A: Área de la cuenca en km²
Lc: Longitud del Cauce Principal km</t>
  </si>
  <si>
    <t>Es la relación entre la longitud total de los cursos de agua dentro de la cuenca y el área total de ésta. Donde ΣLci, es la longitud total de los cauces de agua en Km. Generalmente la Densidad de Drenaje es expresada en Km/Km², tomando valores que van desde 0,5 Km/Km² (cuencas con drenaje pobre) hasta 3,5 Km/Km² (cuencas excepcionalmente bien drenadas). Finalmente hay que destacar que, en la medida que los parámetros asociados al Sistema de Drenaje de la Cuenca Hidrográfica son de mayor magnitud, es de esperarse que el Tiempo de Concentración tienda a ser menor con la consiguiente mayor capacidad de producción de caudal superficial por parte de la Cuenca.
A: Área de la cuenca en km²
Sum Lci: Sumatoria de longitudes de drenajes de la cuenca en km</t>
  </si>
  <si>
    <t>Densidad de corrientes, 1/Km²</t>
  </si>
  <si>
    <t>Es la relación entre el número de corrientes identificadas en la cuenca y su área.
n: número de corrientes
A: Área de la cuenca en km²</t>
  </si>
  <si>
    <t>http://www.scielo.org.co/pdf/dyna/v78n165/a06v78n165.pdf</t>
  </si>
  <si>
    <t>HEC-GeoHMS, Geospatial Hydrologic Modeling Extension, User's Manual. Version 5.0, October 2010, CPD-77</t>
  </si>
  <si>
    <t>https://www.aguaysig.com/2014/08/tiempo-de-concentracion-de-la-cuenca.html</t>
  </si>
  <si>
    <t>http://ingenieriacivil.tutorialesaldia.com/algunos-parametros-de-forma-y-drenaje-de-la-cuenca-hidrografica-y-su-relacion-con-el-tiempo-de-concentracion/</t>
  </si>
  <si>
    <t>http://www.fca.uner.edu.ar/files/academica/deptos/catedras/riego/Archivos/Cap%2006%20-%20Escurrimiento%20Superficial.pdf#targetText=%2D%20Tiempo%20de%20Retardo%20%3D%20tiempo%20que,gravedad%20del%20Hidrograma%20de%20caudales.&amp;targetText=A%20partir%20de%20ese%20momento,2.</t>
  </si>
  <si>
    <t>Shape_AreaKM2</t>
  </si>
  <si>
    <t>PMax24hr, mm 
Tr: 2yr</t>
  </si>
  <si>
    <t>Val</t>
  </si>
  <si>
    <t>Tiempos de concentración Tc, hr: Tiempo mínimo necesario para que todas las 
celdas de una subcuenca, aporten escorrentía simultáneamente hasta su punto de salida.</t>
  </si>
  <si>
    <t>LagTime, BasinLag o Tiempo de retardo, hr: Tiempo que transcurre desde el centro de gravedad del 
hietograma de precipitación hasta el centro de gravedad del hidrograma producido.</t>
  </si>
  <si>
    <t>Características morfométricas de subcuencas</t>
  </si>
  <si>
    <t>Información general de la cuenca</t>
  </si>
  <si>
    <t>Parámetros de la cuenca</t>
  </si>
  <si>
    <t>Número de curva del Soil</t>
  </si>
  <si>
    <t>Precipitación máxima en 24h</t>
  </si>
  <si>
    <t>Tiempo de retardo, hr</t>
  </si>
  <si>
    <t>Parámetros de cauces</t>
  </si>
  <si>
    <t>tc, tiempos de concentración, hr</t>
  </si>
  <si>
    <t>Forma y densidad</t>
  </si>
  <si>
    <t>Contenido creado por:</t>
  </si>
  <si>
    <t>r.cfdtools@gmail.com</t>
  </si>
  <si>
    <t>https://github.com/rcfdtools</t>
  </si>
  <si>
    <t>Licencia, cláusulas y condiciones de uso en:</t>
  </si>
  <si>
    <t>https://github.com/rcfdtools/R.HydroTools/wiki/License</t>
  </si>
  <si>
    <t>Password: 1234</t>
  </si>
  <si>
    <t>Morfometría: forma y densidad.
Estudio de las características físicas de la cuenca.</t>
  </si>
  <si>
    <t xml:space="preserve">A: Área de la cuenca en km²
S: Pendiente del cauce principal en m/m
</t>
  </si>
  <si>
    <t xml:space="preserve">L: Longitud cauce principal en km
S: Pendiente del cauce principal en m/m
</t>
  </si>
  <si>
    <t xml:space="preserve">Lp: Longitud del cauce principal en ft
S: Pendiente del cauce principal en m/m
</t>
  </si>
  <si>
    <t xml:space="preserve">A: Área de la cuenca en km²
</t>
  </si>
  <si>
    <t xml:space="preserve">En función del tiempo de concentración tc.
</t>
  </si>
  <si>
    <t>Referencias</t>
  </si>
  <si>
    <t>Área, km²</t>
  </si>
  <si>
    <t>Dc, Densidad de Corrientes, 1/Km²</t>
  </si>
  <si>
    <t>Arroyo El Zorro</t>
  </si>
  <si>
    <t>W1</t>
  </si>
  <si>
    <t>W10</t>
  </si>
  <si>
    <t>W11</t>
  </si>
  <si>
    <t>W12</t>
  </si>
  <si>
    <t>W13</t>
  </si>
  <si>
    <t>W14</t>
  </si>
  <si>
    <t>W15</t>
  </si>
  <si>
    <t>W16</t>
  </si>
  <si>
    <t>W17</t>
  </si>
  <si>
    <t>W18</t>
  </si>
  <si>
    <t>W19</t>
  </si>
  <si>
    <t>W2</t>
  </si>
  <si>
    <t>W20</t>
  </si>
  <si>
    <t>W21</t>
  </si>
  <si>
    <t>W22</t>
  </si>
  <si>
    <t>W23</t>
  </si>
  <si>
    <t>W24</t>
  </si>
  <si>
    <t>W25</t>
  </si>
  <si>
    <t>W26</t>
  </si>
  <si>
    <t>W27</t>
  </si>
  <si>
    <t>W28</t>
  </si>
  <si>
    <t>W29</t>
  </si>
  <si>
    <t>W3</t>
  </si>
  <si>
    <t>W30</t>
  </si>
  <si>
    <t>W31</t>
  </si>
  <si>
    <t>W32</t>
  </si>
  <si>
    <t>W33</t>
  </si>
  <si>
    <t>W34</t>
  </si>
  <si>
    <t>W35</t>
  </si>
  <si>
    <t>W36</t>
  </si>
  <si>
    <t>W37</t>
  </si>
  <si>
    <t>W38</t>
  </si>
  <si>
    <t>W39</t>
  </si>
  <si>
    <t>W4</t>
  </si>
  <si>
    <t>W5</t>
  </si>
  <si>
    <t>W6</t>
  </si>
  <si>
    <t>W7</t>
  </si>
  <si>
    <t>W8</t>
  </si>
  <si>
    <t>W9</t>
  </si>
  <si>
    <t>xxxx</t>
  </si>
  <si>
    <t>yyyy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</si>
</sst>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000"/>
    <numFmt numFmtId="165" formatCode="0.0"/>
    <numFmt numFmtId="166" formatCode="0.000"/>
    <numFmt numFmtId="167" formatCode="0.0000000"/>
    <numFmt numFmtId="168" formatCode="0.000000"/>
  </numFmts>
  <fonts count="14" x14ac:knownFonts="1">
    <font>
      <sz val="11"/>
      <color theme="1"/>
      <name val="Calibri"/>
      <family val="2"/>
      <scheme val="minor"/>
    </font>
    <font>
      <sz val="10"/>
      <color indexed="8"/>
      <name val="Arial"/>
      <family val="2"/>
    </font>
    <font>
      <sz val="9"/>
      <color indexed="81"/>
      <name val="Tahoma"/>
      <family val="2"/>
    </font>
    <font>
      <u/>
      <sz val="11"/>
      <color theme="10"/>
      <name val="Calibri"/>
      <family val="2"/>
      <scheme val="minor"/>
    </font>
    <font>
      <sz val="11"/>
      <color theme="1"/>
      <name val="Segoe UI Light"/>
      <family val="2"/>
    </font>
    <font>
      <sz val="11"/>
      <color theme="10"/>
      <name val="Segoe UI Light"/>
      <family val="2"/>
    </font>
    <font>
      <sz val="10"/>
      <color theme="1"/>
      <name val="Segoe UI Light"/>
      <family val="2"/>
    </font>
    <font>
      <sz val="10"/>
      <color theme="0" tint="-0.499984740745262"/>
      <name val="Segoe UI Light"/>
      <family val="2"/>
    </font>
    <font>
      <sz val="8"/>
      <color theme="1"/>
      <name val="Segoe UI Light"/>
      <family val="2"/>
    </font>
    <font>
      <sz val="10"/>
      <color indexed="8"/>
      <name val="Segoe UI Light"/>
      <family val="2"/>
    </font>
    <font>
      <sz val="10"/>
      <color rgb="FF0070C0"/>
      <name val="Segoe UI Light"/>
      <family val="2"/>
    </font>
    <font>
      <sz val="10"/>
      <name val="Segoe UI Light"/>
      <family val="2"/>
    </font>
    <font>
      <sz val="10"/>
      <color theme="0" tint="-0.34998626667073579"/>
      <name val="Segoe UI Light"/>
      <family val="2"/>
    </font>
    <font>
      <sz val="11"/>
      <color rgb="FF0070C0"/>
      <name val="Segoe UI Light"/>
      <family val="2"/>
    </font>
  </fonts>
  <fills count="4">
    <fill>
      <patternFill patternType="none"/>
    </fill>
    <fill>
      <patternFill patternType="gray125"/>
    </fill>
    <fill>
      <patternFill patternType="solid">
        <fgColor theme="0" tint="-4.9989318521683403E-2"/>
        <bgColor indexed="64"/>
      </patternFill>
    </fill>
    <fill>
      <patternFill patternType="solid">
        <fgColor theme="0" tint="-4.9989318521683403E-2"/>
        <bgColor indexed="0"/>
      </patternFill>
    </fill>
  </fills>
  <borders count="43">
    <border>
      <left/>
      <right/>
      <top/>
      <bottom/>
      <diagonal/>
    </border>
    <border>
      <left style="hair">
        <color theme="0" tint="-4.9989318521683403E-2"/>
      </left>
      <right style="hair">
        <color theme="0" tint="-4.9989318521683403E-2"/>
      </right>
      <top style="hair">
        <color theme="0" tint="-4.9989318521683403E-2"/>
      </top>
      <bottom style="hair">
        <color theme="0" tint="-4.9989318521683403E-2"/>
      </bottom>
      <diagonal/>
    </border>
    <border>
      <left style="thin">
        <color indexed="64"/>
      </left>
      <right style="hair">
        <color theme="0" tint="-4.9989318521683403E-2"/>
      </right>
      <top style="thin">
        <color indexed="64"/>
      </top>
      <bottom style="hair">
        <color theme="0" tint="-4.9989318521683403E-2"/>
      </bottom>
      <diagonal/>
    </border>
    <border>
      <left style="hair">
        <color theme="0" tint="-4.9989318521683403E-2"/>
      </left>
      <right style="hair">
        <color theme="0" tint="-4.9989318521683403E-2"/>
      </right>
      <top style="thin">
        <color indexed="64"/>
      </top>
      <bottom style="hair">
        <color theme="0" tint="-4.9989318521683403E-2"/>
      </bottom>
      <diagonal/>
    </border>
    <border>
      <left style="hair">
        <color theme="0" tint="-4.9989318521683403E-2"/>
      </left>
      <right style="thin">
        <color indexed="64"/>
      </right>
      <top style="thin">
        <color indexed="64"/>
      </top>
      <bottom style="hair">
        <color theme="0" tint="-4.9989318521683403E-2"/>
      </bottom>
      <diagonal/>
    </border>
    <border>
      <left style="thin">
        <color indexed="64"/>
      </left>
      <right style="hair">
        <color theme="0" tint="-4.9989318521683403E-2"/>
      </right>
      <top style="hair">
        <color theme="0" tint="-4.9989318521683403E-2"/>
      </top>
      <bottom style="hair">
        <color theme="0" tint="-4.9989318521683403E-2"/>
      </bottom>
      <diagonal/>
    </border>
    <border>
      <left style="hair">
        <color theme="0" tint="-4.9989318521683403E-2"/>
      </left>
      <right style="thin">
        <color indexed="64"/>
      </right>
      <top style="hair">
        <color theme="0" tint="-4.9989318521683403E-2"/>
      </top>
      <bottom style="hair">
        <color theme="0" tint="-4.9989318521683403E-2"/>
      </bottom>
      <diagonal/>
    </border>
    <border>
      <left style="thin">
        <color indexed="64"/>
      </left>
      <right style="hair">
        <color theme="0" tint="-4.9989318521683403E-2"/>
      </right>
      <top style="hair">
        <color theme="0" tint="-4.9989318521683403E-2"/>
      </top>
      <bottom style="thin">
        <color indexed="64"/>
      </bottom>
      <diagonal/>
    </border>
    <border>
      <left style="hair">
        <color theme="0" tint="-4.9989318521683403E-2"/>
      </left>
      <right style="hair">
        <color theme="0" tint="-4.9989318521683403E-2"/>
      </right>
      <top style="hair">
        <color theme="0" tint="-4.9989318521683403E-2"/>
      </top>
      <bottom style="thin">
        <color indexed="64"/>
      </bottom>
      <diagonal/>
    </border>
    <border>
      <left style="hair">
        <color theme="0" tint="-4.9989318521683403E-2"/>
      </left>
      <right style="thin">
        <color indexed="64"/>
      </right>
      <top style="hair">
        <color theme="0" tint="-4.9989318521683403E-2"/>
      </top>
      <bottom style="thin">
        <color indexed="64"/>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style="thin">
        <color indexed="64"/>
      </left>
      <right style="thin">
        <color theme="0" tint="-4.9989318521683403E-2"/>
      </right>
      <top style="thin">
        <color indexed="64"/>
      </top>
      <bottom style="thin">
        <color theme="0" tint="-4.9989318521683403E-2"/>
      </bottom>
      <diagonal/>
    </border>
    <border>
      <left style="thin">
        <color theme="0" tint="-4.9989318521683403E-2"/>
      </left>
      <right style="thin">
        <color theme="0" tint="-4.9989318521683403E-2"/>
      </right>
      <top style="thin">
        <color indexed="64"/>
      </top>
      <bottom style="thin">
        <color theme="0" tint="-4.9989318521683403E-2"/>
      </bottom>
      <diagonal/>
    </border>
    <border>
      <left style="thin">
        <color theme="0" tint="-4.9989318521683403E-2"/>
      </left>
      <right style="thin">
        <color indexed="64"/>
      </right>
      <top style="thin">
        <color indexed="64"/>
      </top>
      <bottom style="thin">
        <color theme="0" tint="-4.9989318521683403E-2"/>
      </bottom>
      <diagonal/>
    </border>
    <border>
      <left style="thin">
        <color indexed="64"/>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indexed="64"/>
      </right>
      <top style="thin">
        <color theme="0" tint="-4.9989318521683403E-2"/>
      </top>
      <bottom style="thin">
        <color theme="0" tint="-4.9989318521683403E-2"/>
      </bottom>
      <diagonal/>
    </border>
    <border>
      <left style="thin">
        <color indexed="64"/>
      </left>
      <right style="thin">
        <color theme="0" tint="-4.9989318521683403E-2"/>
      </right>
      <top style="thin">
        <color theme="0" tint="-4.9989318521683403E-2"/>
      </top>
      <bottom style="thin">
        <color indexed="64"/>
      </bottom>
      <diagonal/>
    </border>
    <border>
      <left style="thin">
        <color theme="0" tint="-4.9989318521683403E-2"/>
      </left>
      <right style="thin">
        <color theme="0" tint="-4.9989318521683403E-2"/>
      </right>
      <top style="thin">
        <color theme="0" tint="-4.9989318521683403E-2"/>
      </top>
      <bottom style="thin">
        <color indexed="64"/>
      </bottom>
      <diagonal/>
    </border>
    <border>
      <left style="thin">
        <color theme="0" tint="-4.9989318521683403E-2"/>
      </left>
      <right style="thin">
        <color indexed="64"/>
      </right>
      <top style="thin">
        <color theme="0" tint="-4.9989318521683403E-2"/>
      </top>
      <bottom style="thin">
        <color indexed="64"/>
      </bottom>
      <diagonal/>
    </border>
    <border>
      <left style="thin">
        <color theme="0" tint="-4.9989318521683403E-2"/>
      </left>
      <right/>
      <top style="thin">
        <color indexed="64"/>
      </top>
      <bottom style="thin">
        <color theme="0" tint="-4.9989318521683403E-2"/>
      </bottom>
      <diagonal/>
    </border>
    <border>
      <left style="thin">
        <color theme="0" tint="-4.9989318521683403E-2"/>
      </left>
      <right/>
      <top style="thin">
        <color theme="0" tint="-4.9989318521683403E-2"/>
      </top>
      <bottom style="thin">
        <color theme="0" tint="-4.9989318521683403E-2"/>
      </bottom>
      <diagonal/>
    </border>
    <border>
      <left style="thin">
        <color theme="0" tint="-4.9989318521683403E-2"/>
      </left>
      <right/>
      <top style="thin">
        <color theme="0" tint="-4.9989318521683403E-2"/>
      </top>
      <bottom style="thin">
        <color indexed="64"/>
      </bottom>
      <diagonal/>
    </border>
    <border>
      <left/>
      <right style="thin">
        <color theme="0" tint="-4.9989318521683403E-2"/>
      </right>
      <top style="thin">
        <color indexed="64"/>
      </top>
      <bottom style="thin">
        <color theme="0" tint="-4.9989318521683403E-2"/>
      </bottom>
      <diagonal/>
    </border>
    <border>
      <left/>
      <right style="thin">
        <color theme="0" tint="-4.9989318521683403E-2"/>
      </right>
      <top style="thin">
        <color theme="0" tint="-4.9989318521683403E-2"/>
      </top>
      <bottom style="thin">
        <color theme="0" tint="-4.9989318521683403E-2"/>
      </bottom>
      <diagonal/>
    </border>
    <border>
      <left/>
      <right style="thin">
        <color theme="0" tint="-4.9989318521683403E-2"/>
      </right>
      <top style="thin">
        <color theme="0" tint="-4.9989318521683403E-2"/>
      </top>
      <bottom style="thin">
        <color indexed="64"/>
      </bottom>
      <diagonal/>
    </border>
    <border>
      <left style="thin">
        <color indexed="64"/>
      </left>
      <right style="thin">
        <color indexed="64"/>
      </right>
      <top style="thin">
        <color indexed="64"/>
      </top>
      <bottom style="thin">
        <color theme="0" tint="-4.9989318521683403E-2"/>
      </bottom>
      <diagonal/>
    </border>
    <border>
      <left style="thin">
        <color indexed="64"/>
      </left>
      <right style="thin">
        <color indexed="64"/>
      </right>
      <top style="thin">
        <color theme="0" tint="-4.9989318521683403E-2"/>
      </top>
      <bottom style="thin">
        <color theme="0" tint="-4.9989318521683403E-2"/>
      </bottom>
      <diagonal/>
    </border>
    <border>
      <left style="thin">
        <color indexed="64"/>
      </left>
      <right style="thin">
        <color indexed="64"/>
      </right>
      <top style="thin">
        <color theme="0" tint="-4.9989318521683403E-2"/>
      </top>
      <bottom style="thin">
        <color indexed="64"/>
      </bottom>
      <diagonal/>
    </border>
    <border>
      <left style="thin">
        <color indexed="64"/>
      </left>
      <right style="thin">
        <color theme="0" tint="-4.9989318521683403E-2"/>
      </right>
      <top style="thin">
        <color theme="0" tint="-4.9989318521683403E-2"/>
      </top>
      <bottom/>
      <diagonal/>
    </border>
    <border>
      <left style="thin">
        <color theme="0" tint="-4.9989318521683403E-2"/>
      </left>
      <right style="thin">
        <color theme="0" tint="-4.9989318521683403E-2"/>
      </right>
      <top style="thin">
        <color theme="0" tint="-4.9989318521683403E-2"/>
      </top>
      <bottom/>
      <diagonal/>
    </border>
    <border>
      <left style="thin">
        <color theme="0" tint="-4.9989318521683403E-2"/>
      </left>
      <right/>
      <top style="thin">
        <color theme="0" tint="-4.9989318521683403E-2"/>
      </top>
      <bottom/>
      <diagonal/>
    </border>
    <border>
      <left style="thin">
        <color theme="0" tint="-4.9989318521683403E-2"/>
      </left>
      <right style="thin">
        <color indexed="64"/>
      </right>
      <top style="thin">
        <color theme="0" tint="-4.9989318521683403E-2"/>
      </top>
      <bottom/>
      <diagonal/>
    </border>
    <border>
      <left style="thin">
        <color indexed="64"/>
      </left>
      <right style="thin">
        <color indexed="64"/>
      </right>
      <top style="thin">
        <color theme="0" tint="-4.9989318521683403E-2"/>
      </top>
      <bottom/>
      <diagonal/>
    </border>
    <border>
      <left/>
      <right style="thin">
        <color theme="0" tint="-4.9989318521683403E-2"/>
      </right>
      <top style="thin">
        <color theme="0" tint="-4.9989318521683403E-2"/>
      </top>
      <bottom/>
      <diagonal/>
    </border>
    <border>
      <left style="thin">
        <color indexed="64"/>
      </left>
      <right style="thin">
        <color theme="0" tint="-4.9989318521683403E-2"/>
      </right>
      <top/>
      <bottom style="thin">
        <color theme="0" tint="-4.9989318521683403E-2"/>
      </bottom>
      <diagonal/>
    </border>
    <border>
      <left style="thin">
        <color theme="0" tint="-4.9989318521683403E-2"/>
      </left>
      <right style="thin">
        <color theme="0" tint="-4.9989318521683403E-2"/>
      </right>
      <top/>
      <bottom style="thin">
        <color theme="0" tint="-4.9989318521683403E-2"/>
      </bottom>
      <diagonal/>
    </border>
    <border>
      <left style="thin">
        <color theme="0" tint="-4.9989318521683403E-2"/>
      </left>
      <right/>
      <top/>
      <bottom style="thin">
        <color theme="0" tint="-4.9989318521683403E-2"/>
      </bottom>
      <diagonal/>
    </border>
    <border>
      <left style="thin">
        <color theme="0" tint="-4.9989318521683403E-2"/>
      </left>
      <right style="thin">
        <color indexed="64"/>
      </right>
      <top/>
      <bottom style="thin">
        <color theme="0" tint="-4.9989318521683403E-2"/>
      </bottom>
      <diagonal/>
    </border>
    <border>
      <left style="thin">
        <color indexed="64"/>
      </left>
      <right style="thin">
        <color indexed="64"/>
      </right>
      <top/>
      <bottom style="thin">
        <color theme="0" tint="-4.9989318521683403E-2"/>
      </bottom>
      <diagonal/>
    </border>
    <border>
      <left/>
      <right style="thin">
        <color theme="0" tint="-4.9989318521683403E-2"/>
      </right>
      <top/>
      <bottom style="thin">
        <color theme="0" tint="-4.9989318521683403E-2"/>
      </bottom>
      <diagonal/>
    </border>
    <border>
      <left style="thin">
        <color theme="0" tint="-4.9989318521683403E-2"/>
      </left>
      <right style="thin">
        <color indexed="64"/>
      </right>
      <top/>
      <bottom/>
      <diagonal/>
    </border>
    <border>
      <left style="thin">
        <color theme="0" tint="-4.9989318521683403E-2"/>
      </left>
      <right style="thin">
        <color theme="0" tint="-4.9989318521683403E-2"/>
      </right>
      <top/>
      <bottom/>
      <diagonal/>
    </border>
    <border>
      <left style="thin">
        <color indexed="64"/>
      </left>
      <right style="thin">
        <color theme="0" tint="-4.9989318521683403E-2"/>
      </right>
      <top/>
      <bottom/>
      <diagonal/>
    </border>
  </borders>
  <cellStyleXfs count="3">
    <xf numFmtId="0" fontId="0" fillId="0" borderId="0"/>
    <xf numFmtId="0" fontId="1" fillId="0" borderId="0"/>
    <xf numFmtId="0" fontId="3" fillId="0" borderId="0" applyNumberFormat="0" applyFill="0" applyBorder="0" applyAlignment="0" applyProtection="0"/>
  </cellStyleXfs>
  <cellXfs count="149">
    <xf numFmtId="0" fontId="0" fillId="0" borderId="0" xfId="0"/>
    <xf numFmtId="0" fontId="4" fillId="0" borderId="0" xfId="0" applyFont="1" applyAlignment="1">
      <alignment horizontal="left" vertical="top" wrapText="1"/>
    </xf>
    <xf numFmtId="0" fontId="6" fillId="0" borderId="0" xfId="0" applyFont="1" applyAlignment="1">
      <alignment horizontal="center" vertical="center"/>
    </xf>
    <xf numFmtId="0" fontId="6" fillId="0" borderId="0" xfId="0" applyFont="1" applyAlignment="1">
      <alignment horizontal="left" vertical="center"/>
    </xf>
    <xf numFmtId="0" fontId="7" fillId="0" borderId="0" xfId="0" applyFont="1" applyAlignment="1">
      <alignment horizontal="right" vertical="center"/>
    </xf>
    <xf numFmtId="0" fontId="6" fillId="0" borderId="0" xfId="0" applyFont="1" applyAlignment="1">
      <alignment vertical="center"/>
    </xf>
    <xf numFmtId="0" fontId="6" fillId="0" borderId="0" xfId="0" applyFont="1" applyAlignment="1">
      <alignment vertical="center" wrapText="1"/>
    </xf>
    <xf numFmtId="0" fontId="6" fillId="0" borderId="0" xfId="0" applyFont="1" applyAlignment="1">
      <alignment horizontal="center" vertical="center" wrapText="1"/>
    </xf>
    <xf numFmtId="164" fontId="6" fillId="0" borderId="0" xfId="0" applyNumberFormat="1" applyFont="1" applyAlignment="1">
      <alignment horizontal="center" vertical="center"/>
    </xf>
    <xf numFmtId="0" fontId="4" fillId="0" borderId="1" xfId="0" applyFont="1" applyBorder="1" applyAlignment="1">
      <alignment horizontal="left" vertical="top" wrapText="1"/>
    </xf>
    <xf numFmtId="0" fontId="4" fillId="0" borderId="6" xfId="0" applyFont="1" applyBorder="1" applyAlignment="1">
      <alignment horizontal="left" vertical="top" wrapText="1"/>
    </xf>
    <xf numFmtId="0" fontId="4" fillId="0" borderId="9" xfId="0" applyFont="1" applyBorder="1" applyAlignment="1">
      <alignment horizontal="left" vertical="top" wrapText="1"/>
    </xf>
    <xf numFmtId="0" fontId="4" fillId="0" borderId="10" xfId="0" applyFont="1" applyBorder="1" applyAlignment="1">
      <alignment horizontal="left" vertical="top" wrapText="1"/>
    </xf>
    <xf numFmtId="0" fontId="4" fillId="0" borderId="15" xfId="0" applyFont="1" applyBorder="1" applyAlignment="1">
      <alignment horizontal="left" vertical="top" wrapText="1"/>
    </xf>
    <xf numFmtId="0" fontId="4" fillId="0" borderId="18" xfId="0" applyFont="1" applyBorder="1" applyAlignment="1">
      <alignment horizontal="left" vertical="top" wrapText="1"/>
    </xf>
    <xf numFmtId="2" fontId="11" fillId="0" borderId="10" xfId="1" applyNumberFormat="1" applyFont="1" applyBorder="1" applyAlignment="1">
      <alignment horizontal="center" vertical="center" wrapText="1"/>
    </xf>
    <xf numFmtId="2" fontId="11" fillId="0" borderId="15" xfId="1" applyNumberFormat="1" applyFont="1" applyBorder="1" applyAlignment="1">
      <alignment horizontal="center" vertical="center" wrapText="1"/>
    </xf>
    <xf numFmtId="2" fontId="9" fillId="0" borderId="17" xfId="1" applyNumberFormat="1" applyFont="1" applyBorder="1" applyAlignment="1">
      <alignment horizontal="center" vertical="center" wrapText="1"/>
    </xf>
    <xf numFmtId="2" fontId="9" fillId="0" borderId="18" xfId="1" applyNumberFormat="1" applyFont="1" applyBorder="1" applyAlignment="1">
      <alignment horizontal="center" vertical="center" wrapText="1"/>
    </xf>
    <xf numFmtId="0" fontId="12" fillId="0" borderId="0" xfId="0" applyFont="1" applyAlignment="1">
      <alignment horizontal="center" vertical="center"/>
    </xf>
    <xf numFmtId="0" fontId="12" fillId="0" borderId="0" xfId="0" applyFont="1" applyAlignment="1">
      <alignment horizontal="center" vertical="center" wrapText="1"/>
    </xf>
    <xf numFmtId="2" fontId="6" fillId="2" borderId="10" xfId="0" applyNumberFormat="1" applyFont="1" applyFill="1" applyBorder="1" applyAlignment="1">
      <alignment horizontal="center" vertical="center"/>
    </xf>
    <xf numFmtId="2" fontId="6" fillId="2" borderId="10" xfId="0" applyNumberFormat="1" applyFont="1" applyFill="1" applyBorder="1" applyAlignment="1">
      <alignment vertical="center"/>
    </xf>
    <xf numFmtId="2" fontId="6" fillId="2" borderId="15" xfId="0" applyNumberFormat="1" applyFont="1" applyFill="1" applyBorder="1" applyAlignment="1">
      <alignment horizontal="center" vertical="center"/>
    </xf>
    <xf numFmtId="0" fontId="6" fillId="2" borderId="20" xfId="0" applyFont="1" applyFill="1" applyBorder="1" applyAlignment="1">
      <alignment vertical="center"/>
    </xf>
    <xf numFmtId="2" fontId="6" fillId="2" borderId="23" xfId="0" applyNumberFormat="1" applyFont="1" applyFill="1" applyBorder="1" applyAlignment="1">
      <alignment horizontal="center" vertical="center"/>
    </xf>
    <xf numFmtId="2" fontId="6" fillId="2" borderId="14" xfId="0" applyNumberFormat="1" applyFont="1" applyFill="1" applyBorder="1" applyAlignment="1">
      <alignment horizontal="center" vertical="center"/>
    </xf>
    <xf numFmtId="0" fontId="9" fillId="0" borderId="14" xfId="1" applyFont="1" applyBorder="1" applyAlignment="1">
      <alignment horizontal="center" vertical="center" wrapText="1"/>
    </xf>
    <xf numFmtId="166" fontId="9" fillId="0" borderId="14" xfId="1" applyNumberFormat="1" applyFont="1" applyBorder="1" applyAlignment="1">
      <alignment horizontal="center" vertical="center" wrapText="1"/>
    </xf>
    <xf numFmtId="166" fontId="9" fillId="0" borderId="15" xfId="1" applyNumberFormat="1" applyFont="1" applyBorder="1" applyAlignment="1">
      <alignment horizontal="center" vertical="center" wrapText="1"/>
    </xf>
    <xf numFmtId="165" fontId="9" fillId="0" borderId="16" xfId="1" applyNumberFormat="1" applyFont="1" applyBorder="1" applyAlignment="1">
      <alignment horizontal="center" vertical="center" wrapText="1"/>
    </xf>
    <xf numFmtId="166" fontId="9" fillId="0" borderId="18" xfId="1" applyNumberFormat="1" applyFont="1" applyBorder="1" applyAlignment="1">
      <alignment horizontal="center" vertical="center" wrapText="1"/>
    </xf>
    <xf numFmtId="2" fontId="11" fillId="0" borderId="23" xfId="1" applyNumberFormat="1" applyFont="1" applyBorder="1" applyAlignment="1">
      <alignment horizontal="center" vertical="center" wrapText="1"/>
    </xf>
    <xf numFmtId="2" fontId="9" fillId="0" borderId="24" xfId="1" applyNumberFormat="1" applyFont="1" applyBorder="1" applyAlignment="1">
      <alignment horizontal="center" vertical="center" wrapText="1"/>
    </xf>
    <xf numFmtId="2" fontId="6" fillId="2" borderId="26" xfId="0" applyNumberFormat="1" applyFont="1" applyFill="1" applyBorder="1" applyAlignment="1">
      <alignment horizontal="center" vertical="center"/>
    </xf>
    <xf numFmtId="2" fontId="11" fillId="0" borderId="14" xfId="1" applyNumberFormat="1" applyFont="1" applyBorder="1" applyAlignment="1">
      <alignment horizontal="center" vertical="center" wrapText="1"/>
    </xf>
    <xf numFmtId="2" fontId="9" fillId="0" borderId="16" xfId="1" applyNumberFormat="1" applyFont="1" applyBorder="1" applyAlignment="1">
      <alignment horizontal="center" vertical="center" wrapText="1"/>
    </xf>
    <xf numFmtId="2" fontId="10" fillId="0" borderId="16" xfId="1" applyNumberFormat="1" applyFont="1" applyBorder="1" applyAlignment="1">
      <alignment horizontal="center" vertical="center" wrapText="1"/>
    </xf>
    <xf numFmtId="0" fontId="6" fillId="0" borderId="0" xfId="0" applyFont="1" applyAlignment="1">
      <alignment horizontal="left" vertical="top"/>
    </xf>
    <xf numFmtId="0" fontId="9" fillId="3" borderId="34" xfId="1" applyFont="1" applyFill="1" applyBorder="1" applyAlignment="1">
      <alignment horizontal="center" vertical="center" wrapText="1"/>
    </xf>
    <xf numFmtId="0" fontId="9" fillId="3" borderId="37" xfId="1" applyFont="1" applyFill="1" applyBorder="1" applyAlignment="1">
      <alignment horizontal="center" vertical="center" wrapText="1"/>
    </xf>
    <xf numFmtId="0" fontId="9" fillId="3" borderId="35" xfId="1" applyFont="1" applyFill="1" applyBorder="1" applyAlignment="1">
      <alignment horizontal="center" vertical="center" wrapText="1"/>
    </xf>
    <xf numFmtId="0" fontId="9" fillId="3" borderId="39" xfId="1" applyFont="1" applyFill="1" applyBorder="1" applyAlignment="1">
      <alignment horizontal="center" vertical="center" wrapText="1"/>
    </xf>
    <xf numFmtId="0" fontId="6" fillId="2" borderId="19" xfId="0" applyFont="1" applyFill="1" applyBorder="1" applyAlignment="1">
      <alignment vertical="center"/>
    </xf>
    <xf numFmtId="2" fontId="6" fillId="2" borderId="11" xfId="0" applyNumberFormat="1" applyFont="1" applyFill="1" applyBorder="1" applyAlignment="1">
      <alignment horizontal="center" vertical="center"/>
    </xf>
    <xf numFmtId="2" fontId="6" fillId="2" borderId="12" xfId="0" applyNumberFormat="1" applyFont="1" applyFill="1" applyBorder="1" applyAlignment="1">
      <alignment horizontal="center" vertical="center"/>
    </xf>
    <xf numFmtId="2" fontId="6" fillId="2" borderId="13" xfId="0" applyNumberFormat="1" applyFont="1" applyFill="1" applyBorder="1" applyAlignment="1">
      <alignment horizontal="center" vertical="center"/>
    </xf>
    <xf numFmtId="2" fontId="6" fillId="2" borderId="25" xfId="0" applyNumberFormat="1" applyFont="1" applyFill="1" applyBorder="1" applyAlignment="1">
      <alignment horizontal="center" vertical="center"/>
    </xf>
    <xf numFmtId="2" fontId="6" fillId="2" borderId="12" xfId="0" applyNumberFormat="1" applyFont="1" applyFill="1" applyBorder="1" applyAlignment="1">
      <alignment vertical="center"/>
    </xf>
    <xf numFmtId="2" fontId="6" fillId="2" borderId="22" xfId="0" applyNumberFormat="1" applyFont="1" applyFill="1" applyBorder="1" applyAlignment="1">
      <alignment horizontal="center" vertical="center"/>
    </xf>
    <xf numFmtId="0" fontId="6" fillId="2" borderId="21" xfId="0" applyFont="1" applyFill="1" applyBorder="1" applyAlignment="1">
      <alignment vertical="center"/>
    </xf>
    <xf numFmtId="2" fontId="6" fillId="2" borderId="16" xfId="0" applyNumberFormat="1" applyFont="1" applyFill="1" applyBorder="1" applyAlignment="1">
      <alignment horizontal="center" vertical="center"/>
    </xf>
    <xf numFmtId="2" fontId="6" fillId="2" borderId="17" xfId="0" applyNumberFormat="1" applyFont="1" applyFill="1" applyBorder="1" applyAlignment="1">
      <alignment horizontal="center" vertical="center"/>
    </xf>
    <xf numFmtId="2" fontId="6" fillId="2" borderId="18" xfId="0" applyNumberFormat="1" applyFont="1" applyFill="1" applyBorder="1" applyAlignment="1">
      <alignment horizontal="center" vertical="center"/>
    </xf>
    <xf numFmtId="2" fontId="6" fillId="2" borderId="27" xfId="0" applyNumberFormat="1" applyFont="1" applyFill="1" applyBorder="1" applyAlignment="1">
      <alignment horizontal="center" vertical="center"/>
    </xf>
    <xf numFmtId="2" fontId="6" fillId="2" borderId="17" xfId="0" applyNumberFormat="1" applyFont="1" applyFill="1" applyBorder="1" applyAlignment="1">
      <alignment vertical="center"/>
    </xf>
    <xf numFmtId="2" fontId="6" fillId="2" borderId="24" xfId="0" applyNumberFormat="1" applyFont="1" applyFill="1" applyBorder="1" applyAlignment="1">
      <alignment horizontal="center" vertical="center"/>
    </xf>
    <xf numFmtId="0" fontId="10" fillId="0" borderId="14" xfId="1" applyFont="1" applyBorder="1" applyAlignment="1" applyProtection="1">
      <alignment horizontal="center" vertical="center" wrapText="1"/>
      <protection locked="0"/>
    </xf>
    <xf numFmtId="0" fontId="10" fillId="0" borderId="10" xfId="1" applyFont="1" applyBorder="1" applyAlignment="1" applyProtection="1">
      <alignment horizontal="center" vertical="center" wrapText="1"/>
      <protection locked="0"/>
    </xf>
    <xf numFmtId="0" fontId="10" fillId="0" borderId="20" xfId="1" applyFont="1" applyBorder="1" applyAlignment="1" applyProtection="1">
      <alignment horizontal="center" vertical="center" wrapText="1"/>
      <protection locked="0"/>
    </xf>
    <xf numFmtId="164" fontId="10" fillId="0" borderId="14" xfId="1" applyNumberFormat="1" applyFont="1" applyBorder="1" applyAlignment="1" applyProtection="1">
      <alignment horizontal="center" vertical="center" wrapText="1"/>
      <protection locked="0"/>
    </xf>
    <xf numFmtId="2" fontId="10" fillId="0" borderId="10" xfId="1" applyNumberFormat="1" applyFont="1" applyBorder="1" applyAlignment="1" applyProtection="1">
      <alignment horizontal="center" vertical="center" wrapText="1"/>
      <protection locked="0"/>
    </xf>
    <xf numFmtId="2" fontId="10" fillId="0" borderId="15" xfId="1" applyNumberFormat="1" applyFont="1" applyBorder="1" applyAlignment="1" applyProtection="1">
      <alignment horizontal="center" vertical="center" wrapText="1"/>
      <protection locked="0"/>
    </xf>
    <xf numFmtId="0" fontId="10" fillId="0" borderId="16" xfId="1" applyFont="1" applyBorder="1" applyAlignment="1" applyProtection="1">
      <alignment horizontal="center" vertical="center" wrapText="1"/>
      <protection locked="0"/>
    </xf>
    <xf numFmtId="0" fontId="10" fillId="0" borderId="17" xfId="1" applyFont="1" applyBorder="1" applyAlignment="1" applyProtection="1">
      <alignment horizontal="center" vertical="center" wrapText="1"/>
      <protection locked="0"/>
    </xf>
    <xf numFmtId="0" fontId="10" fillId="0" borderId="21" xfId="1" applyFont="1" applyBorder="1" applyAlignment="1" applyProtection="1">
      <alignment horizontal="center" vertical="center" wrapText="1"/>
      <protection locked="0"/>
    </xf>
    <xf numFmtId="164" fontId="10" fillId="0" borderId="16" xfId="1" applyNumberFormat="1" applyFont="1" applyBorder="1" applyAlignment="1" applyProtection="1">
      <alignment horizontal="center" vertical="center" wrapText="1"/>
      <protection locked="0"/>
    </xf>
    <xf numFmtId="2" fontId="10" fillId="0" borderId="17" xfId="1" applyNumberFormat="1" applyFont="1" applyBorder="1" applyAlignment="1" applyProtection="1">
      <alignment horizontal="center" vertical="center" wrapText="1"/>
      <protection locked="0"/>
    </xf>
    <xf numFmtId="2" fontId="10" fillId="0" borderId="18" xfId="1" applyNumberFormat="1" applyFont="1" applyBorder="1" applyAlignment="1" applyProtection="1">
      <alignment horizontal="center" vertical="center" wrapText="1"/>
      <protection locked="0"/>
    </xf>
    <xf numFmtId="166" fontId="10" fillId="0" borderId="10" xfId="1" applyNumberFormat="1" applyFont="1" applyBorder="1" applyAlignment="1" applyProtection="1">
      <alignment horizontal="center" vertical="center" wrapText="1"/>
      <protection locked="0"/>
    </xf>
    <xf numFmtId="166" fontId="10" fillId="0" borderId="17" xfId="1" applyNumberFormat="1" applyFont="1" applyBorder="1" applyAlignment="1" applyProtection="1">
      <alignment horizontal="center" vertical="center" wrapText="1"/>
      <protection locked="0"/>
    </xf>
    <xf numFmtId="165" fontId="10" fillId="0" borderId="26" xfId="1" applyNumberFormat="1" applyFont="1" applyBorder="1" applyAlignment="1" applyProtection="1">
      <alignment horizontal="center" vertical="center" wrapText="1"/>
      <protection locked="0"/>
    </xf>
    <xf numFmtId="165" fontId="10" fillId="0" borderId="27" xfId="1" applyNumberFormat="1" applyFont="1" applyBorder="1" applyAlignment="1" applyProtection="1">
      <alignment horizontal="center" vertical="center" wrapText="1"/>
      <protection locked="0"/>
    </xf>
    <xf numFmtId="165" fontId="10" fillId="0" borderId="10" xfId="1" applyNumberFormat="1" applyFont="1" applyBorder="1" applyAlignment="1" applyProtection="1">
      <alignment horizontal="center" vertical="center" wrapText="1"/>
      <protection locked="0"/>
    </xf>
    <xf numFmtId="164" fontId="10" fillId="0" borderId="10" xfId="1" applyNumberFormat="1" applyFont="1" applyBorder="1" applyAlignment="1" applyProtection="1">
      <alignment horizontal="center" vertical="center" wrapText="1"/>
      <protection locked="0"/>
    </xf>
    <xf numFmtId="1" fontId="10" fillId="0" borderId="10" xfId="1" applyNumberFormat="1" applyFont="1" applyBorder="1" applyAlignment="1" applyProtection="1">
      <alignment horizontal="center" vertical="center" wrapText="1"/>
      <protection locked="0"/>
    </xf>
    <xf numFmtId="168" fontId="10" fillId="0" borderId="10" xfId="1" applyNumberFormat="1" applyFont="1" applyBorder="1" applyAlignment="1" applyProtection="1">
      <alignment horizontal="center" vertical="center" wrapText="1"/>
      <protection locked="0"/>
    </xf>
    <xf numFmtId="168" fontId="10" fillId="0" borderId="15" xfId="1" applyNumberFormat="1" applyFont="1" applyBorder="1" applyAlignment="1" applyProtection="1">
      <alignment horizontal="center" vertical="center" wrapText="1"/>
      <protection locked="0"/>
    </xf>
    <xf numFmtId="167" fontId="10" fillId="0" borderId="17" xfId="1" applyNumberFormat="1" applyFont="1" applyBorder="1" applyAlignment="1" applyProtection="1">
      <alignment horizontal="center" vertical="center" wrapText="1"/>
      <protection locked="0"/>
    </xf>
    <xf numFmtId="167" fontId="10" fillId="0" borderId="18" xfId="1" applyNumberFormat="1" applyFont="1" applyBorder="1" applyAlignment="1" applyProtection="1">
      <alignment horizontal="center" vertical="center" wrapText="1"/>
      <protection locked="0"/>
    </xf>
    <xf numFmtId="0" fontId="4" fillId="0" borderId="0" xfId="0" applyFont="1" applyAlignment="1">
      <alignment vertical="top"/>
    </xf>
    <xf numFmtId="0" fontId="10" fillId="0" borderId="0" xfId="1" applyFont="1" applyAlignment="1">
      <alignment horizontal="left" vertical="top" wrapText="1"/>
    </xf>
    <xf numFmtId="0" fontId="4" fillId="0" borderId="0" xfId="0" applyFont="1" applyAlignment="1">
      <alignment horizontal="center" vertical="top" wrapText="1"/>
    </xf>
    <xf numFmtId="0" fontId="13" fillId="0" borderId="0" xfId="2" applyFont="1" applyAlignment="1" applyProtection="1">
      <alignment horizontal="center" vertical="top" wrapText="1"/>
    </xf>
    <xf numFmtId="0" fontId="13" fillId="0" borderId="0" xfId="2" applyFont="1" applyAlignment="1" applyProtection="1">
      <alignment horizontal="center" vertical="top"/>
      <protection locked="0"/>
    </xf>
    <xf numFmtId="0" fontId="8" fillId="0" borderId="0" xfId="0" applyFont="1" applyAlignment="1">
      <alignment horizontal="center" vertical="top" wrapText="1"/>
    </xf>
    <xf numFmtId="0" fontId="4" fillId="2" borderId="5" xfId="0" applyFont="1" applyFill="1" applyBorder="1" applyAlignment="1">
      <alignment horizontal="center" vertical="top" wrapText="1"/>
    </xf>
    <xf numFmtId="0" fontId="4" fillId="2" borderId="7" xfId="0" applyFont="1" applyFill="1" applyBorder="1" applyAlignment="1">
      <alignment horizontal="center" vertical="top" wrapText="1"/>
    </xf>
    <xf numFmtId="0" fontId="4" fillId="0" borderId="8" xfId="0" applyFont="1" applyBorder="1" applyAlignment="1">
      <alignment horizontal="left" vertical="top" wrapText="1"/>
    </xf>
    <xf numFmtId="0" fontId="4" fillId="2" borderId="14" xfId="0" applyFont="1" applyFill="1" applyBorder="1" applyAlignment="1">
      <alignment horizontal="center" vertical="top" wrapText="1"/>
    </xf>
    <xf numFmtId="0" fontId="4" fillId="2" borderId="16" xfId="0" applyFont="1" applyFill="1" applyBorder="1" applyAlignment="1">
      <alignment horizontal="center" vertical="top" wrapText="1"/>
    </xf>
    <xf numFmtId="0" fontId="4" fillId="0" borderId="17" xfId="0" applyFont="1" applyBorder="1" applyAlignment="1">
      <alignment horizontal="left" vertical="top" wrapText="1"/>
    </xf>
    <xf numFmtId="0" fontId="5" fillId="0" borderId="0" xfId="2" applyFont="1" applyAlignment="1">
      <alignment vertical="top"/>
    </xf>
    <xf numFmtId="0" fontId="4" fillId="0" borderId="0" xfId="0" applyFont="1" applyAlignment="1">
      <alignment vertical="top" wrapText="1"/>
    </xf>
    <xf numFmtId="0" fontId="9" fillId="0" borderId="29" xfId="1" applyFont="1" applyBorder="1" applyAlignment="1">
      <alignment horizontal="center" vertical="center" wrapText="1"/>
    </xf>
    <xf numFmtId="0" fontId="9" fillId="0" borderId="41" xfId="1" applyFont="1" applyBorder="1" applyAlignment="1">
      <alignment horizontal="center" vertical="center" wrapText="1"/>
    </xf>
    <xf numFmtId="0" fontId="9" fillId="0" borderId="35" xfId="1" applyFont="1" applyBorder="1" applyAlignment="1">
      <alignment horizontal="center" vertical="center" wrapText="1"/>
    </xf>
    <xf numFmtId="0" fontId="9" fillId="0" borderId="28" xfId="1" applyFont="1" applyBorder="1" applyAlignment="1">
      <alignment horizontal="center" vertical="center" wrapText="1"/>
    </xf>
    <xf numFmtId="0" fontId="9" fillId="0" borderId="42" xfId="1" applyFont="1" applyBorder="1" applyAlignment="1">
      <alignment horizontal="center" vertical="center" wrapText="1"/>
    </xf>
    <xf numFmtId="0" fontId="9" fillId="0" borderId="34" xfId="1" applyFont="1" applyBorder="1" applyAlignment="1">
      <alignment horizontal="center" vertical="center" wrapText="1"/>
    </xf>
    <xf numFmtId="0" fontId="9" fillId="0" borderId="31" xfId="1" applyFont="1" applyBorder="1" applyAlignment="1">
      <alignment horizontal="center" vertical="center" wrapText="1"/>
    </xf>
    <xf numFmtId="0" fontId="9" fillId="0" borderId="40" xfId="1" applyFont="1" applyBorder="1" applyAlignment="1">
      <alignment horizontal="center" vertical="center" wrapText="1"/>
    </xf>
    <xf numFmtId="0" fontId="9" fillId="0" borderId="37" xfId="1" applyFont="1" applyBorder="1" applyAlignment="1">
      <alignment horizontal="center" vertical="center" wrapText="1"/>
    </xf>
    <xf numFmtId="0" fontId="9" fillId="3" borderId="35" xfId="1" applyFont="1" applyFill="1" applyBorder="1" applyAlignment="1">
      <alignment horizontal="center" vertical="center" wrapText="1"/>
    </xf>
    <xf numFmtId="0" fontId="9" fillId="3" borderId="10" xfId="1" applyFont="1" applyFill="1" applyBorder="1" applyAlignment="1">
      <alignment horizontal="center" vertical="center" wrapText="1"/>
    </xf>
    <xf numFmtId="0" fontId="9" fillId="3" borderId="37" xfId="1" applyFont="1" applyFill="1" applyBorder="1" applyAlignment="1">
      <alignment horizontal="center" vertical="center" wrapText="1"/>
    </xf>
    <xf numFmtId="0" fontId="9" fillId="3" borderId="15" xfId="1" applyFont="1" applyFill="1" applyBorder="1" applyAlignment="1">
      <alignment horizontal="center" vertical="center" wrapText="1"/>
    </xf>
    <xf numFmtId="0" fontId="9" fillId="3" borderId="38" xfId="1" applyFont="1" applyFill="1" applyBorder="1" applyAlignment="1">
      <alignment horizontal="center" vertical="center" wrapText="1"/>
    </xf>
    <xf numFmtId="0" fontId="9" fillId="3" borderId="26" xfId="1" applyFont="1" applyFill="1" applyBorder="1" applyAlignment="1">
      <alignment horizontal="center" vertical="center" wrapText="1"/>
    </xf>
    <xf numFmtId="0" fontId="6" fillId="2" borderId="25" xfId="0" applyFont="1" applyFill="1" applyBorder="1" applyAlignment="1">
      <alignment horizontal="center" vertical="center" wrapText="1"/>
    </xf>
    <xf numFmtId="0" fontId="6" fillId="2" borderId="32" xfId="0" applyFont="1" applyFill="1" applyBorder="1" applyAlignment="1">
      <alignment horizontal="center" vertical="center" wrapText="1"/>
    </xf>
    <xf numFmtId="0" fontId="6" fillId="2" borderId="11" xfId="0" applyFont="1" applyFill="1" applyBorder="1" applyAlignment="1">
      <alignment horizontal="center" vertical="center" wrapText="1"/>
    </xf>
    <xf numFmtId="0" fontId="6" fillId="2" borderId="13" xfId="0" applyFont="1" applyFill="1" applyBorder="1" applyAlignment="1">
      <alignment horizontal="center" vertical="center" wrapText="1"/>
    </xf>
    <xf numFmtId="0" fontId="6" fillId="2" borderId="28" xfId="0" applyFont="1" applyFill="1" applyBorder="1" applyAlignment="1">
      <alignment horizontal="center" vertical="center" wrapText="1"/>
    </xf>
    <xf numFmtId="0" fontId="6" fillId="2" borderId="31" xfId="0" applyFont="1" applyFill="1" applyBorder="1" applyAlignment="1">
      <alignment horizontal="center" vertical="center" wrapText="1"/>
    </xf>
    <xf numFmtId="0" fontId="6" fillId="2" borderId="12" xfId="0" applyFont="1" applyFill="1" applyBorder="1" applyAlignment="1">
      <alignment horizontal="center" vertical="center" wrapText="1"/>
    </xf>
    <xf numFmtId="0" fontId="6" fillId="2" borderId="29" xfId="0" applyFont="1" applyFill="1" applyBorder="1" applyAlignment="1">
      <alignment horizontal="center" vertical="center" wrapText="1"/>
    </xf>
    <xf numFmtId="0" fontId="6" fillId="2" borderId="22" xfId="0" applyFont="1" applyFill="1" applyBorder="1" applyAlignment="1">
      <alignment horizontal="center" vertical="center" wrapText="1"/>
    </xf>
    <xf numFmtId="0" fontId="6" fillId="2" borderId="33" xfId="0" applyFont="1" applyFill="1" applyBorder="1" applyAlignment="1">
      <alignment horizontal="center" vertical="center" wrapText="1"/>
    </xf>
    <xf numFmtId="2" fontId="6" fillId="2" borderId="11" xfId="0" applyNumberFormat="1" applyFont="1" applyFill="1" applyBorder="1" applyAlignment="1">
      <alignment horizontal="right" vertical="center"/>
    </xf>
    <xf numFmtId="2" fontId="6" fillId="2" borderId="12" xfId="0" applyNumberFormat="1" applyFont="1" applyFill="1" applyBorder="1" applyAlignment="1">
      <alignment horizontal="right" vertical="center"/>
    </xf>
    <xf numFmtId="2" fontId="6" fillId="2" borderId="14" xfId="0" applyNumberFormat="1" applyFont="1" applyFill="1" applyBorder="1" applyAlignment="1">
      <alignment horizontal="right" vertical="center"/>
    </xf>
    <xf numFmtId="2" fontId="6" fillId="2" borderId="10" xfId="0" applyNumberFormat="1" applyFont="1" applyFill="1" applyBorder="1" applyAlignment="1">
      <alignment horizontal="right" vertical="center"/>
    </xf>
    <xf numFmtId="2" fontId="6" fillId="2" borderId="16" xfId="0" applyNumberFormat="1" applyFont="1" applyFill="1" applyBorder="1" applyAlignment="1">
      <alignment horizontal="right" vertical="center"/>
    </xf>
    <xf numFmtId="2" fontId="6" fillId="2" borderId="17" xfId="0" applyNumberFormat="1" applyFont="1" applyFill="1" applyBorder="1" applyAlignment="1">
      <alignment horizontal="right" vertical="center"/>
    </xf>
    <xf numFmtId="0" fontId="9" fillId="3" borderId="34" xfId="1" applyFont="1" applyFill="1" applyBorder="1" applyAlignment="1">
      <alignment horizontal="center" vertical="center" wrapText="1"/>
    </xf>
    <xf numFmtId="0" fontId="9" fillId="3" borderId="14" xfId="1" applyFont="1" applyFill="1" applyBorder="1" applyAlignment="1">
      <alignment horizontal="center" vertical="center" wrapText="1"/>
    </xf>
    <xf numFmtId="0" fontId="6" fillId="2" borderId="11" xfId="0" applyFont="1" applyFill="1" applyBorder="1" applyAlignment="1">
      <alignment horizontal="center" vertical="center"/>
    </xf>
    <xf numFmtId="0" fontId="6" fillId="2" borderId="12" xfId="0" applyFont="1" applyFill="1" applyBorder="1" applyAlignment="1">
      <alignment horizontal="center" vertical="center"/>
    </xf>
    <xf numFmtId="0" fontId="6" fillId="2" borderId="14" xfId="0" applyFont="1" applyFill="1" applyBorder="1" applyAlignment="1">
      <alignment horizontal="center" vertical="center"/>
    </xf>
    <xf numFmtId="0" fontId="6" fillId="2" borderId="10" xfId="0" applyFont="1" applyFill="1" applyBorder="1" applyAlignment="1">
      <alignment horizontal="center" vertical="center"/>
    </xf>
    <xf numFmtId="0" fontId="6" fillId="2" borderId="16" xfId="0" applyFont="1" applyFill="1" applyBorder="1" applyAlignment="1">
      <alignment horizontal="center" vertical="center"/>
    </xf>
    <xf numFmtId="0" fontId="6" fillId="2" borderId="17" xfId="0" applyFont="1" applyFill="1" applyBorder="1" applyAlignment="1">
      <alignment horizontal="center" vertical="center"/>
    </xf>
    <xf numFmtId="0" fontId="9" fillId="3" borderId="36" xfId="1" applyFont="1" applyFill="1" applyBorder="1" applyAlignment="1">
      <alignment horizontal="center" vertical="center" wrapText="1"/>
    </xf>
    <xf numFmtId="0" fontId="9" fillId="3" borderId="20" xfId="1" applyFont="1" applyFill="1" applyBorder="1" applyAlignment="1">
      <alignment horizontal="center" vertical="center" wrapText="1"/>
    </xf>
    <xf numFmtId="0" fontId="6" fillId="2" borderId="19" xfId="0" applyFont="1" applyFill="1" applyBorder="1" applyAlignment="1">
      <alignment horizontal="center" vertical="center" wrapText="1"/>
    </xf>
    <xf numFmtId="0" fontId="6" fillId="2" borderId="30" xfId="0" applyFont="1" applyFill="1" applyBorder="1" applyAlignment="1">
      <alignment horizontal="center" vertical="center" wrapText="1"/>
    </xf>
    <xf numFmtId="0" fontId="4" fillId="2" borderId="2" xfId="0" applyFont="1" applyFill="1" applyBorder="1" applyAlignment="1">
      <alignment horizontal="center" vertical="top" wrapText="1"/>
    </xf>
    <xf numFmtId="0" fontId="4" fillId="2" borderId="3" xfId="0" applyFont="1" applyFill="1" applyBorder="1" applyAlignment="1">
      <alignment horizontal="center" vertical="top" wrapText="1"/>
    </xf>
    <xf numFmtId="0" fontId="4" fillId="2" borderId="4" xfId="0" applyFont="1" applyFill="1" applyBorder="1" applyAlignment="1">
      <alignment horizontal="center" vertical="top" wrapText="1"/>
    </xf>
    <xf numFmtId="0" fontId="4" fillId="2" borderId="5" xfId="0" applyFont="1" applyFill="1" applyBorder="1" applyAlignment="1">
      <alignment horizontal="center" vertical="top" wrapText="1"/>
    </xf>
    <xf numFmtId="0" fontId="4" fillId="2" borderId="1" xfId="0" applyFont="1" applyFill="1" applyBorder="1" applyAlignment="1">
      <alignment horizontal="center" vertical="top" wrapText="1"/>
    </xf>
    <xf numFmtId="0" fontId="4" fillId="2" borderId="6" xfId="0" applyFont="1" applyFill="1" applyBorder="1" applyAlignment="1">
      <alignment horizontal="center" vertical="top" wrapText="1"/>
    </xf>
    <xf numFmtId="0" fontId="4" fillId="2" borderId="11" xfId="0" applyFont="1" applyFill="1" applyBorder="1" applyAlignment="1">
      <alignment horizontal="center" vertical="top" wrapText="1"/>
    </xf>
    <xf numFmtId="0" fontId="4" fillId="2" borderId="12" xfId="0" applyFont="1" applyFill="1" applyBorder="1" applyAlignment="1">
      <alignment horizontal="center" vertical="top" wrapText="1"/>
    </xf>
    <xf numFmtId="0" fontId="4" fillId="2" borderId="13" xfId="0" applyFont="1" applyFill="1" applyBorder="1" applyAlignment="1">
      <alignment horizontal="center" vertical="top" wrapText="1"/>
    </xf>
    <xf numFmtId="0" fontId="4" fillId="2" borderId="14" xfId="0" applyFont="1" applyFill="1" applyBorder="1" applyAlignment="1">
      <alignment horizontal="center" vertical="top" wrapText="1"/>
    </xf>
    <xf numFmtId="0" fontId="4" fillId="2" borderId="10" xfId="0" applyFont="1" applyFill="1" applyBorder="1" applyAlignment="1">
      <alignment horizontal="center" vertical="top" wrapText="1"/>
    </xf>
    <xf numFmtId="0" fontId="4" fillId="2" borderId="15" xfId="0" applyFont="1" applyFill="1" applyBorder="1" applyAlignment="1">
      <alignment horizontal="center" vertical="top" wrapText="1"/>
    </xf>
  </cellXfs>
  <cellStyles count="3">
    <cellStyle name="Hyperlink" xfId="2" builtinId="8"/>
    <cellStyle name="Normal" xfId="0" builtinId="0"/>
    <cellStyle name="Normal_Sheet1" xfId="1" xr:uid="{00000000-0005-0000-0000-000002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chartsheet" Target="chartsheets/sheet1.xml"/><Relationship Id="rId7" Type="http://schemas.openxmlformats.org/officeDocument/2006/relationships/worksheet" Target="worksheets/sheet6.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5.xml"/><Relationship Id="rId11" Type="http://schemas.openxmlformats.org/officeDocument/2006/relationships/calcChain" Target="calcChain.xml"/><Relationship Id="rId5" Type="http://schemas.openxmlformats.org/officeDocument/2006/relationships/worksheet" Target="worksheets/sheet4.xml"/><Relationship Id="rId10" Type="http://schemas.openxmlformats.org/officeDocument/2006/relationships/sharedStrings" Target="sharedStrings.xml"/><Relationship Id="rId4" Type="http://schemas.openxmlformats.org/officeDocument/2006/relationships/worksheet" Target="worksheets/sheet3.xml"/><Relationship Id="rId9"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rotection>
    <c:chartObject val="0"/>
    <c:data val="0"/>
    <c:formatting val="0"/>
    <c:selection val="0"/>
    <c:userInterface val="0"/>
  </c:protection>
  <c:chart>
    <c:title>
      <c:tx>
        <c:rich>
          <a:bodyPr/>
          <a:lstStyle/>
          <a:p>
            <a:pPr>
              <a:defRPr/>
            </a:pPr>
            <a:r>
              <a:rPr lang="es-CO"/>
              <a:t>tc, </a:t>
            </a:r>
            <a:r>
              <a:rPr lang="es-CO" sz="1200" b="0" i="0" u="none" strike="noStrike" baseline="0">
                <a:effectLst/>
              </a:rPr>
              <a:t>Tiempo de concentración</a:t>
            </a:r>
            <a:r>
              <a:rPr lang="es-CO"/>
              <a:t>, hr</a:t>
            </a:r>
          </a:p>
        </c:rich>
      </c:tx>
      <c:overlay val="0"/>
    </c:title>
    <c:autoTitleDeleted val="0"/>
    <c:plotArea>
      <c:layout>
        <c:manualLayout>
          <c:layoutTarget val="inner"/>
          <c:xMode val="edge"/>
          <c:yMode val="edge"/>
          <c:x val="7.6651402191200937E-2"/>
          <c:y val="6.3138230819836189E-2"/>
          <c:w val="0.91400433531268743"/>
          <c:h val="0.74560538935546994"/>
        </c:manualLayout>
      </c:layout>
      <c:barChart>
        <c:barDir val="col"/>
        <c:grouping val="clustered"/>
        <c:varyColors val="0"/>
        <c:ser>
          <c:idx val="3"/>
          <c:order val="0"/>
          <c:tx>
            <c:strRef>
              <c:f>'tc y Morf.'!$U$7</c:f>
              <c:strCache>
                <c:ptCount val="1"/>
                <c:pt idx="0">
                  <c:v>Mínimo</c:v>
                </c:pt>
              </c:strCache>
            </c:strRef>
          </c:tx>
          <c:spPr>
            <a:pattFill prst="dkUpDiag">
              <a:fgClr>
                <a:schemeClr val="tx1"/>
              </a:fgClr>
              <a:bgClr>
                <a:schemeClr val="bg1"/>
              </a:bgClr>
            </a:pattFill>
            <a:ln w="3175" cap="rnd">
              <a:solidFill>
                <a:schemeClr val="tx1"/>
              </a:solidFill>
              <a:round/>
            </a:ln>
            <a:effectLst/>
          </c:spPr>
          <c:invertIfNegative val="0"/>
          <c:cat>
            <c:strRef>
              <c:f>'tc y Morf.'!$AC$9:$AJ$9</c:f>
              <c:strCache>
                <c:ptCount val="8"/>
                <c:pt idx="0">
                  <c:v>SCS</c:v>
                </c:pt>
                <c:pt idx="1">
                  <c:v>Pilgrim</c:v>
                </c:pt>
                <c:pt idx="2">
                  <c:v>Témez</c:v>
                </c:pt>
                <c:pt idx="3">
                  <c:v>Kirpich</c:v>
                </c:pt>
                <c:pt idx="4">
                  <c:v>Giandotti</c:v>
                </c:pt>
                <c:pt idx="5">
                  <c:v>Valencia y Zuluaga</c:v>
                </c:pt>
                <c:pt idx="6">
                  <c:v>ASC Modificado</c:v>
                </c:pt>
                <c:pt idx="7">
                  <c:v>Clark</c:v>
                </c:pt>
              </c:strCache>
            </c:strRef>
          </c:cat>
          <c:val>
            <c:numRef>
              <c:f>'tc y Morf.'!$AC$7:$AJ$7</c:f>
              <c:numCache>
                <c:formatCode>0.00</c:formatCode>
                <c:ptCount val="8"/>
                <c:pt idx="0">
                  <c:v>0.39408287773210116</c:v>
                </c:pt>
                <c:pt idx="1">
                  <c:v>0.24997479008968598</c:v>
                </c:pt>
                <c:pt idx="2">
                  <c:v>0.33420600228341618</c:v>
                </c:pt>
                <c:pt idx="3">
                  <c:v>0.19823057226360599</c:v>
                </c:pt>
                <c:pt idx="4">
                  <c:v>0.87657725452816049</c:v>
                </c:pt>
                <c:pt idx="5">
                  <c:v>0.98804829475965217</c:v>
                </c:pt>
                <c:pt idx="6">
                  <c:v>0</c:v>
                </c:pt>
                <c:pt idx="7">
                  <c:v>0.30859804234748495</c:v>
                </c:pt>
              </c:numCache>
            </c:numRef>
          </c:val>
          <c:extLst>
            <c:ext xmlns:c16="http://schemas.microsoft.com/office/drawing/2014/chart" uri="{C3380CC4-5D6E-409C-BE32-E72D297353CC}">
              <c16:uniqueId val="{00000007-5CB2-43E8-96F4-936B1B7E5B35}"/>
            </c:ext>
          </c:extLst>
        </c:ser>
        <c:ser>
          <c:idx val="1"/>
          <c:order val="1"/>
          <c:tx>
            <c:strRef>
              <c:f>'tc y Morf.'!$U$6</c:f>
              <c:strCache>
                <c:ptCount val="1"/>
                <c:pt idx="0">
                  <c:v>Medio</c:v>
                </c:pt>
              </c:strCache>
            </c:strRef>
          </c:tx>
          <c:spPr>
            <a:solidFill>
              <a:schemeClr val="tx1">
                <a:lumMod val="85000"/>
                <a:lumOff val="15000"/>
              </a:schemeClr>
            </a:solidFill>
            <a:ln w="15875" cap="rnd">
              <a:noFill/>
              <a:round/>
            </a:ln>
            <a:effectLst/>
          </c:spPr>
          <c:invertIfNegative val="0"/>
          <c:cat>
            <c:strRef>
              <c:f>'tc y Morf.'!$AC$9:$AJ$9</c:f>
              <c:strCache>
                <c:ptCount val="8"/>
                <c:pt idx="0">
                  <c:v>SCS</c:v>
                </c:pt>
                <c:pt idx="1">
                  <c:v>Pilgrim</c:v>
                </c:pt>
                <c:pt idx="2">
                  <c:v>Témez</c:v>
                </c:pt>
                <c:pt idx="3">
                  <c:v>Kirpich</c:v>
                </c:pt>
                <c:pt idx="4">
                  <c:v>Giandotti</c:v>
                </c:pt>
                <c:pt idx="5">
                  <c:v>Valencia y Zuluaga</c:v>
                </c:pt>
                <c:pt idx="6">
                  <c:v>ASC Modificado</c:v>
                </c:pt>
                <c:pt idx="7">
                  <c:v>Clark</c:v>
                </c:pt>
              </c:strCache>
            </c:strRef>
          </c:cat>
          <c:val>
            <c:numRef>
              <c:f>'tc y Morf.'!$AC$6:$AJ$6</c:f>
              <c:numCache>
                <c:formatCode>0.00</c:formatCode>
                <c:ptCount val="8"/>
                <c:pt idx="0">
                  <c:v>4.017351098309395</c:v>
                </c:pt>
                <c:pt idx="1">
                  <c:v>1.4649966636506253</c:v>
                </c:pt>
                <c:pt idx="2">
                  <c:v>3.1288718939814513</c:v>
                </c:pt>
                <c:pt idx="3">
                  <c:v>2.5275572942292115</c:v>
                </c:pt>
                <c:pt idx="4">
                  <c:v>7.2538403895135461</c:v>
                </c:pt>
                <c:pt idx="5">
                  <c:v>3.8074653201821276</c:v>
                </c:pt>
                <c:pt idx="6">
                  <c:v>0</c:v>
                </c:pt>
                <c:pt idx="7">
                  <c:v>5.6069467207370369</c:v>
                </c:pt>
              </c:numCache>
            </c:numRef>
          </c:val>
          <c:extLst>
            <c:ext xmlns:c16="http://schemas.microsoft.com/office/drawing/2014/chart" uri="{C3380CC4-5D6E-409C-BE32-E72D297353CC}">
              <c16:uniqueId val="{00000003-5CB2-43E8-96F4-936B1B7E5B35}"/>
            </c:ext>
          </c:extLst>
        </c:ser>
        <c:ser>
          <c:idx val="2"/>
          <c:order val="2"/>
          <c:tx>
            <c:strRef>
              <c:f>'tc y Morf.'!$U$5</c:f>
              <c:strCache>
                <c:ptCount val="1"/>
                <c:pt idx="0">
                  <c:v>Máximo</c:v>
                </c:pt>
              </c:strCache>
            </c:strRef>
          </c:tx>
          <c:spPr>
            <a:pattFill prst="openDmnd">
              <a:fgClr>
                <a:schemeClr val="tx1"/>
              </a:fgClr>
              <a:bgClr>
                <a:schemeClr val="bg1"/>
              </a:bgClr>
            </a:pattFill>
            <a:ln w="3175" cap="rnd">
              <a:solidFill>
                <a:schemeClr val="tx1"/>
              </a:solidFill>
              <a:round/>
            </a:ln>
            <a:effectLst/>
          </c:spPr>
          <c:invertIfNegative val="0"/>
          <c:cat>
            <c:strRef>
              <c:f>'tc y Morf.'!$AC$9:$AJ$9</c:f>
              <c:strCache>
                <c:ptCount val="8"/>
                <c:pt idx="0">
                  <c:v>SCS</c:v>
                </c:pt>
                <c:pt idx="1">
                  <c:v>Pilgrim</c:v>
                </c:pt>
                <c:pt idx="2">
                  <c:v>Témez</c:v>
                </c:pt>
                <c:pt idx="3">
                  <c:v>Kirpich</c:v>
                </c:pt>
                <c:pt idx="4">
                  <c:v>Giandotti</c:v>
                </c:pt>
                <c:pt idx="5">
                  <c:v>Valencia y Zuluaga</c:v>
                </c:pt>
                <c:pt idx="6">
                  <c:v>ASC Modificado</c:v>
                </c:pt>
                <c:pt idx="7">
                  <c:v>Clark</c:v>
                </c:pt>
              </c:strCache>
            </c:strRef>
          </c:cat>
          <c:val>
            <c:numRef>
              <c:f>'tc y Morf.'!$AC$5:$AJ$5</c:f>
              <c:numCache>
                <c:formatCode>0.00</c:formatCode>
                <c:ptCount val="8"/>
                <c:pt idx="0">
                  <c:v>11.337738069706358</c:v>
                </c:pt>
                <c:pt idx="1">
                  <c:v>2.669862456651015</c:v>
                </c:pt>
                <c:pt idx="2">
                  <c:v>9.0495655607937078</c:v>
                </c:pt>
                <c:pt idx="3">
                  <c:v>18.058004183866057</c:v>
                </c:pt>
                <c:pt idx="4">
                  <c:v>78.061690141003567</c:v>
                </c:pt>
                <c:pt idx="5">
                  <c:v>17.095771948366206</c:v>
                </c:pt>
                <c:pt idx="6">
                  <c:v>0</c:v>
                </c:pt>
                <c:pt idx="7">
                  <c:v>23.8201981074039</c:v>
                </c:pt>
              </c:numCache>
            </c:numRef>
          </c:val>
          <c:extLst>
            <c:ext xmlns:c16="http://schemas.microsoft.com/office/drawing/2014/chart" uri="{C3380CC4-5D6E-409C-BE32-E72D297353CC}">
              <c16:uniqueId val="{00000005-5CB2-43E8-96F4-936B1B7E5B35}"/>
            </c:ext>
          </c:extLst>
        </c:ser>
        <c:ser>
          <c:idx val="0"/>
          <c:order val="3"/>
          <c:tx>
            <c:strRef>
              <c:f>'tc y Morf.'!$U$8</c:f>
              <c:strCache>
                <c:ptCount val="1"/>
                <c:pt idx="0">
                  <c:v>Desviación</c:v>
                </c:pt>
              </c:strCache>
            </c:strRef>
          </c:tx>
          <c:spPr>
            <a:solidFill>
              <a:schemeClr val="bg1">
                <a:lumMod val="85000"/>
              </a:schemeClr>
            </a:solidFill>
            <a:ln w="3175" cap="rnd">
              <a:solidFill>
                <a:schemeClr val="tx1"/>
              </a:solidFill>
              <a:round/>
            </a:ln>
            <a:effectLst/>
          </c:spPr>
          <c:invertIfNegative val="0"/>
          <c:cat>
            <c:strRef>
              <c:f>'tc y Morf.'!$AC$9:$AJ$9</c:f>
              <c:strCache>
                <c:ptCount val="8"/>
                <c:pt idx="0">
                  <c:v>SCS</c:v>
                </c:pt>
                <c:pt idx="1">
                  <c:v>Pilgrim</c:v>
                </c:pt>
                <c:pt idx="2">
                  <c:v>Témez</c:v>
                </c:pt>
                <c:pt idx="3">
                  <c:v>Kirpich</c:v>
                </c:pt>
                <c:pt idx="4">
                  <c:v>Giandotti</c:v>
                </c:pt>
                <c:pt idx="5">
                  <c:v>Valencia y Zuluaga</c:v>
                </c:pt>
                <c:pt idx="6">
                  <c:v>ASC Modificado</c:v>
                </c:pt>
                <c:pt idx="7">
                  <c:v>Clark</c:v>
                </c:pt>
              </c:strCache>
            </c:strRef>
          </c:cat>
          <c:val>
            <c:numRef>
              <c:f>'tc y Morf.'!$AC$8:$AJ$8</c:f>
              <c:numCache>
                <c:formatCode>0.00</c:formatCode>
                <c:ptCount val="8"/>
                <c:pt idx="0">
                  <c:v>2.7392858005624481</c:v>
                </c:pt>
                <c:pt idx="1">
                  <c:v>0.54599883952046901</c:v>
                </c:pt>
                <c:pt idx="2">
                  <c:v>1.9738466656975333</c:v>
                </c:pt>
                <c:pt idx="3">
                  <c:v>3.0466675382137969</c:v>
                </c:pt>
                <c:pt idx="4">
                  <c:v>12.365383486670948</c:v>
                </c:pt>
                <c:pt idx="5">
                  <c:v>2.8025520838641516</c:v>
                </c:pt>
                <c:pt idx="6">
                  <c:v>0</c:v>
                </c:pt>
                <c:pt idx="7">
                  <c:v>4.7456488771837071</c:v>
                </c:pt>
              </c:numCache>
            </c:numRef>
          </c:val>
          <c:extLst>
            <c:ext xmlns:c16="http://schemas.microsoft.com/office/drawing/2014/chart" uri="{C3380CC4-5D6E-409C-BE32-E72D297353CC}">
              <c16:uniqueId val="{00000001-5CB2-43E8-96F4-936B1B7E5B35}"/>
            </c:ext>
          </c:extLst>
        </c:ser>
        <c:dLbls>
          <c:showLegendKey val="0"/>
          <c:showVal val="0"/>
          <c:showCatName val="0"/>
          <c:showSerName val="0"/>
          <c:showPercent val="0"/>
          <c:showBubbleSize val="0"/>
        </c:dLbls>
        <c:gapWidth val="25"/>
        <c:axId val="675144432"/>
        <c:axId val="683884784"/>
      </c:barChart>
      <c:catAx>
        <c:axId val="675144432"/>
        <c:scaling>
          <c:orientation val="minMax"/>
        </c:scaling>
        <c:delete val="0"/>
        <c:axPos val="b"/>
        <c:minorGridlines>
          <c:spPr>
            <a:ln w="3175">
              <a:solidFill>
                <a:schemeClr val="bg1">
                  <a:lumMod val="95000"/>
                </a:schemeClr>
              </a:solidFill>
              <a:prstDash val="sysDot"/>
            </a:ln>
          </c:spPr>
        </c:min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5400000"/>
          <a:lstStyle/>
          <a:p>
            <a:pPr>
              <a:defRPr/>
            </a:pPr>
            <a:endParaRPr lang="en-US"/>
          </a:p>
        </c:txPr>
        <c:crossAx val="683884784"/>
        <c:crosses val="autoZero"/>
        <c:auto val="1"/>
        <c:lblAlgn val="ctr"/>
        <c:lblOffset val="100"/>
        <c:noMultiLvlLbl val="0"/>
      </c:catAx>
      <c:valAx>
        <c:axId val="683884784"/>
        <c:scaling>
          <c:orientation val="minMax"/>
        </c:scaling>
        <c:delete val="0"/>
        <c:axPos val="l"/>
        <c:majorGridlines>
          <c:spPr>
            <a:ln w="3175">
              <a:solidFill>
                <a:schemeClr val="bg1">
                  <a:lumMod val="95000"/>
                </a:schemeClr>
              </a:solidFill>
              <a:prstDash val="sysDot"/>
            </a:ln>
          </c:spPr>
        </c:majorGridlines>
        <c:title>
          <c:tx>
            <c:rich>
              <a:bodyPr/>
              <a:lstStyle/>
              <a:p>
                <a:pPr>
                  <a:defRPr/>
                </a:pPr>
                <a:r>
                  <a:rPr lang="es-CO"/>
                  <a:t>tc, hr</a:t>
                </a:r>
              </a:p>
            </c:rich>
          </c:tx>
          <c:overlay val="0"/>
        </c:title>
        <c:numFmt formatCode="0.00" sourceLinked="1"/>
        <c:majorTickMark val="none"/>
        <c:minorTickMark val="none"/>
        <c:tickLblPos val="nextTo"/>
        <c:spPr>
          <a:noFill/>
          <a:ln>
            <a:solidFill>
              <a:schemeClr val="tx1"/>
            </a:solidFill>
          </a:ln>
          <a:effectLst/>
        </c:spPr>
        <c:txPr>
          <a:bodyPr rot="-60000000" vert="horz"/>
          <a:lstStyle/>
          <a:p>
            <a:pPr>
              <a:defRPr/>
            </a:pPr>
            <a:endParaRPr lang="en-US"/>
          </a:p>
        </c:txPr>
        <c:crossAx val="675144432"/>
        <c:crosses val="autoZero"/>
        <c:crossBetween val="between"/>
      </c:valAx>
      <c:dTable>
        <c:showHorzBorder val="0"/>
        <c:showVertBorder val="1"/>
        <c:showOutline val="1"/>
        <c:showKeys val="1"/>
      </c:dTable>
      <c:spPr>
        <a:ln w="3175">
          <a:solidFill>
            <a:schemeClr val="bg1">
              <a:lumMod val="95000"/>
            </a:schemeClr>
          </a:solidFill>
        </a:ln>
      </c:spPr>
    </c:plotArea>
    <c:plotVisOnly val="1"/>
    <c:dispBlanksAs val="gap"/>
    <c:showDLblsOverMax val="0"/>
    <c:extLst/>
  </c:chart>
  <c:spPr>
    <a:ln>
      <a:noFill/>
    </a:ln>
  </c:spPr>
  <c:txPr>
    <a:bodyPr/>
    <a:lstStyle/>
    <a:p>
      <a:pPr>
        <a:defRPr sz="1000" b="0">
          <a:latin typeface="Segoe UI Light" panose="020B0502040204020203" pitchFamily="34" charset="0"/>
          <a:cs typeface="Segoe UI Light" panose="020B0502040204020203" pitchFamily="34" charset="0"/>
        </a:defRPr>
      </a:pPr>
      <a:endParaRPr lang="en-US"/>
    </a:p>
  </c:txPr>
</c:chartSpace>
</file>

<file path=xl/chartsheets/_rels/sheet1.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chartsheets/sheet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ED10003F-4522-4266-AFBF-0F6B6F23E406}">
  <sheetPr/>
  <sheetViews>
    <sheetView zoomScale="114" workbookViewId="0" zoomToFit="1"/>
  </sheetViews>
  <sheetProtection algorithmName="SHA-512" hashValue="ud6fFcrEoHbHh1eD+GQ+uozfbfpZ+e0A5xJcOIHQGDd8w4+MNPlJTWwP53FqkurTzJnxM83q+Zj45dJagJ2aCQ==" saltValue="5Mhi8YR088+AlvfhLOLy/g==" spinCount="100000" content="1" objects="1"/>
  <pageMargins left="0.25" right="0.25" top="0.75" bottom="0.75" header="0.3" footer="0.3"/>
  <pageSetup paperSize="5" orientation="landscape" r:id="rId1"/>
  <drawing r:id="rId2"/>
</chartsheet>
</file>

<file path=xl/drawings/_rels/drawing1.xml.rels><?xml version="1.0" encoding="UTF-8" standalone="yes"?>
<Relationships xmlns="http://schemas.openxmlformats.org/package/2006/relationships"><Relationship Id="rId3" Type="http://schemas.openxmlformats.org/officeDocument/2006/relationships/image" Target="../media/image18.png"/><Relationship Id="rId2" Type="http://schemas.openxmlformats.org/officeDocument/2006/relationships/image" Target="../media/image17.png"/><Relationship Id="rId1" Type="http://schemas.openxmlformats.org/officeDocument/2006/relationships/image" Target="../media/image16.png"/><Relationship Id="rId6" Type="http://schemas.openxmlformats.org/officeDocument/2006/relationships/image" Target="../media/image21.png"/><Relationship Id="rId5" Type="http://schemas.openxmlformats.org/officeDocument/2006/relationships/image" Target="../media/image20.png"/><Relationship Id="rId4" Type="http://schemas.openxmlformats.org/officeDocument/2006/relationships/image" Target="../media/image19.png"/></Relationships>
</file>

<file path=xl/drawings/_rels/drawing2.xml.rels><?xml version="1.0" encoding="UTF-8" standalone="yes"?>
<Relationships xmlns="http://schemas.openxmlformats.org/package/2006/relationships"><Relationship Id="rId8" Type="http://schemas.openxmlformats.org/officeDocument/2006/relationships/image" Target="../media/image38.png"/><Relationship Id="rId3" Type="http://schemas.openxmlformats.org/officeDocument/2006/relationships/image" Target="../media/image33.png"/><Relationship Id="rId7" Type="http://schemas.openxmlformats.org/officeDocument/2006/relationships/image" Target="../media/image37.png"/><Relationship Id="rId2" Type="http://schemas.openxmlformats.org/officeDocument/2006/relationships/image" Target="../media/image32.png"/><Relationship Id="rId1" Type="http://schemas.openxmlformats.org/officeDocument/2006/relationships/image" Target="../media/image31.png"/><Relationship Id="rId6" Type="http://schemas.openxmlformats.org/officeDocument/2006/relationships/image" Target="../media/image36.png"/><Relationship Id="rId5" Type="http://schemas.openxmlformats.org/officeDocument/2006/relationships/image" Target="../media/image35.png"/><Relationship Id="rId4" Type="http://schemas.openxmlformats.org/officeDocument/2006/relationships/image" Target="../media/image34.png"/></Relationships>
</file>

<file path=xl/drawings/_rels/drawing3.xml.rels><?xml version="1.0" encoding="UTF-8" standalone="yes"?>
<Relationships xmlns="http://schemas.openxmlformats.org/package/2006/relationships"><Relationship Id="rId1" Type="http://schemas.openxmlformats.org/officeDocument/2006/relationships/chart" Target="../charts/chart1.xml"/></Relationships>
</file>

<file path=xl/drawings/_rels/drawing4.xml.rels><?xml version="1.0" encoding="UTF-8" standalone="yes"?>
<Relationships xmlns="http://schemas.openxmlformats.org/package/2006/relationships"><Relationship Id="rId1" Type="http://schemas.openxmlformats.org/officeDocument/2006/relationships/image" Target="../media/image39.png"/></Relationships>
</file>

<file path=xl/drawings/_rels/vmlDrawing1.vml.rels><?xml version="1.0" encoding="UTF-8" standalone="yes"?>
<Relationships xmlns="http://schemas.openxmlformats.org/package/2006/relationships"><Relationship Id="rId8" Type="http://schemas.openxmlformats.org/officeDocument/2006/relationships/image" Target="../media/image8.emf"/><Relationship Id="rId13" Type="http://schemas.openxmlformats.org/officeDocument/2006/relationships/image" Target="../media/image13.emf"/><Relationship Id="rId3" Type="http://schemas.openxmlformats.org/officeDocument/2006/relationships/image" Target="../media/image3.emf"/><Relationship Id="rId7" Type="http://schemas.openxmlformats.org/officeDocument/2006/relationships/image" Target="../media/image7.emf"/><Relationship Id="rId12" Type="http://schemas.openxmlformats.org/officeDocument/2006/relationships/image" Target="../media/image12.emf"/><Relationship Id="rId2" Type="http://schemas.openxmlformats.org/officeDocument/2006/relationships/image" Target="../media/image2.emf"/><Relationship Id="rId1" Type="http://schemas.openxmlformats.org/officeDocument/2006/relationships/image" Target="../media/image1.emf"/><Relationship Id="rId6" Type="http://schemas.openxmlformats.org/officeDocument/2006/relationships/image" Target="../media/image6.emf"/><Relationship Id="rId11" Type="http://schemas.openxmlformats.org/officeDocument/2006/relationships/image" Target="../media/image11.emf"/><Relationship Id="rId5" Type="http://schemas.openxmlformats.org/officeDocument/2006/relationships/image" Target="../media/image5.emf"/><Relationship Id="rId15" Type="http://schemas.openxmlformats.org/officeDocument/2006/relationships/image" Target="../media/image15.emf"/><Relationship Id="rId10" Type="http://schemas.openxmlformats.org/officeDocument/2006/relationships/image" Target="../media/image10.emf"/><Relationship Id="rId4" Type="http://schemas.openxmlformats.org/officeDocument/2006/relationships/image" Target="../media/image4.emf"/><Relationship Id="rId9" Type="http://schemas.openxmlformats.org/officeDocument/2006/relationships/image" Target="../media/image9.emf"/><Relationship Id="rId14" Type="http://schemas.openxmlformats.org/officeDocument/2006/relationships/image" Target="../media/image14.emf"/></Relationships>
</file>

<file path=xl/drawings/_rels/vmlDrawing2.vml.rels><?xml version="1.0" encoding="UTF-8" standalone="yes"?>
<Relationships xmlns="http://schemas.openxmlformats.org/package/2006/relationships"><Relationship Id="rId8" Type="http://schemas.openxmlformats.org/officeDocument/2006/relationships/image" Target="../media/image1.emf"/><Relationship Id="rId13" Type="http://schemas.openxmlformats.org/officeDocument/2006/relationships/image" Target="../media/image15.emf"/><Relationship Id="rId3" Type="http://schemas.openxmlformats.org/officeDocument/2006/relationships/image" Target="../media/image6.emf"/><Relationship Id="rId7" Type="http://schemas.openxmlformats.org/officeDocument/2006/relationships/image" Target="../media/image27.emf"/><Relationship Id="rId12" Type="http://schemas.openxmlformats.org/officeDocument/2006/relationships/image" Target="../media/image14.emf"/><Relationship Id="rId2" Type="http://schemas.openxmlformats.org/officeDocument/2006/relationships/image" Target="../media/image23.emf"/><Relationship Id="rId1" Type="http://schemas.openxmlformats.org/officeDocument/2006/relationships/image" Target="../media/image22.emf"/><Relationship Id="rId6" Type="http://schemas.openxmlformats.org/officeDocument/2006/relationships/image" Target="../media/image26.emf"/><Relationship Id="rId11" Type="http://schemas.openxmlformats.org/officeDocument/2006/relationships/image" Target="../media/image13.emf"/><Relationship Id="rId5" Type="http://schemas.openxmlformats.org/officeDocument/2006/relationships/image" Target="../media/image25.emf"/><Relationship Id="rId15" Type="http://schemas.openxmlformats.org/officeDocument/2006/relationships/image" Target="../media/image30.emf"/><Relationship Id="rId10" Type="http://schemas.openxmlformats.org/officeDocument/2006/relationships/image" Target="../media/image10.emf"/><Relationship Id="rId4" Type="http://schemas.openxmlformats.org/officeDocument/2006/relationships/image" Target="../media/image24.emf"/><Relationship Id="rId9" Type="http://schemas.openxmlformats.org/officeDocument/2006/relationships/image" Target="../media/image28.emf"/><Relationship Id="rId14" Type="http://schemas.openxmlformats.org/officeDocument/2006/relationships/image" Target="../media/image29.emf"/></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161925</xdr:colOff>
          <xdr:row>6</xdr:row>
          <xdr:rowOff>142875</xdr:rowOff>
        </xdr:from>
        <xdr:to>
          <xdr:col>3</xdr:col>
          <xdr:colOff>2400300</xdr:colOff>
          <xdr:row>6</xdr:row>
          <xdr:rowOff>609600</xdr:rowOff>
        </xdr:to>
        <xdr:sp macro="" textlink="">
          <xdr:nvSpPr>
            <xdr:cNvPr id="30721" name="Object 1" hidden="1">
              <a:extLst>
                <a:ext uri="{63B3BB69-23CF-44E3-9099-C40C66FF867C}">
                  <a14:compatExt spid="_x0000_s30721"/>
                </a:ext>
                <a:ext uri="{FF2B5EF4-FFF2-40B4-BE49-F238E27FC236}">
                  <a16:creationId xmlns:a16="http://schemas.microsoft.com/office/drawing/2014/main" id="{00000000-0008-0000-0000-000001780000}"/>
                </a:ext>
              </a:extLst>
            </xdr:cNvPr>
            <xdr:cNvSpPr/>
          </xdr:nvSpPr>
          <xdr:spPr bwMode="auto">
            <a:xfrm>
              <a:off x="0" y="0"/>
              <a:ext cx="0" cy="0"/>
            </a:xfrm>
            <a:prstGeom prst="rect">
              <a:avLst/>
            </a:prstGeom>
            <a:solidFill>
              <a:srgbClr val="FFFFFF" mc:Ignorable="a14" a14:legacySpreadsheetColorIndex="65"/>
            </a:solidFill>
            <a:ln>
              <a:noFill/>
            </a:ln>
            <a:extLs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733425</xdr:colOff>
          <xdr:row>10</xdr:row>
          <xdr:rowOff>104775</xdr:rowOff>
        </xdr:from>
        <xdr:to>
          <xdr:col>3</xdr:col>
          <xdr:colOff>1638300</xdr:colOff>
          <xdr:row>10</xdr:row>
          <xdr:rowOff>304800</xdr:rowOff>
        </xdr:to>
        <xdr:sp macro="" textlink="">
          <xdr:nvSpPr>
            <xdr:cNvPr id="30722" name="Object 2" hidden="1">
              <a:extLst>
                <a:ext uri="{63B3BB69-23CF-44E3-9099-C40C66FF867C}">
                  <a14:compatExt spid="_x0000_s30722"/>
                </a:ext>
                <a:ext uri="{FF2B5EF4-FFF2-40B4-BE49-F238E27FC236}">
                  <a16:creationId xmlns:a16="http://schemas.microsoft.com/office/drawing/2014/main" id="{00000000-0008-0000-0000-000002780000}"/>
                </a:ext>
              </a:extLst>
            </xdr:cNvPr>
            <xdr:cNvSpPr/>
          </xdr:nvSpPr>
          <xdr:spPr bwMode="auto">
            <a:xfrm>
              <a:off x="0" y="0"/>
              <a:ext cx="0" cy="0"/>
            </a:xfrm>
            <a:prstGeom prst="rect">
              <a:avLst/>
            </a:prstGeom>
            <a:solidFill>
              <a:srgbClr val="FFFFFF" mc:Ignorable="a14" a14:legacySpreadsheetColorIndex="65"/>
            </a:solidFill>
            <a:ln>
              <a:noFill/>
            </a:ln>
            <a:extLs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666750</xdr:colOff>
          <xdr:row>8</xdr:row>
          <xdr:rowOff>95250</xdr:rowOff>
        </xdr:from>
        <xdr:to>
          <xdr:col>3</xdr:col>
          <xdr:colOff>1838325</xdr:colOff>
          <xdr:row>8</xdr:row>
          <xdr:rowOff>561975</xdr:rowOff>
        </xdr:to>
        <xdr:sp macro="" textlink="">
          <xdr:nvSpPr>
            <xdr:cNvPr id="30723" name="Object 3" hidden="1">
              <a:extLst>
                <a:ext uri="{63B3BB69-23CF-44E3-9099-C40C66FF867C}">
                  <a14:compatExt spid="_x0000_s30723"/>
                </a:ext>
                <a:ext uri="{FF2B5EF4-FFF2-40B4-BE49-F238E27FC236}">
                  <a16:creationId xmlns:a16="http://schemas.microsoft.com/office/drawing/2014/main" id="{00000000-0008-0000-0000-000003780000}"/>
                </a:ext>
              </a:extLst>
            </xdr:cNvPr>
            <xdr:cNvSpPr/>
          </xdr:nvSpPr>
          <xdr:spPr bwMode="auto">
            <a:xfrm>
              <a:off x="0" y="0"/>
              <a:ext cx="0" cy="0"/>
            </a:xfrm>
            <a:prstGeom prst="rect">
              <a:avLst/>
            </a:prstGeom>
            <a:solidFill>
              <a:srgbClr val="FFFFFF" mc:Ignorable="a14" a14:legacySpreadsheetColorIndex="65"/>
            </a:solidFill>
            <a:ln>
              <a:noFill/>
            </a:ln>
            <a:extLs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495300</xdr:colOff>
          <xdr:row>11</xdr:row>
          <xdr:rowOff>76200</xdr:rowOff>
        </xdr:from>
        <xdr:to>
          <xdr:col>3</xdr:col>
          <xdr:colOff>1685925</xdr:colOff>
          <xdr:row>11</xdr:row>
          <xdr:rowOff>571500</xdr:rowOff>
        </xdr:to>
        <xdr:sp macro="" textlink="">
          <xdr:nvSpPr>
            <xdr:cNvPr id="30724" name="Object 4" hidden="1">
              <a:extLst>
                <a:ext uri="{63B3BB69-23CF-44E3-9099-C40C66FF867C}">
                  <a14:compatExt spid="_x0000_s30724"/>
                </a:ext>
                <a:ext uri="{FF2B5EF4-FFF2-40B4-BE49-F238E27FC236}">
                  <a16:creationId xmlns:a16="http://schemas.microsoft.com/office/drawing/2014/main" id="{00000000-0008-0000-0000-000004780000}"/>
                </a:ext>
              </a:extLst>
            </xdr:cNvPr>
            <xdr:cNvSpPr/>
          </xdr:nvSpPr>
          <xdr:spPr bwMode="auto">
            <a:xfrm>
              <a:off x="0" y="0"/>
              <a:ext cx="0" cy="0"/>
            </a:xfrm>
            <a:prstGeom prst="rect">
              <a:avLst/>
            </a:prstGeom>
            <a:solidFill>
              <a:srgbClr val="FFFFFF" mc:Ignorable="a14" a14:legacySpreadsheetColorIndex="65"/>
            </a:solidFill>
            <a:ln>
              <a:noFill/>
            </a:ln>
            <a:extLs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161925</xdr:colOff>
          <xdr:row>12</xdr:row>
          <xdr:rowOff>219075</xdr:rowOff>
        </xdr:from>
        <xdr:to>
          <xdr:col>3</xdr:col>
          <xdr:colOff>2133600</xdr:colOff>
          <xdr:row>12</xdr:row>
          <xdr:rowOff>419100</xdr:rowOff>
        </xdr:to>
        <xdr:sp macro="" textlink="">
          <xdr:nvSpPr>
            <xdr:cNvPr id="30725" name="Object 5" hidden="1">
              <a:extLst>
                <a:ext uri="{63B3BB69-23CF-44E3-9099-C40C66FF867C}">
                  <a14:compatExt spid="_x0000_s30725"/>
                </a:ext>
                <a:ext uri="{FF2B5EF4-FFF2-40B4-BE49-F238E27FC236}">
                  <a16:creationId xmlns:a16="http://schemas.microsoft.com/office/drawing/2014/main" id="{00000000-0008-0000-0000-000005780000}"/>
                </a:ext>
              </a:extLst>
            </xdr:cNvPr>
            <xdr:cNvSpPr/>
          </xdr:nvSpPr>
          <xdr:spPr bwMode="auto">
            <a:xfrm>
              <a:off x="0" y="0"/>
              <a:ext cx="0" cy="0"/>
            </a:xfrm>
            <a:prstGeom prst="rect">
              <a:avLst/>
            </a:prstGeom>
            <a:solidFill>
              <a:srgbClr val="FFFFFF" mc:Ignorable="a14" a14:legacySpreadsheetColorIndex="65"/>
            </a:solidFill>
            <a:ln>
              <a:noFill/>
            </a:ln>
            <a:extLs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485775</xdr:colOff>
          <xdr:row>13</xdr:row>
          <xdr:rowOff>142875</xdr:rowOff>
        </xdr:from>
        <xdr:to>
          <xdr:col>3</xdr:col>
          <xdr:colOff>1866900</xdr:colOff>
          <xdr:row>13</xdr:row>
          <xdr:rowOff>638175</xdr:rowOff>
        </xdr:to>
        <xdr:sp macro="" textlink="">
          <xdr:nvSpPr>
            <xdr:cNvPr id="30726" name="Object 6" hidden="1">
              <a:extLst>
                <a:ext uri="{63B3BB69-23CF-44E3-9099-C40C66FF867C}">
                  <a14:compatExt spid="_x0000_s30726"/>
                </a:ext>
                <a:ext uri="{FF2B5EF4-FFF2-40B4-BE49-F238E27FC236}">
                  <a16:creationId xmlns:a16="http://schemas.microsoft.com/office/drawing/2014/main" id="{00000000-0008-0000-0000-000006780000}"/>
                </a:ext>
              </a:extLst>
            </xdr:cNvPr>
            <xdr:cNvSpPr/>
          </xdr:nvSpPr>
          <xdr:spPr bwMode="auto">
            <a:xfrm>
              <a:off x="0" y="0"/>
              <a:ext cx="0" cy="0"/>
            </a:xfrm>
            <a:prstGeom prst="rect">
              <a:avLst/>
            </a:prstGeom>
            <a:solidFill>
              <a:srgbClr val="FFFFFF" mc:Ignorable="a14" a14:legacySpreadsheetColorIndex="65"/>
            </a:solidFill>
            <a:ln>
              <a:noFill/>
            </a:ln>
            <a:extLs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552450</xdr:colOff>
          <xdr:row>7</xdr:row>
          <xdr:rowOff>66675</xdr:rowOff>
        </xdr:from>
        <xdr:to>
          <xdr:col>3</xdr:col>
          <xdr:colOff>1933575</xdr:colOff>
          <xdr:row>7</xdr:row>
          <xdr:rowOff>581025</xdr:rowOff>
        </xdr:to>
        <xdr:sp macro="" textlink="">
          <xdr:nvSpPr>
            <xdr:cNvPr id="30727" name="Object 7" hidden="1">
              <a:extLst>
                <a:ext uri="{63B3BB69-23CF-44E3-9099-C40C66FF867C}">
                  <a14:compatExt spid="_x0000_s30727"/>
                </a:ext>
                <a:ext uri="{FF2B5EF4-FFF2-40B4-BE49-F238E27FC236}">
                  <a16:creationId xmlns:a16="http://schemas.microsoft.com/office/drawing/2014/main" id="{00000000-0008-0000-0000-000007780000}"/>
                </a:ext>
              </a:extLst>
            </xdr:cNvPr>
            <xdr:cNvSpPr/>
          </xdr:nvSpPr>
          <xdr:spPr bwMode="auto">
            <a:xfrm>
              <a:off x="0" y="0"/>
              <a:ext cx="0" cy="0"/>
            </a:xfrm>
            <a:prstGeom prst="rect">
              <a:avLst/>
            </a:prstGeom>
            <a:solidFill>
              <a:srgbClr val="FFFFFF" mc:Ignorable="a14" a14:legacySpreadsheetColorIndex="65"/>
            </a:solidFill>
            <a:ln>
              <a:noFill/>
            </a:ln>
            <a:extLs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419100</xdr:colOff>
          <xdr:row>9</xdr:row>
          <xdr:rowOff>47625</xdr:rowOff>
        </xdr:from>
        <xdr:to>
          <xdr:col>3</xdr:col>
          <xdr:colOff>1895475</xdr:colOff>
          <xdr:row>9</xdr:row>
          <xdr:rowOff>561975</xdr:rowOff>
        </xdr:to>
        <xdr:sp macro="" textlink="">
          <xdr:nvSpPr>
            <xdr:cNvPr id="30728" name="Object 8" hidden="1">
              <a:extLst>
                <a:ext uri="{63B3BB69-23CF-44E3-9099-C40C66FF867C}">
                  <a14:compatExt spid="_x0000_s30728"/>
                </a:ext>
                <a:ext uri="{FF2B5EF4-FFF2-40B4-BE49-F238E27FC236}">
                  <a16:creationId xmlns:a16="http://schemas.microsoft.com/office/drawing/2014/main" id="{00000000-0008-0000-0000-000008780000}"/>
                </a:ext>
              </a:extLst>
            </xdr:cNvPr>
            <xdr:cNvSpPr/>
          </xdr:nvSpPr>
          <xdr:spPr bwMode="auto">
            <a:xfrm>
              <a:off x="0" y="0"/>
              <a:ext cx="0" cy="0"/>
            </a:xfrm>
            <a:prstGeom prst="rect">
              <a:avLst/>
            </a:prstGeom>
            <a:solidFill>
              <a:srgbClr val="FFFFFF" mc:Ignorable="a14" a14:legacySpreadsheetColorIndex="65"/>
            </a:solidFill>
            <a:ln>
              <a:noFill/>
            </a:ln>
            <a:extLs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editAs="oneCell">
    <xdr:from>
      <xdr:col>1</xdr:col>
      <xdr:colOff>139212</xdr:colOff>
      <xdr:row>1</xdr:row>
      <xdr:rowOff>58615</xdr:rowOff>
    </xdr:from>
    <xdr:to>
      <xdr:col>1</xdr:col>
      <xdr:colOff>908453</xdr:colOff>
      <xdr:row>5</xdr:row>
      <xdr:rowOff>61372</xdr:rowOff>
    </xdr:to>
    <xdr:pic>
      <xdr:nvPicPr>
        <xdr:cNvPr id="10" name="Imagen 9">
          <a:extLst>
            <a:ext uri="{FF2B5EF4-FFF2-40B4-BE49-F238E27FC236}">
              <a16:creationId xmlns:a16="http://schemas.microsoft.com/office/drawing/2014/main" id="{00000000-0008-0000-0000-00000A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20187" y="249115"/>
          <a:ext cx="755906" cy="841250"/>
        </a:xfrm>
        <a:prstGeom prst="rect">
          <a:avLst/>
        </a:prstGeom>
      </xdr:spPr>
    </xdr:pic>
    <xdr:clientData/>
  </xdr:twoCellAnchor>
  <mc:AlternateContent xmlns:mc="http://schemas.openxmlformats.org/markup-compatibility/2006">
    <mc:Choice xmlns:a14="http://schemas.microsoft.com/office/drawing/2010/main" Requires="a14">
      <xdr:twoCellAnchor editAs="oneCell">
        <xdr:from>
          <xdr:col>3</xdr:col>
          <xdr:colOff>790575</xdr:colOff>
          <xdr:row>20</xdr:row>
          <xdr:rowOff>114300</xdr:rowOff>
        </xdr:from>
        <xdr:to>
          <xdr:col>3</xdr:col>
          <xdr:colOff>1543050</xdr:colOff>
          <xdr:row>20</xdr:row>
          <xdr:rowOff>352425</xdr:rowOff>
        </xdr:to>
        <xdr:sp macro="" textlink="">
          <xdr:nvSpPr>
            <xdr:cNvPr id="30729" name="Object 9" hidden="1">
              <a:extLst>
                <a:ext uri="{63B3BB69-23CF-44E3-9099-C40C66FF867C}">
                  <a14:compatExt spid="_x0000_s30729"/>
                </a:ext>
                <a:ext uri="{FF2B5EF4-FFF2-40B4-BE49-F238E27FC236}">
                  <a16:creationId xmlns:a16="http://schemas.microsoft.com/office/drawing/2014/main" id="{00000000-0008-0000-0000-000009780000}"/>
                </a:ext>
              </a:extLst>
            </xdr:cNvPr>
            <xdr:cNvSpPr/>
          </xdr:nvSpPr>
          <xdr:spPr bwMode="auto">
            <a:xfrm>
              <a:off x="0" y="0"/>
              <a:ext cx="0" cy="0"/>
            </a:xfrm>
            <a:prstGeom prst="rect">
              <a:avLst/>
            </a:prstGeom>
            <a:solidFill>
              <a:srgbClr val="FFFFFF" mc:Ignorable="a14" a14:legacySpreadsheetColorIndex="65"/>
            </a:solidFill>
            <a:ln>
              <a:noFill/>
            </a:ln>
            <a:extLs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editAs="oneCell">
    <xdr:from>
      <xdr:col>1</xdr:col>
      <xdr:colOff>175846</xdr:colOff>
      <xdr:row>15</xdr:row>
      <xdr:rowOff>51288</xdr:rowOff>
    </xdr:from>
    <xdr:to>
      <xdr:col>1</xdr:col>
      <xdr:colOff>945087</xdr:colOff>
      <xdr:row>19</xdr:row>
      <xdr:rowOff>55950</xdr:rowOff>
    </xdr:to>
    <xdr:pic>
      <xdr:nvPicPr>
        <xdr:cNvPr id="12" name="Imagen 11">
          <a:extLst>
            <a:ext uri="{FF2B5EF4-FFF2-40B4-BE49-F238E27FC236}">
              <a16:creationId xmlns:a16="http://schemas.microsoft.com/office/drawing/2014/main" id="{00000000-0008-0000-0000-00000C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356821" y="6718788"/>
          <a:ext cx="755906" cy="841250"/>
        </a:xfrm>
        <a:prstGeom prst="rect">
          <a:avLst/>
        </a:prstGeom>
      </xdr:spPr>
    </xdr:pic>
    <xdr:clientData/>
  </xdr:twoCellAnchor>
  <mc:AlternateContent xmlns:mc="http://schemas.openxmlformats.org/markup-compatibility/2006">
    <mc:Choice xmlns:a14="http://schemas.microsoft.com/office/drawing/2010/main" Requires="a14">
      <xdr:twoCellAnchor editAs="oneCell">
        <xdr:from>
          <xdr:col>3</xdr:col>
          <xdr:colOff>66675</xdr:colOff>
          <xdr:row>21</xdr:row>
          <xdr:rowOff>209550</xdr:rowOff>
        </xdr:from>
        <xdr:to>
          <xdr:col>3</xdr:col>
          <xdr:colOff>1447800</xdr:colOff>
          <xdr:row>21</xdr:row>
          <xdr:rowOff>828675</xdr:rowOff>
        </xdr:to>
        <xdr:sp macro="" textlink="">
          <xdr:nvSpPr>
            <xdr:cNvPr id="30730" name="Object 10" hidden="1">
              <a:extLst>
                <a:ext uri="{63B3BB69-23CF-44E3-9099-C40C66FF867C}">
                  <a14:compatExt spid="_x0000_s30730"/>
                </a:ext>
                <a:ext uri="{FF2B5EF4-FFF2-40B4-BE49-F238E27FC236}">
                  <a16:creationId xmlns:a16="http://schemas.microsoft.com/office/drawing/2014/main" id="{00000000-0008-0000-0000-00000A780000}"/>
                </a:ext>
              </a:extLst>
            </xdr:cNvPr>
            <xdr:cNvSpPr/>
          </xdr:nvSpPr>
          <xdr:spPr bwMode="auto">
            <a:xfrm>
              <a:off x="0" y="0"/>
              <a:ext cx="0" cy="0"/>
            </a:xfrm>
            <a:prstGeom prst="rect">
              <a:avLst/>
            </a:prstGeom>
            <a:solidFill>
              <a:srgbClr val="FFFFFF" mc:Ignorable="a14" a14:legacySpreadsheetColorIndex="65"/>
            </a:solidFill>
            <a:ln>
              <a:noFill/>
            </a:ln>
            <a:extLs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1657350</xdr:colOff>
          <xdr:row>21</xdr:row>
          <xdr:rowOff>295275</xdr:rowOff>
        </xdr:from>
        <xdr:to>
          <xdr:col>3</xdr:col>
          <xdr:colOff>2457450</xdr:colOff>
          <xdr:row>21</xdr:row>
          <xdr:rowOff>685800</xdr:rowOff>
        </xdr:to>
        <xdr:sp macro="" textlink="">
          <xdr:nvSpPr>
            <xdr:cNvPr id="30731" name="Object 11" hidden="1">
              <a:extLst>
                <a:ext uri="{63B3BB69-23CF-44E3-9099-C40C66FF867C}">
                  <a14:compatExt spid="_x0000_s30731"/>
                </a:ext>
                <a:ext uri="{FF2B5EF4-FFF2-40B4-BE49-F238E27FC236}">
                  <a16:creationId xmlns:a16="http://schemas.microsoft.com/office/drawing/2014/main" id="{00000000-0008-0000-0000-00000B780000}"/>
                </a:ext>
              </a:extLst>
            </xdr:cNvPr>
            <xdr:cNvSpPr/>
          </xdr:nvSpPr>
          <xdr:spPr bwMode="auto">
            <a:xfrm>
              <a:off x="0" y="0"/>
              <a:ext cx="0" cy="0"/>
            </a:xfrm>
            <a:prstGeom prst="rect">
              <a:avLst/>
            </a:prstGeom>
            <a:solidFill>
              <a:srgbClr val="FFFFFF" mc:Ignorable="a14" a14:legacySpreadsheetColorIndex="65"/>
            </a:solidFill>
            <a:ln>
              <a:noFill/>
            </a:ln>
            <a:extLs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704850</xdr:colOff>
          <xdr:row>28</xdr:row>
          <xdr:rowOff>361950</xdr:rowOff>
        </xdr:from>
        <xdr:to>
          <xdr:col>3</xdr:col>
          <xdr:colOff>1657350</xdr:colOff>
          <xdr:row>28</xdr:row>
          <xdr:rowOff>809625</xdr:rowOff>
        </xdr:to>
        <xdr:sp macro="" textlink="">
          <xdr:nvSpPr>
            <xdr:cNvPr id="30732" name="Object 12" hidden="1">
              <a:extLst>
                <a:ext uri="{63B3BB69-23CF-44E3-9099-C40C66FF867C}">
                  <a14:compatExt spid="_x0000_s30732"/>
                </a:ext>
                <a:ext uri="{FF2B5EF4-FFF2-40B4-BE49-F238E27FC236}">
                  <a16:creationId xmlns:a16="http://schemas.microsoft.com/office/drawing/2014/main" id="{00000000-0008-0000-0000-00000C780000}"/>
                </a:ext>
              </a:extLst>
            </xdr:cNvPr>
            <xdr:cNvSpPr/>
          </xdr:nvSpPr>
          <xdr:spPr bwMode="auto">
            <a:xfrm>
              <a:off x="0" y="0"/>
              <a:ext cx="0" cy="0"/>
            </a:xfrm>
            <a:prstGeom prst="rect">
              <a:avLst/>
            </a:prstGeom>
            <a:solidFill>
              <a:srgbClr val="FFFFFF" mc:Ignorable="a14" a14:legacySpreadsheetColorIndex="65"/>
            </a:solidFill>
            <a:ln>
              <a:noFill/>
            </a:ln>
            <a:extLs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619125</xdr:colOff>
          <xdr:row>29</xdr:row>
          <xdr:rowOff>752475</xdr:rowOff>
        </xdr:from>
        <xdr:to>
          <xdr:col>3</xdr:col>
          <xdr:colOff>1657350</xdr:colOff>
          <xdr:row>29</xdr:row>
          <xdr:rowOff>1171575</xdr:rowOff>
        </xdr:to>
        <xdr:sp macro="" textlink="">
          <xdr:nvSpPr>
            <xdr:cNvPr id="30733" name="Object 13" hidden="1">
              <a:extLst>
                <a:ext uri="{63B3BB69-23CF-44E3-9099-C40C66FF867C}">
                  <a14:compatExt spid="_x0000_s30733"/>
                </a:ext>
                <a:ext uri="{FF2B5EF4-FFF2-40B4-BE49-F238E27FC236}">
                  <a16:creationId xmlns:a16="http://schemas.microsoft.com/office/drawing/2014/main" id="{00000000-0008-0000-0000-00000D780000}"/>
                </a:ext>
              </a:extLst>
            </xdr:cNvPr>
            <xdr:cNvSpPr/>
          </xdr:nvSpPr>
          <xdr:spPr bwMode="auto">
            <a:xfrm>
              <a:off x="0" y="0"/>
              <a:ext cx="0" cy="0"/>
            </a:xfrm>
            <a:prstGeom prst="rect">
              <a:avLst/>
            </a:prstGeom>
            <a:solidFill>
              <a:srgbClr val="FFFFFF" mc:Ignorable="a14" a14:legacySpreadsheetColorIndex="65"/>
            </a:solidFill>
            <a:ln>
              <a:noFill/>
            </a:ln>
            <a:extLs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editAs="oneCell">
    <xdr:from>
      <xdr:col>1</xdr:col>
      <xdr:colOff>140805</xdr:colOff>
      <xdr:row>23</xdr:row>
      <xdr:rowOff>57978</xdr:rowOff>
    </xdr:from>
    <xdr:to>
      <xdr:col>1</xdr:col>
      <xdr:colOff>908141</xdr:colOff>
      <xdr:row>27</xdr:row>
      <xdr:rowOff>60735</xdr:rowOff>
    </xdr:to>
    <xdr:pic>
      <xdr:nvPicPr>
        <xdr:cNvPr id="17" name="Imagen 16">
          <a:extLst>
            <a:ext uri="{FF2B5EF4-FFF2-40B4-BE49-F238E27FC236}">
              <a16:creationId xmlns:a16="http://schemas.microsoft.com/office/drawing/2014/main" id="{00000000-0008-0000-0000-00001100000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321780" y="9392478"/>
          <a:ext cx="755906" cy="841250"/>
        </a:xfrm>
        <a:prstGeom prst="rect">
          <a:avLst/>
        </a:prstGeom>
      </xdr:spPr>
    </xdr:pic>
    <xdr:clientData/>
  </xdr:twoCellAnchor>
  <xdr:twoCellAnchor editAs="oneCell">
    <xdr:from>
      <xdr:col>1</xdr:col>
      <xdr:colOff>911087</xdr:colOff>
      <xdr:row>23</xdr:row>
      <xdr:rowOff>57977</xdr:rowOff>
    </xdr:from>
    <xdr:to>
      <xdr:col>2</xdr:col>
      <xdr:colOff>606156</xdr:colOff>
      <xdr:row>27</xdr:row>
      <xdr:rowOff>60734</xdr:rowOff>
    </xdr:to>
    <xdr:pic>
      <xdr:nvPicPr>
        <xdr:cNvPr id="18" name="Imagen 17">
          <a:extLst>
            <a:ext uri="{FF2B5EF4-FFF2-40B4-BE49-F238E27FC236}">
              <a16:creationId xmlns:a16="http://schemas.microsoft.com/office/drawing/2014/main" id="{00000000-0008-0000-0000-000012000000}"/>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1092062" y="9392477"/>
          <a:ext cx="754249" cy="841250"/>
        </a:xfrm>
        <a:prstGeom prst="rect">
          <a:avLst/>
        </a:prstGeom>
      </xdr:spPr>
    </xdr:pic>
    <xdr:clientData/>
  </xdr:twoCellAnchor>
  <mc:AlternateContent xmlns:mc="http://schemas.openxmlformats.org/markup-compatibility/2006">
    <mc:Choice xmlns:a14="http://schemas.microsoft.com/office/drawing/2010/main" Requires="a14">
      <xdr:twoCellAnchor editAs="oneCell">
        <xdr:from>
          <xdr:col>3</xdr:col>
          <xdr:colOff>714375</xdr:colOff>
          <xdr:row>30</xdr:row>
          <xdr:rowOff>1047750</xdr:rowOff>
        </xdr:from>
        <xdr:to>
          <xdr:col>3</xdr:col>
          <xdr:colOff>1571625</xdr:colOff>
          <xdr:row>30</xdr:row>
          <xdr:rowOff>1504950</xdr:rowOff>
        </xdr:to>
        <xdr:sp macro="" textlink="">
          <xdr:nvSpPr>
            <xdr:cNvPr id="30734" name="Object 14" hidden="1">
              <a:extLst>
                <a:ext uri="{63B3BB69-23CF-44E3-9099-C40C66FF867C}">
                  <a14:compatExt spid="_x0000_s30734"/>
                </a:ext>
                <a:ext uri="{FF2B5EF4-FFF2-40B4-BE49-F238E27FC236}">
                  <a16:creationId xmlns:a16="http://schemas.microsoft.com/office/drawing/2014/main" id="{00000000-0008-0000-0000-00000E780000}"/>
                </a:ext>
              </a:extLst>
            </xdr:cNvPr>
            <xdr:cNvSpPr/>
          </xdr:nvSpPr>
          <xdr:spPr bwMode="auto">
            <a:xfrm>
              <a:off x="0" y="0"/>
              <a:ext cx="0" cy="0"/>
            </a:xfrm>
            <a:prstGeom prst="rect">
              <a:avLst/>
            </a:prstGeom>
            <a:solidFill>
              <a:srgbClr val="FFFFFF" mc:Ignorable="a14" a14:legacySpreadsheetColorIndex="65"/>
            </a:solidFill>
            <a:ln>
              <a:noFill/>
            </a:ln>
            <a:extLs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838200</xdr:colOff>
          <xdr:row>31</xdr:row>
          <xdr:rowOff>152400</xdr:rowOff>
        </xdr:from>
        <xdr:to>
          <xdr:col>3</xdr:col>
          <xdr:colOff>1371600</xdr:colOff>
          <xdr:row>31</xdr:row>
          <xdr:rowOff>571500</xdr:rowOff>
        </xdr:to>
        <xdr:sp macro="" textlink="">
          <xdr:nvSpPr>
            <xdr:cNvPr id="30735" name="Object 15" hidden="1">
              <a:extLst>
                <a:ext uri="{63B3BB69-23CF-44E3-9099-C40C66FF867C}">
                  <a14:compatExt spid="_x0000_s30735"/>
                </a:ext>
                <a:ext uri="{FF2B5EF4-FFF2-40B4-BE49-F238E27FC236}">
                  <a16:creationId xmlns:a16="http://schemas.microsoft.com/office/drawing/2014/main" id="{00000000-0008-0000-0000-00000F780000}"/>
                </a:ext>
              </a:extLst>
            </xdr:cNvPr>
            <xdr:cNvSpPr/>
          </xdr:nvSpPr>
          <xdr:spPr bwMode="auto">
            <a:xfrm>
              <a:off x="0" y="0"/>
              <a:ext cx="0" cy="0"/>
            </a:xfrm>
            <a:prstGeom prst="rect">
              <a:avLst/>
            </a:prstGeom>
            <a:solidFill>
              <a:srgbClr val="FFFFFF" mc:Ignorable="a14" a14:legacySpreadsheetColorIndex="65"/>
            </a:solidFill>
            <a:ln>
              <a:noFill/>
            </a:ln>
            <a:extLs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editAs="oneCell">
    <xdr:from>
      <xdr:col>3</xdr:col>
      <xdr:colOff>902255</xdr:colOff>
      <xdr:row>23</xdr:row>
      <xdr:rowOff>73220</xdr:rowOff>
    </xdr:from>
    <xdr:to>
      <xdr:col>3</xdr:col>
      <xdr:colOff>1671496</xdr:colOff>
      <xdr:row>27</xdr:row>
      <xdr:rowOff>60737</xdr:rowOff>
    </xdr:to>
    <xdr:pic>
      <xdr:nvPicPr>
        <xdr:cNvPr id="21" name="Imagen 20">
          <a:extLst>
            <a:ext uri="{FF2B5EF4-FFF2-40B4-BE49-F238E27FC236}">
              <a16:creationId xmlns:a16="http://schemas.microsoft.com/office/drawing/2014/main" id="{00000000-0008-0000-0000-000015000000}"/>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6904470" y="9463405"/>
          <a:ext cx="765431" cy="849163"/>
        </a:xfrm>
        <a:prstGeom prst="rect">
          <a:avLst/>
        </a:prstGeom>
      </xdr:spPr>
    </xdr:pic>
    <xdr:clientData/>
  </xdr:twoCellAnchor>
  <xdr:twoCellAnchor editAs="oneCell">
    <xdr:from>
      <xdr:col>3</xdr:col>
      <xdr:colOff>1702438</xdr:colOff>
      <xdr:row>23</xdr:row>
      <xdr:rowOff>42078</xdr:rowOff>
    </xdr:from>
    <xdr:to>
      <xdr:col>3</xdr:col>
      <xdr:colOff>2465964</xdr:colOff>
      <xdr:row>27</xdr:row>
      <xdr:rowOff>60075</xdr:rowOff>
    </xdr:to>
    <xdr:pic>
      <xdr:nvPicPr>
        <xdr:cNvPr id="22" name="Imagen 21">
          <a:extLst>
            <a:ext uri="{FF2B5EF4-FFF2-40B4-BE49-F238E27FC236}">
              <a16:creationId xmlns:a16="http://schemas.microsoft.com/office/drawing/2014/main" id="{00000000-0008-0000-0000-000016000000}"/>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7704653" y="9432263"/>
          <a:ext cx="757811" cy="879643"/>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31</xdr:col>
          <xdr:colOff>114300</xdr:colOff>
          <xdr:row>9</xdr:row>
          <xdr:rowOff>66675</xdr:rowOff>
        </xdr:from>
        <xdr:to>
          <xdr:col>31</xdr:col>
          <xdr:colOff>1514475</xdr:colOff>
          <xdr:row>11</xdr:row>
          <xdr:rowOff>171450</xdr:rowOff>
        </xdr:to>
        <xdr:sp macro="" textlink="">
          <xdr:nvSpPr>
            <xdr:cNvPr id="25683" name="Object 83" hidden="1">
              <a:extLst>
                <a:ext uri="{63B3BB69-23CF-44E3-9099-C40C66FF867C}">
                  <a14:compatExt spid="_x0000_s25683"/>
                </a:ext>
                <a:ext uri="{FF2B5EF4-FFF2-40B4-BE49-F238E27FC236}">
                  <a16:creationId xmlns:a16="http://schemas.microsoft.com/office/drawing/2014/main" id="{00000000-0008-0000-0100-000053640000}"/>
                </a:ext>
              </a:extLst>
            </xdr:cNvPr>
            <xdr:cNvSpPr/>
          </xdr:nvSpPr>
          <xdr:spPr bwMode="auto">
            <a:xfrm>
              <a:off x="0" y="0"/>
              <a:ext cx="0" cy="0"/>
            </a:xfrm>
            <a:prstGeom prst="rect">
              <a:avLst/>
            </a:prstGeom>
            <a:solidFill>
              <a:srgbClr val="FFFFFF" mc:Ignorable="a14" a14:legacySpreadsheetColorIndex="65"/>
            </a:solidFill>
            <a:ln>
              <a:noFill/>
            </a:ln>
            <a:extLs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35</xdr:col>
          <xdr:colOff>85725</xdr:colOff>
          <xdr:row>9</xdr:row>
          <xdr:rowOff>57150</xdr:rowOff>
        </xdr:from>
        <xdr:to>
          <xdr:col>35</xdr:col>
          <xdr:colOff>1390650</xdr:colOff>
          <xdr:row>11</xdr:row>
          <xdr:rowOff>161925</xdr:rowOff>
        </xdr:to>
        <xdr:sp macro="" textlink="">
          <xdr:nvSpPr>
            <xdr:cNvPr id="25685" name="Object 85" hidden="1">
              <a:extLst>
                <a:ext uri="{63B3BB69-23CF-44E3-9099-C40C66FF867C}">
                  <a14:compatExt spid="_x0000_s25685"/>
                </a:ext>
                <a:ext uri="{FF2B5EF4-FFF2-40B4-BE49-F238E27FC236}">
                  <a16:creationId xmlns:a16="http://schemas.microsoft.com/office/drawing/2014/main" id="{00000000-0008-0000-0100-000055640000}"/>
                </a:ext>
              </a:extLst>
            </xdr:cNvPr>
            <xdr:cNvSpPr/>
          </xdr:nvSpPr>
          <xdr:spPr bwMode="auto">
            <a:xfrm>
              <a:off x="0" y="0"/>
              <a:ext cx="0" cy="0"/>
            </a:xfrm>
            <a:prstGeom prst="rect">
              <a:avLst/>
            </a:prstGeom>
            <a:solidFill>
              <a:srgbClr val="FFFFFF" mc:Ignorable="a14" a14:legacySpreadsheetColorIndex="65"/>
            </a:solidFill>
            <a:ln>
              <a:noFill/>
            </a:ln>
            <a:extLs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34</xdr:col>
          <xdr:colOff>104775</xdr:colOff>
          <xdr:row>9</xdr:row>
          <xdr:rowOff>66675</xdr:rowOff>
        </xdr:from>
        <xdr:to>
          <xdr:col>34</xdr:col>
          <xdr:colOff>1485900</xdr:colOff>
          <xdr:row>11</xdr:row>
          <xdr:rowOff>180975</xdr:rowOff>
        </xdr:to>
        <xdr:sp macro="" textlink="">
          <xdr:nvSpPr>
            <xdr:cNvPr id="25687" name="Object 87" hidden="1">
              <a:extLst>
                <a:ext uri="{63B3BB69-23CF-44E3-9099-C40C66FF867C}">
                  <a14:compatExt spid="_x0000_s25687"/>
                </a:ext>
                <a:ext uri="{FF2B5EF4-FFF2-40B4-BE49-F238E27FC236}">
                  <a16:creationId xmlns:a16="http://schemas.microsoft.com/office/drawing/2014/main" id="{00000000-0008-0000-0100-000057640000}"/>
                </a:ext>
              </a:extLst>
            </xdr:cNvPr>
            <xdr:cNvSpPr/>
          </xdr:nvSpPr>
          <xdr:spPr bwMode="auto">
            <a:xfrm>
              <a:off x="0" y="0"/>
              <a:ext cx="0" cy="0"/>
            </a:xfrm>
            <a:prstGeom prst="rect">
              <a:avLst/>
            </a:prstGeom>
            <a:solidFill>
              <a:srgbClr val="FFFFFF" mc:Ignorable="a14" a14:legacySpreadsheetColorIndex="65"/>
            </a:solidFill>
            <a:ln>
              <a:noFill/>
            </a:ln>
            <a:extLs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29</xdr:col>
          <xdr:colOff>133350</xdr:colOff>
          <xdr:row>9</xdr:row>
          <xdr:rowOff>180975</xdr:rowOff>
        </xdr:from>
        <xdr:to>
          <xdr:col>29</xdr:col>
          <xdr:colOff>1085850</xdr:colOff>
          <xdr:row>11</xdr:row>
          <xdr:rowOff>28575</xdr:rowOff>
        </xdr:to>
        <xdr:sp macro="" textlink="">
          <xdr:nvSpPr>
            <xdr:cNvPr id="25688" name="Object 88" hidden="1">
              <a:extLst>
                <a:ext uri="{63B3BB69-23CF-44E3-9099-C40C66FF867C}">
                  <a14:compatExt spid="_x0000_s25688"/>
                </a:ext>
                <a:ext uri="{FF2B5EF4-FFF2-40B4-BE49-F238E27FC236}">
                  <a16:creationId xmlns:a16="http://schemas.microsoft.com/office/drawing/2014/main" id="{00000000-0008-0000-0100-000058640000}"/>
                </a:ext>
              </a:extLst>
            </xdr:cNvPr>
            <xdr:cNvSpPr/>
          </xdr:nvSpPr>
          <xdr:spPr bwMode="auto">
            <a:xfrm>
              <a:off x="0" y="0"/>
              <a:ext cx="0" cy="0"/>
            </a:xfrm>
            <a:prstGeom prst="rect">
              <a:avLst/>
            </a:prstGeom>
            <a:solidFill>
              <a:srgbClr val="FFFFFF" mc:Ignorable="a14" a14:legacySpreadsheetColorIndex="65"/>
            </a:solidFill>
            <a:ln>
              <a:noFill/>
            </a:ln>
            <a:extLs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30</xdr:col>
          <xdr:colOff>142875</xdr:colOff>
          <xdr:row>9</xdr:row>
          <xdr:rowOff>28575</xdr:rowOff>
        </xdr:from>
        <xdr:to>
          <xdr:col>30</xdr:col>
          <xdr:colOff>1362075</xdr:colOff>
          <xdr:row>11</xdr:row>
          <xdr:rowOff>152400</xdr:rowOff>
        </xdr:to>
        <xdr:sp macro="" textlink="">
          <xdr:nvSpPr>
            <xdr:cNvPr id="25689" name="Object 89" hidden="1">
              <a:extLst>
                <a:ext uri="{63B3BB69-23CF-44E3-9099-C40C66FF867C}">
                  <a14:compatExt spid="_x0000_s25689"/>
                </a:ext>
                <a:ext uri="{FF2B5EF4-FFF2-40B4-BE49-F238E27FC236}">
                  <a16:creationId xmlns:a16="http://schemas.microsoft.com/office/drawing/2014/main" id="{00000000-0008-0000-0100-000059640000}"/>
                </a:ext>
              </a:extLst>
            </xdr:cNvPr>
            <xdr:cNvSpPr/>
          </xdr:nvSpPr>
          <xdr:spPr bwMode="auto">
            <a:xfrm>
              <a:off x="0" y="0"/>
              <a:ext cx="0" cy="0"/>
            </a:xfrm>
            <a:prstGeom prst="rect">
              <a:avLst/>
            </a:prstGeom>
            <a:solidFill>
              <a:srgbClr val="FFFFFF" mc:Ignorable="a14" a14:legacySpreadsheetColorIndex="65"/>
            </a:solidFill>
            <a:ln>
              <a:noFill/>
            </a:ln>
            <a:extLs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32</xdr:col>
          <xdr:colOff>133350</xdr:colOff>
          <xdr:row>9</xdr:row>
          <xdr:rowOff>57150</xdr:rowOff>
        </xdr:from>
        <xdr:to>
          <xdr:col>32</xdr:col>
          <xdr:colOff>1400175</xdr:colOff>
          <xdr:row>12</xdr:row>
          <xdr:rowOff>9525</xdr:rowOff>
        </xdr:to>
        <xdr:sp macro="" textlink="">
          <xdr:nvSpPr>
            <xdr:cNvPr id="25690" name="Object 90" hidden="1">
              <a:extLst>
                <a:ext uri="{63B3BB69-23CF-44E3-9099-C40C66FF867C}">
                  <a14:compatExt spid="_x0000_s25690"/>
                </a:ext>
                <a:ext uri="{FF2B5EF4-FFF2-40B4-BE49-F238E27FC236}">
                  <a16:creationId xmlns:a16="http://schemas.microsoft.com/office/drawing/2014/main" id="{00000000-0008-0000-0100-00005A640000}"/>
                </a:ext>
              </a:extLst>
            </xdr:cNvPr>
            <xdr:cNvSpPr/>
          </xdr:nvSpPr>
          <xdr:spPr bwMode="auto">
            <a:xfrm>
              <a:off x="0" y="0"/>
              <a:ext cx="0" cy="0"/>
            </a:xfrm>
            <a:prstGeom prst="rect">
              <a:avLst/>
            </a:prstGeom>
            <a:solidFill>
              <a:srgbClr val="FFFFFF" mc:Ignorable="a14" a14:legacySpreadsheetColorIndex="65"/>
            </a:solidFill>
            <a:ln>
              <a:noFill/>
            </a:ln>
            <a:extLs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33</xdr:col>
          <xdr:colOff>85725</xdr:colOff>
          <xdr:row>10</xdr:row>
          <xdr:rowOff>47625</xdr:rowOff>
        </xdr:from>
        <xdr:to>
          <xdr:col>33</xdr:col>
          <xdr:colOff>2162175</xdr:colOff>
          <xdr:row>11</xdr:row>
          <xdr:rowOff>76200</xdr:rowOff>
        </xdr:to>
        <xdr:sp macro="" textlink="">
          <xdr:nvSpPr>
            <xdr:cNvPr id="25691" name="Object 91" hidden="1">
              <a:extLst>
                <a:ext uri="{63B3BB69-23CF-44E3-9099-C40C66FF867C}">
                  <a14:compatExt spid="_x0000_s25691"/>
                </a:ext>
                <a:ext uri="{FF2B5EF4-FFF2-40B4-BE49-F238E27FC236}">
                  <a16:creationId xmlns:a16="http://schemas.microsoft.com/office/drawing/2014/main" id="{00000000-0008-0000-0100-00005B640000}"/>
                </a:ext>
              </a:extLst>
            </xdr:cNvPr>
            <xdr:cNvSpPr/>
          </xdr:nvSpPr>
          <xdr:spPr bwMode="auto">
            <a:xfrm>
              <a:off x="0" y="0"/>
              <a:ext cx="0" cy="0"/>
            </a:xfrm>
            <a:prstGeom prst="rect">
              <a:avLst/>
            </a:prstGeom>
            <a:solidFill>
              <a:srgbClr val="FFFFFF" mc:Ignorable="a14" a14:legacySpreadsheetColorIndex="65"/>
            </a:solidFill>
            <a:ln>
              <a:noFill/>
            </a:ln>
            <a:extLs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28</xdr:col>
          <xdr:colOff>114300</xdr:colOff>
          <xdr:row>9</xdr:row>
          <xdr:rowOff>66675</xdr:rowOff>
        </xdr:from>
        <xdr:to>
          <xdr:col>28</xdr:col>
          <xdr:colOff>2362200</xdr:colOff>
          <xdr:row>11</xdr:row>
          <xdr:rowOff>142875</xdr:rowOff>
        </xdr:to>
        <xdr:sp macro="" textlink="">
          <xdr:nvSpPr>
            <xdr:cNvPr id="25698" name="Object 98" hidden="1">
              <a:extLst>
                <a:ext uri="{63B3BB69-23CF-44E3-9099-C40C66FF867C}">
                  <a14:compatExt spid="_x0000_s25698"/>
                </a:ext>
                <a:ext uri="{FF2B5EF4-FFF2-40B4-BE49-F238E27FC236}">
                  <a16:creationId xmlns:a16="http://schemas.microsoft.com/office/drawing/2014/main" id="{00000000-0008-0000-0100-000062640000}"/>
                </a:ext>
              </a:extLst>
            </xdr:cNvPr>
            <xdr:cNvSpPr/>
          </xdr:nvSpPr>
          <xdr:spPr bwMode="auto">
            <a:xfrm>
              <a:off x="0" y="0"/>
              <a:ext cx="0" cy="0"/>
            </a:xfrm>
            <a:prstGeom prst="rect">
              <a:avLst/>
            </a:prstGeom>
            <a:solidFill>
              <a:srgbClr val="FFFFFF" mc:Ignorable="a14" a14:legacySpreadsheetColorIndex="65"/>
            </a:solidFill>
            <a:ln>
              <a:noFill/>
            </a:ln>
            <a:extLs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editAs="oneCell">
    <xdr:from>
      <xdr:col>12</xdr:col>
      <xdr:colOff>1747115</xdr:colOff>
      <xdr:row>2</xdr:row>
      <xdr:rowOff>22102</xdr:rowOff>
    </xdr:from>
    <xdr:to>
      <xdr:col>12</xdr:col>
      <xdr:colOff>2175256</xdr:colOff>
      <xdr:row>3</xdr:row>
      <xdr:rowOff>186768</xdr:rowOff>
    </xdr:to>
    <xdr:pic>
      <xdr:nvPicPr>
        <xdr:cNvPr id="6" name="Imagen 5">
          <a:extLst>
            <a:ext uri="{FF2B5EF4-FFF2-40B4-BE49-F238E27FC236}">
              <a16:creationId xmlns:a16="http://schemas.microsoft.com/office/drawing/2014/main" id="{00000000-0008-0000-0100-000006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0612819" y="340154"/>
          <a:ext cx="428141" cy="477914"/>
        </a:xfrm>
        <a:prstGeom prst="rect">
          <a:avLst/>
        </a:prstGeom>
      </xdr:spPr>
    </xdr:pic>
    <xdr:clientData/>
  </xdr:twoCellAnchor>
  <xdr:twoCellAnchor editAs="oneCell">
    <xdr:from>
      <xdr:col>13</xdr:col>
      <xdr:colOff>1047750</xdr:colOff>
      <xdr:row>2</xdr:row>
      <xdr:rowOff>29307</xdr:rowOff>
    </xdr:from>
    <xdr:to>
      <xdr:col>13</xdr:col>
      <xdr:colOff>1481606</xdr:colOff>
      <xdr:row>3</xdr:row>
      <xdr:rowOff>186353</xdr:rowOff>
    </xdr:to>
    <xdr:pic>
      <xdr:nvPicPr>
        <xdr:cNvPr id="8" name="Imagen 7">
          <a:extLst>
            <a:ext uri="{FF2B5EF4-FFF2-40B4-BE49-F238E27FC236}">
              <a16:creationId xmlns:a16="http://schemas.microsoft.com/office/drawing/2014/main" id="{00000000-0008-0000-0100-000008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9378462" y="351692"/>
          <a:ext cx="420521" cy="468000"/>
        </a:xfrm>
        <a:prstGeom prst="rect">
          <a:avLst/>
        </a:prstGeom>
      </xdr:spPr>
    </xdr:pic>
    <xdr:clientData/>
  </xdr:twoCellAnchor>
  <xdr:twoCellAnchor editAs="oneCell">
    <xdr:from>
      <xdr:col>31</xdr:col>
      <xdr:colOff>430695</xdr:colOff>
      <xdr:row>2</xdr:row>
      <xdr:rowOff>24848</xdr:rowOff>
    </xdr:from>
    <xdr:to>
      <xdr:col>31</xdr:col>
      <xdr:colOff>841692</xdr:colOff>
      <xdr:row>3</xdr:row>
      <xdr:rowOff>186971</xdr:rowOff>
    </xdr:to>
    <xdr:pic>
      <xdr:nvPicPr>
        <xdr:cNvPr id="14" name="Imagen 13">
          <a:extLst>
            <a:ext uri="{FF2B5EF4-FFF2-40B4-BE49-F238E27FC236}">
              <a16:creationId xmlns:a16="http://schemas.microsoft.com/office/drawing/2014/main" id="{00000000-0008-0000-0100-00000E00000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7026152" y="356152"/>
          <a:ext cx="420522" cy="468000"/>
        </a:xfrm>
        <a:prstGeom prst="rect">
          <a:avLst/>
        </a:prstGeom>
      </xdr:spPr>
    </xdr:pic>
    <xdr:clientData/>
  </xdr:twoCellAnchor>
  <mc:AlternateContent xmlns:mc="http://schemas.openxmlformats.org/markup-compatibility/2006">
    <mc:Choice xmlns:a14="http://schemas.microsoft.com/office/drawing/2010/main" Requires="a14">
      <xdr:twoCellAnchor editAs="oneCell">
        <xdr:from>
          <xdr:col>14</xdr:col>
          <xdr:colOff>209550</xdr:colOff>
          <xdr:row>9</xdr:row>
          <xdr:rowOff>133350</xdr:rowOff>
        </xdr:from>
        <xdr:to>
          <xdr:col>14</xdr:col>
          <xdr:colOff>1009650</xdr:colOff>
          <xdr:row>11</xdr:row>
          <xdr:rowOff>19050</xdr:rowOff>
        </xdr:to>
        <xdr:sp macro="" textlink="">
          <xdr:nvSpPr>
            <xdr:cNvPr id="25699" name="Object 99" hidden="1">
              <a:extLst>
                <a:ext uri="{63B3BB69-23CF-44E3-9099-C40C66FF867C}">
                  <a14:compatExt spid="_x0000_s25699"/>
                </a:ext>
                <a:ext uri="{FF2B5EF4-FFF2-40B4-BE49-F238E27FC236}">
                  <a16:creationId xmlns:a16="http://schemas.microsoft.com/office/drawing/2014/main" id="{00000000-0008-0000-0100-000063640000}"/>
                </a:ext>
              </a:extLst>
            </xdr:cNvPr>
            <xdr:cNvSpPr/>
          </xdr:nvSpPr>
          <xdr:spPr bwMode="auto">
            <a:xfrm>
              <a:off x="0" y="0"/>
              <a:ext cx="0" cy="0"/>
            </a:xfrm>
            <a:prstGeom prst="rect">
              <a:avLst/>
            </a:prstGeom>
            <a:solidFill>
              <a:srgbClr val="FFFFFF" mc:Ignorable="a14" a14:legacySpreadsheetColorIndex="65"/>
            </a:solidFill>
            <a:ln>
              <a:noFill/>
            </a:ln>
            <a:extLs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15</xdr:col>
          <xdr:colOff>114300</xdr:colOff>
          <xdr:row>9</xdr:row>
          <xdr:rowOff>0</xdr:rowOff>
        </xdr:from>
        <xdr:to>
          <xdr:col>15</xdr:col>
          <xdr:colOff>1485900</xdr:colOff>
          <xdr:row>12</xdr:row>
          <xdr:rowOff>19050</xdr:rowOff>
        </xdr:to>
        <xdr:sp macro="" textlink="">
          <xdr:nvSpPr>
            <xdr:cNvPr id="25700" name="Object 100" hidden="1">
              <a:extLst>
                <a:ext uri="{63B3BB69-23CF-44E3-9099-C40C66FF867C}">
                  <a14:compatExt spid="_x0000_s25700"/>
                </a:ext>
                <a:ext uri="{FF2B5EF4-FFF2-40B4-BE49-F238E27FC236}">
                  <a16:creationId xmlns:a16="http://schemas.microsoft.com/office/drawing/2014/main" id="{00000000-0008-0000-0100-000064640000}"/>
                </a:ext>
              </a:extLst>
            </xdr:cNvPr>
            <xdr:cNvSpPr/>
          </xdr:nvSpPr>
          <xdr:spPr bwMode="auto">
            <a:xfrm>
              <a:off x="0" y="0"/>
              <a:ext cx="0" cy="0"/>
            </a:xfrm>
            <a:prstGeom prst="rect">
              <a:avLst/>
            </a:prstGeom>
            <a:solidFill>
              <a:srgbClr val="FFFFFF" mc:Ignorable="a14" a14:legacySpreadsheetColorIndex="65"/>
            </a:solidFill>
            <a:ln>
              <a:noFill/>
            </a:ln>
            <a:extLs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37</xdr:col>
          <xdr:colOff>114300</xdr:colOff>
          <xdr:row>9</xdr:row>
          <xdr:rowOff>95250</xdr:rowOff>
        </xdr:from>
        <xdr:to>
          <xdr:col>37</xdr:col>
          <xdr:colOff>1152525</xdr:colOff>
          <xdr:row>11</xdr:row>
          <xdr:rowOff>123825</xdr:rowOff>
        </xdr:to>
        <xdr:sp macro="" textlink="">
          <xdr:nvSpPr>
            <xdr:cNvPr id="25702" name="Object 102" hidden="1">
              <a:extLst>
                <a:ext uri="{63B3BB69-23CF-44E3-9099-C40C66FF867C}">
                  <a14:compatExt spid="_x0000_s25702"/>
                </a:ext>
                <a:ext uri="{FF2B5EF4-FFF2-40B4-BE49-F238E27FC236}">
                  <a16:creationId xmlns:a16="http://schemas.microsoft.com/office/drawing/2014/main" id="{00000000-0008-0000-0100-000066640000}"/>
                </a:ext>
              </a:extLst>
            </xdr:cNvPr>
            <xdr:cNvSpPr/>
          </xdr:nvSpPr>
          <xdr:spPr bwMode="auto">
            <a:xfrm>
              <a:off x="0" y="0"/>
              <a:ext cx="0" cy="0"/>
            </a:xfrm>
            <a:prstGeom prst="rect">
              <a:avLst/>
            </a:prstGeom>
            <a:solidFill>
              <a:srgbClr val="FFFFFF" mc:Ignorable="a14" a14:legacySpreadsheetColorIndex="65"/>
            </a:solidFill>
            <a:ln>
              <a:noFill/>
            </a:ln>
            <a:extLs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38</xdr:col>
          <xdr:colOff>114300</xdr:colOff>
          <xdr:row>9</xdr:row>
          <xdr:rowOff>104775</xdr:rowOff>
        </xdr:from>
        <xdr:to>
          <xdr:col>38</xdr:col>
          <xdr:colOff>971550</xdr:colOff>
          <xdr:row>11</xdr:row>
          <xdr:rowOff>171450</xdr:rowOff>
        </xdr:to>
        <xdr:sp macro="" textlink="">
          <xdr:nvSpPr>
            <xdr:cNvPr id="25703" name="Object 103" hidden="1">
              <a:extLst>
                <a:ext uri="{63B3BB69-23CF-44E3-9099-C40C66FF867C}">
                  <a14:compatExt spid="_x0000_s25703"/>
                </a:ext>
                <a:ext uri="{FF2B5EF4-FFF2-40B4-BE49-F238E27FC236}">
                  <a16:creationId xmlns:a16="http://schemas.microsoft.com/office/drawing/2014/main" id="{00000000-0008-0000-0100-000067640000}"/>
                </a:ext>
              </a:extLst>
            </xdr:cNvPr>
            <xdr:cNvSpPr/>
          </xdr:nvSpPr>
          <xdr:spPr bwMode="auto">
            <a:xfrm>
              <a:off x="0" y="0"/>
              <a:ext cx="0" cy="0"/>
            </a:xfrm>
            <a:prstGeom prst="rect">
              <a:avLst/>
            </a:prstGeom>
            <a:solidFill>
              <a:srgbClr val="FFFFFF" mc:Ignorable="a14" a14:legacySpreadsheetColorIndex="65"/>
            </a:solidFill>
            <a:ln>
              <a:noFill/>
            </a:ln>
            <a:extLs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editAs="oneCell">
    <xdr:from>
      <xdr:col>36</xdr:col>
      <xdr:colOff>41415</xdr:colOff>
      <xdr:row>2</xdr:row>
      <xdr:rowOff>24848</xdr:rowOff>
    </xdr:from>
    <xdr:to>
      <xdr:col>36</xdr:col>
      <xdr:colOff>461937</xdr:colOff>
      <xdr:row>3</xdr:row>
      <xdr:rowOff>186971</xdr:rowOff>
    </xdr:to>
    <xdr:pic>
      <xdr:nvPicPr>
        <xdr:cNvPr id="36" name="Imagen 35">
          <a:extLst>
            <a:ext uri="{FF2B5EF4-FFF2-40B4-BE49-F238E27FC236}">
              <a16:creationId xmlns:a16="http://schemas.microsoft.com/office/drawing/2014/main" id="{00000000-0008-0000-0100-000024000000}"/>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35499263" y="356152"/>
          <a:ext cx="420522" cy="468000"/>
        </a:xfrm>
        <a:prstGeom prst="rect">
          <a:avLst/>
        </a:prstGeom>
      </xdr:spPr>
    </xdr:pic>
    <xdr:clientData/>
  </xdr:twoCellAnchor>
  <xdr:twoCellAnchor editAs="oneCell">
    <xdr:from>
      <xdr:col>36</xdr:col>
      <xdr:colOff>480398</xdr:colOff>
      <xdr:row>2</xdr:row>
      <xdr:rowOff>24847</xdr:rowOff>
    </xdr:from>
    <xdr:to>
      <xdr:col>36</xdr:col>
      <xdr:colOff>910445</xdr:colOff>
      <xdr:row>3</xdr:row>
      <xdr:rowOff>186970</xdr:rowOff>
    </xdr:to>
    <xdr:pic>
      <xdr:nvPicPr>
        <xdr:cNvPr id="37" name="Imagen 36">
          <a:extLst>
            <a:ext uri="{FF2B5EF4-FFF2-40B4-BE49-F238E27FC236}">
              <a16:creationId xmlns:a16="http://schemas.microsoft.com/office/drawing/2014/main" id="{00000000-0008-0000-0100-000025000000}"/>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35938246" y="356151"/>
          <a:ext cx="420522" cy="468000"/>
        </a:xfrm>
        <a:prstGeom prst="rect">
          <a:avLst/>
        </a:prstGeom>
      </xdr:spPr>
    </xdr:pic>
    <xdr:clientData/>
  </xdr:twoCellAnchor>
  <xdr:twoCellAnchor editAs="oneCell">
    <xdr:from>
      <xdr:col>36</xdr:col>
      <xdr:colOff>919372</xdr:colOff>
      <xdr:row>2</xdr:row>
      <xdr:rowOff>16565</xdr:rowOff>
    </xdr:from>
    <xdr:to>
      <xdr:col>37</xdr:col>
      <xdr:colOff>118541</xdr:colOff>
      <xdr:row>3</xdr:row>
      <xdr:rowOff>155828</xdr:rowOff>
    </xdr:to>
    <xdr:pic>
      <xdr:nvPicPr>
        <xdr:cNvPr id="38" name="Imagen 37">
          <a:extLst>
            <a:ext uri="{FF2B5EF4-FFF2-40B4-BE49-F238E27FC236}">
              <a16:creationId xmlns:a16="http://schemas.microsoft.com/office/drawing/2014/main" id="{00000000-0008-0000-0100-000026000000}"/>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36377220" y="347869"/>
          <a:ext cx="420522" cy="468000"/>
        </a:xfrm>
        <a:prstGeom prst="rect">
          <a:avLst/>
        </a:prstGeom>
      </xdr:spPr>
    </xdr:pic>
    <xdr:clientData/>
  </xdr:twoCellAnchor>
  <xdr:twoCellAnchor editAs="oneCell">
    <xdr:from>
      <xdr:col>37</xdr:col>
      <xdr:colOff>140807</xdr:colOff>
      <xdr:row>2</xdr:row>
      <xdr:rowOff>8283</xdr:rowOff>
    </xdr:from>
    <xdr:to>
      <xdr:col>37</xdr:col>
      <xdr:colOff>567044</xdr:colOff>
      <xdr:row>3</xdr:row>
      <xdr:rowOff>153261</xdr:rowOff>
    </xdr:to>
    <xdr:pic>
      <xdr:nvPicPr>
        <xdr:cNvPr id="39" name="Imagen 38">
          <a:extLst>
            <a:ext uri="{FF2B5EF4-FFF2-40B4-BE49-F238E27FC236}">
              <a16:creationId xmlns:a16="http://schemas.microsoft.com/office/drawing/2014/main" id="{00000000-0008-0000-0100-000027000000}"/>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36816198" y="339587"/>
          <a:ext cx="420522" cy="468000"/>
        </a:xfrm>
        <a:prstGeom prst="rect">
          <a:avLst/>
        </a:prstGeom>
      </xdr:spPr>
    </xdr:pic>
    <xdr:clientData/>
  </xdr:twoCellAnchor>
  <mc:AlternateContent xmlns:mc="http://schemas.openxmlformats.org/markup-compatibility/2006">
    <mc:Choice xmlns:a14="http://schemas.microsoft.com/office/drawing/2010/main" Requires="a14">
      <xdr:twoCellAnchor editAs="oneCell">
        <xdr:from>
          <xdr:col>39</xdr:col>
          <xdr:colOff>285750</xdr:colOff>
          <xdr:row>9</xdr:row>
          <xdr:rowOff>114300</xdr:rowOff>
        </xdr:from>
        <xdr:to>
          <xdr:col>39</xdr:col>
          <xdr:colOff>819150</xdr:colOff>
          <xdr:row>11</xdr:row>
          <xdr:rowOff>142875</xdr:rowOff>
        </xdr:to>
        <xdr:sp macro="" textlink="">
          <xdr:nvSpPr>
            <xdr:cNvPr id="25704" name="Object 104" hidden="1">
              <a:extLst>
                <a:ext uri="{63B3BB69-23CF-44E3-9099-C40C66FF867C}">
                  <a14:compatExt spid="_x0000_s25704"/>
                </a:ext>
                <a:ext uri="{FF2B5EF4-FFF2-40B4-BE49-F238E27FC236}">
                  <a16:creationId xmlns:a16="http://schemas.microsoft.com/office/drawing/2014/main" id="{00000000-0008-0000-0100-000068640000}"/>
                </a:ext>
              </a:extLst>
            </xdr:cNvPr>
            <xdr:cNvSpPr/>
          </xdr:nvSpPr>
          <xdr:spPr bwMode="auto">
            <a:xfrm>
              <a:off x="0" y="0"/>
              <a:ext cx="0" cy="0"/>
            </a:xfrm>
            <a:prstGeom prst="rect">
              <a:avLst/>
            </a:prstGeom>
            <a:solidFill>
              <a:srgbClr val="FFFFFF" mc:Ignorable="a14" a14:legacySpreadsheetColorIndex="65"/>
            </a:solidFill>
            <a:ln>
              <a:noFill/>
            </a:ln>
            <a:extLs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editAs="oneCell">
    <xdr:from>
      <xdr:col>15</xdr:col>
      <xdr:colOff>1159567</xdr:colOff>
      <xdr:row>2</xdr:row>
      <xdr:rowOff>24848</xdr:rowOff>
    </xdr:from>
    <xdr:to>
      <xdr:col>15</xdr:col>
      <xdr:colOff>1597234</xdr:colOff>
      <xdr:row>3</xdr:row>
      <xdr:rowOff>186971</xdr:rowOff>
    </xdr:to>
    <xdr:pic>
      <xdr:nvPicPr>
        <xdr:cNvPr id="41" name="Imagen 40">
          <a:extLst>
            <a:ext uri="{FF2B5EF4-FFF2-40B4-BE49-F238E27FC236}">
              <a16:creationId xmlns:a16="http://schemas.microsoft.com/office/drawing/2014/main" id="{00000000-0008-0000-0100-000029000000}"/>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12183719" y="356152"/>
          <a:ext cx="420522" cy="468000"/>
        </a:xfrm>
        <a:prstGeom prst="rect">
          <a:avLst/>
        </a:prstGeom>
      </xdr:spPr>
    </xdr:pic>
    <xdr:clientData/>
  </xdr:twoCellAnchor>
  <mc:AlternateContent xmlns:mc="http://schemas.openxmlformats.org/markup-compatibility/2006">
    <mc:Choice xmlns:a14="http://schemas.microsoft.com/office/drawing/2010/main" Requires="a14">
      <xdr:twoCellAnchor editAs="oneCell">
        <xdr:from>
          <xdr:col>10</xdr:col>
          <xdr:colOff>57150</xdr:colOff>
          <xdr:row>9</xdr:row>
          <xdr:rowOff>76200</xdr:rowOff>
        </xdr:from>
        <xdr:to>
          <xdr:col>10</xdr:col>
          <xdr:colOff>1571625</xdr:colOff>
          <xdr:row>11</xdr:row>
          <xdr:rowOff>114300</xdr:rowOff>
        </xdr:to>
        <xdr:sp macro="" textlink="">
          <xdr:nvSpPr>
            <xdr:cNvPr id="25705" name="Object 105" hidden="1">
              <a:extLst>
                <a:ext uri="{63B3BB69-23CF-44E3-9099-C40C66FF867C}">
                  <a14:compatExt spid="_x0000_s25705"/>
                </a:ext>
                <a:ext uri="{FF2B5EF4-FFF2-40B4-BE49-F238E27FC236}">
                  <a16:creationId xmlns:a16="http://schemas.microsoft.com/office/drawing/2014/main" id="{00000000-0008-0000-0100-000069640000}"/>
                </a:ext>
              </a:extLst>
            </xdr:cNvPr>
            <xdr:cNvSpPr/>
          </xdr:nvSpPr>
          <xdr:spPr bwMode="auto">
            <a:xfrm>
              <a:off x="0" y="0"/>
              <a:ext cx="0" cy="0"/>
            </a:xfrm>
            <a:prstGeom prst="rect">
              <a:avLst/>
            </a:prstGeom>
            <a:solidFill>
              <a:srgbClr val="FFFFFF" mc:Ignorable="a14" a14:legacySpreadsheetColorIndex="65"/>
            </a:solidFill>
            <a:ln>
              <a:noFill/>
            </a:ln>
            <a:extLs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114300</xdr:colOff>
          <xdr:row>9</xdr:row>
          <xdr:rowOff>47625</xdr:rowOff>
        </xdr:from>
        <xdr:to>
          <xdr:col>12</xdr:col>
          <xdr:colOff>2133600</xdr:colOff>
          <xdr:row>11</xdr:row>
          <xdr:rowOff>142875</xdr:rowOff>
        </xdr:to>
        <xdr:sp macro="" textlink="">
          <xdr:nvSpPr>
            <xdr:cNvPr id="25706" name="Object 106" hidden="1">
              <a:extLst>
                <a:ext uri="{63B3BB69-23CF-44E3-9099-C40C66FF867C}">
                  <a14:compatExt spid="_x0000_s25706"/>
                </a:ext>
                <a:ext uri="{FF2B5EF4-FFF2-40B4-BE49-F238E27FC236}">
                  <a16:creationId xmlns:a16="http://schemas.microsoft.com/office/drawing/2014/main" id="{00000000-0008-0000-0100-00006A640000}"/>
                </a:ext>
              </a:extLst>
            </xdr:cNvPr>
            <xdr:cNvSpPr/>
          </xdr:nvSpPr>
          <xdr:spPr bwMode="auto">
            <a:xfrm>
              <a:off x="0" y="0"/>
              <a:ext cx="0" cy="0"/>
            </a:xfrm>
            <a:prstGeom prst="rect">
              <a:avLst/>
            </a:prstGeom>
            <a:solidFill>
              <a:srgbClr val="FFFFFF" mc:Ignorable="a14" a14:legacySpreadsheetColorIndex="65"/>
            </a:solidFill>
            <a:ln>
              <a:noFill/>
            </a:ln>
            <a:extLs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editAs="oneCell">
    <xdr:from>
      <xdr:col>36</xdr:col>
      <xdr:colOff>97735</xdr:colOff>
      <xdr:row>9</xdr:row>
      <xdr:rowOff>63362</xdr:rowOff>
    </xdr:from>
    <xdr:to>
      <xdr:col>36</xdr:col>
      <xdr:colOff>1135968</xdr:colOff>
      <xdr:row>11</xdr:row>
      <xdr:rowOff>123252</xdr:rowOff>
    </xdr:to>
    <mc:AlternateContent xmlns:mc="http://schemas.openxmlformats.org/markup-compatibility/2006" xmlns:a14="http://schemas.microsoft.com/office/drawing/2010/main">
      <mc:Choice Requires="a14">
        <xdr:sp macro="" textlink="">
          <xdr:nvSpPr>
            <xdr:cNvPr id="2" name="Object 101">
              <a:extLst>
                <a:ext uri="{63B3BB69-23CF-44E3-9099-C40C66FF867C}">
                  <a14:compatExt spid="_x0000_s25701"/>
                </a:ext>
                <a:ext uri="{FF2B5EF4-FFF2-40B4-BE49-F238E27FC236}">
                  <a16:creationId xmlns:a16="http://schemas.microsoft.com/office/drawing/2014/main" id="{00000000-0008-0000-0100-000002000000}"/>
                </a:ext>
              </a:extLst>
            </xdr:cNvPr>
            <xdr:cNvSpPr txBox="1"/>
          </xdr:nvSpPr>
          <xdr:spPr>
            <a:xfrm>
              <a:off x="38330257" y="2249971"/>
              <a:ext cx="1038233" cy="440890"/>
            </a:xfrm>
            <a:prstGeom prst="rect">
              <a:avLst/>
            </a:prstGeom>
          </xdr:spPr>
          <xdr:txBody>
            <a:bodyPr vertOverflow="clip" horzOverflow="clip" wrap="none">
              <a:spAutoFit/>
            </a:bodyPr>
            <a:lstStyle/>
            <a:p>
              <a:pPr/>
              <a14:m>
                <m:oMathPara xmlns:m="http://schemas.openxmlformats.org/officeDocument/2006/math">
                  <m:oMathParaPr>
                    <m:jc m:val="left"/>
                  </m:oMathParaPr>
                  <m:oMath xmlns:m="http://schemas.openxmlformats.org/officeDocument/2006/math">
                    <m:r>
                      <a:rPr lang="en-US" i="1">
                        <a:solidFill>
                          <a:srgbClr val="000000"/>
                        </a:solidFill>
                        <a:latin typeface="Cambria Math" panose="02040503050406030204" pitchFamily="18" charset="0"/>
                      </a:rPr>
                      <m:t>𝐾𝑐</m:t>
                    </m:r>
                    <m:r>
                      <a:rPr lang="en-US" i="1">
                        <a:solidFill>
                          <a:srgbClr val="000000"/>
                        </a:solidFill>
                        <a:latin typeface="Cambria Math" panose="02040503050406030204" pitchFamily="18" charset="0"/>
                      </a:rPr>
                      <m:t>=0.28</m:t>
                    </m:r>
                    <m:f>
                      <m:fPr>
                        <m:ctrlPr>
                          <a:rPr lang="en-US" i="1">
                            <a:solidFill>
                              <a:srgbClr val="000000"/>
                            </a:solidFill>
                            <a:latin typeface="Cambria Math" panose="02040503050406030204" pitchFamily="18" charset="0"/>
                          </a:rPr>
                        </m:ctrlPr>
                      </m:fPr>
                      <m:num>
                        <m:r>
                          <a:rPr lang="en-US" i="1">
                            <a:solidFill>
                              <a:srgbClr val="000000"/>
                            </a:solidFill>
                            <a:latin typeface="Cambria Math" panose="02040503050406030204" pitchFamily="18" charset="0"/>
                          </a:rPr>
                          <m:t>𝑃</m:t>
                        </m:r>
                      </m:num>
                      <m:den>
                        <m:rad>
                          <m:radPr>
                            <m:degHide m:val="on"/>
                            <m:ctrlPr>
                              <a:rPr lang="en-US" i="1">
                                <a:solidFill>
                                  <a:srgbClr val="000000"/>
                                </a:solidFill>
                                <a:latin typeface="Cambria Math" panose="02040503050406030204" pitchFamily="18" charset="0"/>
                              </a:rPr>
                            </m:ctrlPr>
                          </m:radPr>
                          <m:deg/>
                          <m:e>
                            <m:r>
                              <a:rPr lang="en-US" i="1">
                                <a:solidFill>
                                  <a:srgbClr val="000000"/>
                                </a:solidFill>
                                <a:latin typeface="Cambria Math" panose="02040503050406030204" pitchFamily="18" charset="0"/>
                              </a:rPr>
                              <m:t>𝐴</m:t>
                            </m:r>
                          </m:e>
                        </m:rad>
                      </m:den>
                    </m:f>
                  </m:oMath>
                </m:oMathPara>
              </a14:m>
              <a:endParaRPr lang="en-US"/>
            </a:p>
          </xdr:txBody>
        </xdr:sp>
      </mc:Choice>
      <mc:Fallback xmlns="">
        <xdr:sp macro="" textlink="">
          <xdr:nvSpPr>
            <xdr:cNvPr id="2" name="Object 101">
              <a:extLst>
                <a:ext uri="{63B3BB69-23CF-44E3-9099-C40C66FF867C}">
                  <a14:compatExt xmlns:a14="http://schemas.microsoft.com/office/drawing/2010/main" spid="_x0000_s25701"/>
                </a:ext>
                <a:ext uri="{FF2B5EF4-FFF2-40B4-BE49-F238E27FC236}">
                  <a16:creationId xmlns:a16="http://schemas.microsoft.com/office/drawing/2014/main" id="{00000000-0008-0000-0100-000065640000}"/>
                </a:ext>
              </a:extLst>
            </xdr:cNvPr>
            <xdr:cNvSpPr txBox="1"/>
          </xdr:nvSpPr>
          <xdr:spPr>
            <a:xfrm>
              <a:off x="38330257" y="2249971"/>
              <a:ext cx="1038233" cy="440890"/>
            </a:xfrm>
            <a:prstGeom prst="rect">
              <a:avLst/>
            </a:prstGeom>
          </xdr:spPr>
          <xdr:txBody>
            <a:bodyPr vertOverflow="clip" horzOverflow="clip" wrap="none">
              <a:spAutoFit/>
            </a:bodyPr>
            <a:lstStyle/>
            <a:p>
              <a:pPr/>
              <a:r>
                <a:rPr lang="en-US" i="0">
                  <a:solidFill>
                    <a:srgbClr val="000000"/>
                  </a:solidFill>
                  <a:latin typeface="Cambria Math" panose="02040503050406030204" pitchFamily="18" charset="0"/>
                </a:rPr>
                <a:t>𝐾𝑐=0.2</a:t>
              </a:r>
              <a:r>
                <a:rPr lang="en-US" b="0" i="0">
                  <a:solidFill>
                    <a:srgbClr val="000000"/>
                  </a:solidFill>
                  <a:latin typeface="Cambria Math" panose="02040503050406030204" pitchFamily="18" charset="0"/>
                </a:rPr>
                <a:t>8</a:t>
              </a:r>
              <a:r>
                <a:rPr lang="en-US" i="0">
                  <a:solidFill>
                    <a:srgbClr val="000000"/>
                  </a:solidFill>
                  <a:latin typeface="Cambria Math" panose="02040503050406030204" pitchFamily="18" charset="0"/>
                </a:rPr>
                <a:t> 𝑃/√𝐴</a:t>
              </a:r>
              <a:endParaRPr lang="en-US"/>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absoluteAnchor>
    <xdr:pos x="0" y="0"/>
    <xdr:ext cx="12232105" cy="6291513"/>
    <xdr:graphicFrame macro="">
      <xdr:nvGraphicFramePr>
        <xdr:cNvPr id="2" name="Gráfico 1">
          <a:extLst>
            <a:ext uri="{FF2B5EF4-FFF2-40B4-BE49-F238E27FC236}">
              <a16:creationId xmlns:a16="http://schemas.microsoft.com/office/drawing/2014/main" id="{00000000-0008-0000-02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4.xml><?xml version="1.0" encoding="utf-8"?>
<xdr:wsDr xmlns:xdr="http://schemas.openxmlformats.org/drawingml/2006/spreadsheetDrawing" xmlns:a="http://schemas.openxmlformats.org/drawingml/2006/main">
  <xdr:oneCellAnchor>
    <xdr:from>
      <xdr:col>1</xdr:col>
      <xdr:colOff>790128</xdr:colOff>
      <xdr:row>7</xdr:row>
      <xdr:rowOff>130387</xdr:rowOff>
    </xdr:from>
    <xdr:ext cx="2661006" cy="2635012"/>
    <xdr:pic>
      <xdr:nvPicPr>
        <xdr:cNvPr id="2" name="Picture 1">
          <a:extLst>
            <a:ext uri="{FF2B5EF4-FFF2-40B4-BE49-F238E27FC236}">
              <a16:creationId xmlns:a16="http://schemas.microsoft.com/office/drawing/2014/main" id="{00000000-0008-0000-0600-000002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971103" y="1597237"/>
          <a:ext cx="2661006" cy="2635012"/>
        </a:xfrm>
        <a:prstGeom prst="rect">
          <a:avLst/>
        </a:prstGeom>
      </xdr:spPr>
    </xdr:pic>
    <xdr:clientData/>
  </xdr:one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3" Type="http://schemas.openxmlformats.org/officeDocument/2006/relationships/image" Target="../media/image3.emf"/><Relationship Id="rId18" Type="http://schemas.openxmlformats.org/officeDocument/2006/relationships/oleObject" Target="../embeddings/oleObject6.bin"/><Relationship Id="rId26" Type="http://schemas.openxmlformats.org/officeDocument/2006/relationships/oleObject" Target="../embeddings/oleObject10.bin"/><Relationship Id="rId21" Type="http://schemas.openxmlformats.org/officeDocument/2006/relationships/image" Target="../media/image7.emf"/><Relationship Id="rId34" Type="http://schemas.openxmlformats.org/officeDocument/2006/relationships/oleObject" Target="../embeddings/oleObject14.bin"/><Relationship Id="rId7" Type="http://schemas.openxmlformats.org/officeDocument/2006/relationships/vmlDrawing" Target="../drawings/vmlDrawing1.vml"/><Relationship Id="rId12" Type="http://schemas.openxmlformats.org/officeDocument/2006/relationships/oleObject" Target="../embeddings/oleObject3.bin"/><Relationship Id="rId17" Type="http://schemas.openxmlformats.org/officeDocument/2006/relationships/image" Target="../media/image5.emf"/><Relationship Id="rId25" Type="http://schemas.openxmlformats.org/officeDocument/2006/relationships/image" Target="../media/image9.emf"/><Relationship Id="rId33" Type="http://schemas.openxmlformats.org/officeDocument/2006/relationships/image" Target="../media/image13.emf"/><Relationship Id="rId2" Type="http://schemas.openxmlformats.org/officeDocument/2006/relationships/hyperlink" Target="https://www.aguaysig.com/2014/08/tiempo-de-concentracion-de-la-cuenca.html" TargetMode="External"/><Relationship Id="rId16" Type="http://schemas.openxmlformats.org/officeDocument/2006/relationships/oleObject" Target="../embeddings/oleObject5.bin"/><Relationship Id="rId20" Type="http://schemas.openxmlformats.org/officeDocument/2006/relationships/oleObject" Target="../embeddings/oleObject7.bin"/><Relationship Id="rId29" Type="http://schemas.openxmlformats.org/officeDocument/2006/relationships/image" Target="../media/image11.emf"/><Relationship Id="rId1" Type="http://schemas.openxmlformats.org/officeDocument/2006/relationships/hyperlink" Target="http://www.scielo.org.co/pdf/dyna/v78n165/a06v78n165.pdf" TargetMode="External"/><Relationship Id="rId6" Type="http://schemas.openxmlformats.org/officeDocument/2006/relationships/drawing" Target="../drawings/drawing1.xml"/><Relationship Id="rId11" Type="http://schemas.openxmlformats.org/officeDocument/2006/relationships/image" Target="../media/image2.emf"/><Relationship Id="rId24" Type="http://schemas.openxmlformats.org/officeDocument/2006/relationships/oleObject" Target="../embeddings/oleObject9.bin"/><Relationship Id="rId32" Type="http://schemas.openxmlformats.org/officeDocument/2006/relationships/oleObject" Target="../embeddings/oleObject13.bin"/><Relationship Id="rId37" Type="http://schemas.openxmlformats.org/officeDocument/2006/relationships/image" Target="../media/image15.emf"/><Relationship Id="rId5" Type="http://schemas.openxmlformats.org/officeDocument/2006/relationships/printerSettings" Target="../printerSettings/printerSettings1.bin"/><Relationship Id="rId15" Type="http://schemas.openxmlformats.org/officeDocument/2006/relationships/image" Target="../media/image4.emf"/><Relationship Id="rId23" Type="http://schemas.openxmlformats.org/officeDocument/2006/relationships/image" Target="../media/image8.emf"/><Relationship Id="rId28" Type="http://schemas.openxmlformats.org/officeDocument/2006/relationships/oleObject" Target="../embeddings/oleObject11.bin"/><Relationship Id="rId36" Type="http://schemas.openxmlformats.org/officeDocument/2006/relationships/oleObject" Target="../embeddings/oleObject15.bin"/><Relationship Id="rId10" Type="http://schemas.openxmlformats.org/officeDocument/2006/relationships/oleObject" Target="../embeddings/oleObject2.bin"/><Relationship Id="rId19" Type="http://schemas.openxmlformats.org/officeDocument/2006/relationships/image" Target="../media/image6.emf"/><Relationship Id="rId31" Type="http://schemas.openxmlformats.org/officeDocument/2006/relationships/image" Target="../media/image12.emf"/><Relationship Id="rId4" Type="http://schemas.openxmlformats.org/officeDocument/2006/relationships/hyperlink" Target="http://www.fca.uner.edu.ar/files/academica/deptos/catedras/riego/Archivos/Cap%2006%20-%20Escurrimiento%20Superficial.pdf" TargetMode="External"/><Relationship Id="rId9" Type="http://schemas.openxmlformats.org/officeDocument/2006/relationships/image" Target="../media/image1.emf"/><Relationship Id="rId14" Type="http://schemas.openxmlformats.org/officeDocument/2006/relationships/oleObject" Target="../embeddings/oleObject4.bin"/><Relationship Id="rId22" Type="http://schemas.openxmlformats.org/officeDocument/2006/relationships/oleObject" Target="../embeddings/oleObject8.bin"/><Relationship Id="rId27" Type="http://schemas.openxmlformats.org/officeDocument/2006/relationships/image" Target="../media/image10.emf"/><Relationship Id="rId30" Type="http://schemas.openxmlformats.org/officeDocument/2006/relationships/oleObject" Target="../embeddings/oleObject12.bin"/><Relationship Id="rId35" Type="http://schemas.openxmlformats.org/officeDocument/2006/relationships/image" Target="../media/image14.emf"/><Relationship Id="rId8" Type="http://schemas.openxmlformats.org/officeDocument/2006/relationships/oleObject" Target="../embeddings/oleObject1.bin"/><Relationship Id="rId3" Type="http://schemas.openxmlformats.org/officeDocument/2006/relationships/hyperlink" Target="http://ingenieriacivil.tutorialesaldia.com/algunos-parametros-de-forma-y-drenaje-de-la-cuenca-hidrografica-y-su-relacion-con-el-tiempo-de-concentracion/" TargetMode="External"/></Relationships>
</file>

<file path=xl/worksheets/_rels/sheet2.xml.rels><?xml version="1.0" encoding="UTF-8" standalone="yes"?>
<Relationships xmlns="http://schemas.openxmlformats.org/package/2006/relationships"><Relationship Id="rId13" Type="http://schemas.openxmlformats.org/officeDocument/2006/relationships/image" Target="../media/image25.emf"/><Relationship Id="rId18" Type="http://schemas.openxmlformats.org/officeDocument/2006/relationships/oleObject" Target="../embeddings/oleObject23.bin"/><Relationship Id="rId26" Type="http://schemas.openxmlformats.org/officeDocument/2006/relationships/oleObject" Target="../embeddings/oleObject27.bin"/><Relationship Id="rId3" Type="http://schemas.openxmlformats.org/officeDocument/2006/relationships/vmlDrawing" Target="../drawings/vmlDrawing2.vml"/><Relationship Id="rId21" Type="http://schemas.openxmlformats.org/officeDocument/2006/relationships/image" Target="../media/image28.emf"/><Relationship Id="rId34" Type="http://schemas.openxmlformats.org/officeDocument/2006/relationships/comments" Target="../comments1.xml"/><Relationship Id="rId7" Type="http://schemas.openxmlformats.org/officeDocument/2006/relationships/image" Target="../media/image23.emf"/><Relationship Id="rId12" Type="http://schemas.openxmlformats.org/officeDocument/2006/relationships/oleObject" Target="../embeddings/oleObject20.bin"/><Relationship Id="rId17" Type="http://schemas.openxmlformats.org/officeDocument/2006/relationships/image" Target="../media/image27.emf"/><Relationship Id="rId25" Type="http://schemas.openxmlformats.org/officeDocument/2006/relationships/image" Target="../media/image13.emf"/><Relationship Id="rId33" Type="http://schemas.openxmlformats.org/officeDocument/2006/relationships/image" Target="../media/image30.emf"/><Relationship Id="rId2" Type="http://schemas.openxmlformats.org/officeDocument/2006/relationships/drawing" Target="../drawings/drawing2.xml"/><Relationship Id="rId16" Type="http://schemas.openxmlformats.org/officeDocument/2006/relationships/oleObject" Target="../embeddings/oleObject22.bin"/><Relationship Id="rId20" Type="http://schemas.openxmlformats.org/officeDocument/2006/relationships/oleObject" Target="../embeddings/oleObject24.bin"/><Relationship Id="rId29" Type="http://schemas.openxmlformats.org/officeDocument/2006/relationships/image" Target="../media/image15.emf"/><Relationship Id="rId1" Type="http://schemas.openxmlformats.org/officeDocument/2006/relationships/printerSettings" Target="../printerSettings/printerSettings2.bin"/><Relationship Id="rId6" Type="http://schemas.openxmlformats.org/officeDocument/2006/relationships/oleObject" Target="../embeddings/oleObject17.bin"/><Relationship Id="rId11" Type="http://schemas.openxmlformats.org/officeDocument/2006/relationships/image" Target="../media/image24.emf"/><Relationship Id="rId24" Type="http://schemas.openxmlformats.org/officeDocument/2006/relationships/oleObject" Target="../embeddings/oleObject26.bin"/><Relationship Id="rId32" Type="http://schemas.openxmlformats.org/officeDocument/2006/relationships/oleObject" Target="../embeddings/oleObject30.bin"/><Relationship Id="rId5" Type="http://schemas.openxmlformats.org/officeDocument/2006/relationships/image" Target="../media/image22.emf"/><Relationship Id="rId15" Type="http://schemas.openxmlformats.org/officeDocument/2006/relationships/image" Target="../media/image26.emf"/><Relationship Id="rId23" Type="http://schemas.openxmlformats.org/officeDocument/2006/relationships/image" Target="../media/image10.emf"/><Relationship Id="rId28" Type="http://schemas.openxmlformats.org/officeDocument/2006/relationships/oleObject" Target="../embeddings/oleObject28.bin"/><Relationship Id="rId10" Type="http://schemas.openxmlformats.org/officeDocument/2006/relationships/oleObject" Target="../embeddings/oleObject19.bin"/><Relationship Id="rId19" Type="http://schemas.openxmlformats.org/officeDocument/2006/relationships/image" Target="../media/image1.emf"/><Relationship Id="rId31" Type="http://schemas.openxmlformats.org/officeDocument/2006/relationships/image" Target="../media/image29.emf"/><Relationship Id="rId4" Type="http://schemas.openxmlformats.org/officeDocument/2006/relationships/oleObject" Target="../embeddings/oleObject16.bin"/><Relationship Id="rId9" Type="http://schemas.openxmlformats.org/officeDocument/2006/relationships/image" Target="../media/image6.emf"/><Relationship Id="rId14" Type="http://schemas.openxmlformats.org/officeDocument/2006/relationships/oleObject" Target="../embeddings/oleObject21.bin"/><Relationship Id="rId22" Type="http://schemas.openxmlformats.org/officeDocument/2006/relationships/oleObject" Target="../embeddings/oleObject25.bin"/><Relationship Id="rId27" Type="http://schemas.openxmlformats.org/officeDocument/2006/relationships/image" Target="../media/image14.emf"/><Relationship Id="rId30" Type="http://schemas.openxmlformats.org/officeDocument/2006/relationships/oleObject" Target="../embeddings/oleObject29.bin"/><Relationship Id="rId8" Type="http://schemas.openxmlformats.org/officeDocument/2006/relationships/oleObject" Target="../embeddings/oleObject18.bin"/></Relationships>
</file>

<file path=xl/worksheets/_rels/sheet6.xml.rels><?xml version="1.0" encoding="UTF-8" standalone="yes"?>
<Relationships xmlns="http://schemas.openxmlformats.org/package/2006/relationships"><Relationship Id="rId3" Type="http://schemas.openxmlformats.org/officeDocument/2006/relationships/hyperlink" Target="https://github.com/rcfdtools/R.HydroTools/wiki/License" TargetMode="External"/><Relationship Id="rId2" Type="http://schemas.openxmlformats.org/officeDocument/2006/relationships/hyperlink" Target="https://github.com/rcfdtools" TargetMode="External"/><Relationship Id="rId1" Type="http://schemas.openxmlformats.org/officeDocument/2006/relationships/hyperlink" Target="mailto:r.cfdtools@gmail.com" TargetMode="External"/><Relationship Id="rId5" Type="http://schemas.openxmlformats.org/officeDocument/2006/relationships/drawing" Target="../drawings/drawing4.xml"/><Relationship Id="rId4"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FCAABD-004E-402A-8973-A7753C1BA227}">
  <dimension ref="B2:D274"/>
  <sheetViews>
    <sheetView showGridLines="0" showRowColHeaders="0" topLeftCell="A30" zoomScale="130" zoomScaleNormal="130" workbookViewId="0"/>
  </sheetViews>
  <sheetFormatPr defaultColWidth="9.1328125" defaultRowHeight="16.5" x14ac:dyDescent="0.45"/>
  <cols>
    <col min="1" max="1" width="2.73046875" style="80" customWidth="1"/>
    <col min="2" max="2" width="16" style="80" customWidth="1"/>
    <col min="3" max="3" width="71.265625" style="80" customWidth="1"/>
    <col min="4" max="4" width="38.3984375" style="80" customWidth="1"/>
    <col min="5" max="5" width="2.73046875" style="80" customWidth="1"/>
    <col min="6" max="6" width="96.59765625" style="80" customWidth="1"/>
    <col min="7" max="16384" width="9.1328125" style="80"/>
  </cols>
  <sheetData>
    <row r="2" spans="2:4" x14ac:dyDescent="0.45">
      <c r="B2" s="137" t="s">
        <v>463</v>
      </c>
      <c r="C2" s="138"/>
      <c r="D2" s="139"/>
    </row>
    <row r="3" spans="2:4" x14ac:dyDescent="0.45">
      <c r="B3" s="140"/>
      <c r="C3" s="141"/>
      <c r="D3" s="142"/>
    </row>
    <row r="4" spans="2:4" x14ac:dyDescent="0.45">
      <c r="B4" s="140"/>
      <c r="C4" s="141"/>
      <c r="D4" s="142"/>
    </row>
    <row r="5" spans="2:4" x14ac:dyDescent="0.45">
      <c r="B5" s="140"/>
      <c r="C5" s="141"/>
      <c r="D5" s="142"/>
    </row>
    <row r="6" spans="2:4" x14ac:dyDescent="0.45">
      <c r="B6" s="140"/>
      <c r="C6" s="141"/>
      <c r="D6" s="142"/>
    </row>
    <row r="7" spans="2:4" ht="49.5" x14ac:dyDescent="0.45">
      <c r="B7" s="86" t="s">
        <v>120</v>
      </c>
      <c r="C7" s="9" t="s">
        <v>442</v>
      </c>
      <c r="D7" s="10"/>
    </row>
    <row r="8" spans="2:4" ht="49.5" x14ac:dyDescent="0.45">
      <c r="B8" s="86" t="s">
        <v>437</v>
      </c>
      <c r="C8" s="9" t="s">
        <v>481</v>
      </c>
      <c r="D8" s="10"/>
    </row>
    <row r="9" spans="2:4" ht="49.5" x14ac:dyDescent="0.45">
      <c r="B9" s="86" t="s">
        <v>432</v>
      </c>
      <c r="C9" s="9" t="s">
        <v>482</v>
      </c>
      <c r="D9" s="10"/>
    </row>
    <row r="10" spans="2:4" ht="49.5" x14ac:dyDescent="0.45">
      <c r="B10" s="86" t="s">
        <v>433</v>
      </c>
      <c r="C10" s="9" t="s">
        <v>483</v>
      </c>
      <c r="D10" s="10"/>
    </row>
    <row r="11" spans="2:4" ht="33" x14ac:dyDescent="0.45">
      <c r="B11" s="86" t="s">
        <v>443</v>
      </c>
      <c r="C11" s="9" t="s">
        <v>484</v>
      </c>
      <c r="D11" s="10"/>
    </row>
    <row r="12" spans="2:4" ht="49.5" x14ac:dyDescent="0.45">
      <c r="B12" s="86" t="s">
        <v>434</v>
      </c>
      <c r="C12" s="9" t="s">
        <v>444</v>
      </c>
      <c r="D12" s="10"/>
    </row>
    <row r="13" spans="2:4" ht="49.5" x14ac:dyDescent="0.45">
      <c r="B13" s="86" t="s">
        <v>435</v>
      </c>
      <c r="C13" s="9" t="s">
        <v>445</v>
      </c>
      <c r="D13" s="10"/>
    </row>
    <row r="14" spans="2:4" ht="66" x14ac:dyDescent="0.45">
      <c r="B14" s="87" t="s">
        <v>446</v>
      </c>
      <c r="C14" s="88" t="s">
        <v>447</v>
      </c>
      <c r="D14" s="11"/>
    </row>
    <row r="15" spans="2:4" x14ac:dyDescent="0.45">
      <c r="C15" s="1"/>
      <c r="D15" s="1"/>
    </row>
    <row r="16" spans="2:4" x14ac:dyDescent="0.45">
      <c r="B16" s="143" t="s">
        <v>464</v>
      </c>
      <c r="C16" s="144"/>
      <c r="D16" s="145"/>
    </row>
    <row r="17" spans="2:4" x14ac:dyDescent="0.45">
      <c r="B17" s="146"/>
      <c r="C17" s="147"/>
      <c r="D17" s="148"/>
    </row>
    <row r="18" spans="2:4" x14ac:dyDescent="0.45">
      <c r="B18" s="146"/>
      <c r="C18" s="147"/>
      <c r="D18" s="148"/>
    </row>
    <row r="19" spans="2:4" x14ac:dyDescent="0.45">
      <c r="B19" s="146"/>
      <c r="C19" s="147"/>
      <c r="D19" s="148"/>
    </row>
    <row r="20" spans="2:4" x14ac:dyDescent="0.45">
      <c r="B20" s="146"/>
      <c r="C20" s="147"/>
      <c r="D20" s="148"/>
    </row>
    <row r="21" spans="2:4" ht="33" x14ac:dyDescent="0.45">
      <c r="B21" s="89" t="s">
        <v>120</v>
      </c>
      <c r="C21" s="12" t="s">
        <v>485</v>
      </c>
      <c r="D21" s="13"/>
    </row>
    <row r="22" spans="2:4" ht="82.5" x14ac:dyDescent="0.45">
      <c r="B22" s="90" t="s">
        <v>120</v>
      </c>
      <c r="C22" s="91" t="s">
        <v>448</v>
      </c>
      <c r="D22" s="14"/>
    </row>
    <row r="23" spans="2:4" x14ac:dyDescent="0.45">
      <c r="C23" s="1"/>
      <c r="D23" s="1"/>
    </row>
    <row r="24" spans="2:4" x14ac:dyDescent="0.45">
      <c r="B24" s="143" t="s">
        <v>480</v>
      </c>
      <c r="C24" s="144"/>
      <c r="D24" s="145"/>
    </row>
    <row r="25" spans="2:4" x14ac:dyDescent="0.45">
      <c r="B25" s="146"/>
      <c r="C25" s="147"/>
      <c r="D25" s="148"/>
    </row>
    <row r="26" spans="2:4" x14ac:dyDescent="0.45">
      <c r="B26" s="146"/>
      <c r="C26" s="147"/>
      <c r="D26" s="148"/>
    </row>
    <row r="27" spans="2:4" x14ac:dyDescent="0.45">
      <c r="B27" s="146"/>
      <c r="C27" s="147"/>
      <c r="D27" s="148"/>
    </row>
    <row r="28" spans="2:4" x14ac:dyDescent="0.45">
      <c r="B28" s="146"/>
      <c r="C28" s="147"/>
      <c r="D28" s="148"/>
    </row>
    <row r="29" spans="2:4" ht="82.5" x14ac:dyDescent="0.45">
      <c r="B29" s="89" t="s">
        <v>449</v>
      </c>
      <c r="C29" s="12" t="s">
        <v>450</v>
      </c>
      <c r="D29" s="13"/>
    </row>
    <row r="30" spans="2:4" ht="148.5" x14ac:dyDescent="0.45">
      <c r="B30" s="89" t="s">
        <v>5</v>
      </c>
      <c r="C30" s="12" t="s">
        <v>451</v>
      </c>
      <c r="D30" s="13"/>
    </row>
    <row r="31" spans="2:4" ht="198" x14ac:dyDescent="0.45">
      <c r="B31" s="89" t="s">
        <v>68</v>
      </c>
      <c r="C31" s="12" t="s">
        <v>452</v>
      </c>
      <c r="D31" s="13"/>
    </row>
    <row r="32" spans="2:4" ht="66" x14ac:dyDescent="0.45">
      <c r="B32" s="90" t="s">
        <v>453</v>
      </c>
      <c r="C32" s="91" t="s">
        <v>454</v>
      </c>
      <c r="D32" s="14"/>
    </row>
    <row r="33" spans="2:4" x14ac:dyDescent="0.45">
      <c r="C33" s="1"/>
      <c r="D33" s="1"/>
    </row>
    <row r="34" spans="2:4" x14ac:dyDescent="0.45">
      <c r="B34" s="80" t="s">
        <v>486</v>
      </c>
      <c r="C34" s="1"/>
      <c r="D34" s="1"/>
    </row>
    <row r="35" spans="2:4" x14ac:dyDescent="0.45">
      <c r="B35" s="92" t="s">
        <v>455</v>
      </c>
      <c r="C35" s="1"/>
      <c r="D35" s="1"/>
    </row>
    <row r="36" spans="2:4" x14ac:dyDescent="0.45">
      <c r="B36" s="80" t="s">
        <v>456</v>
      </c>
      <c r="C36" s="1"/>
      <c r="D36" s="1"/>
    </row>
    <row r="37" spans="2:4" x14ac:dyDescent="0.45">
      <c r="B37" s="92" t="s">
        <v>457</v>
      </c>
      <c r="C37" s="1"/>
      <c r="D37" s="1"/>
    </row>
    <row r="38" spans="2:4" x14ac:dyDescent="0.45">
      <c r="B38" s="92" t="s">
        <v>458</v>
      </c>
      <c r="C38" s="1"/>
      <c r="D38" s="1"/>
    </row>
    <row r="39" spans="2:4" x14ac:dyDescent="0.45">
      <c r="B39" s="92" t="s">
        <v>459</v>
      </c>
      <c r="C39" s="1"/>
      <c r="D39" s="1"/>
    </row>
    <row r="40" spans="2:4" x14ac:dyDescent="0.45">
      <c r="C40" s="1"/>
      <c r="D40" s="1"/>
    </row>
    <row r="41" spans="2:4" x14ac:dyDescent="0.45">
      <c r="C41" s="1"/>
      <c r="D41" s="1"/>
    </row>
    <row r="42" spans="2:4" x14ac:dyDescent="0.45">
      <c r="C42" s="1"/>
      <c r="D42" s="1"/>
    </row>
    <row r="43" spans="2:4" x14ac:dyDescent="0.45">
      <c r="C43" s="1"/>
      <c r="D43" s="1"/>
    </row>
    <row r="44" spans="2:4" x14ac:dyDescent="0.45">
      <c r="C44" s="1"/>
      <c r="D44" s="1"/>
    </row>
    <row r="45" spans="2:4" x14ac:dyDescent="0.45">
      <c r="C45" s="1"/>
      <c r="D45" s="1"/>
    </row>
    <row r="46" spans="2:4" x14ac:dyDescent="0.45">
      <c r="C46" s="1"/>
      <c r="D46" s="1"/>
    </row>
    <row r="47" spans="2:4" x14ac:dyDescent="0.45">
      <c r="C47" s="1"/>
      <c r="D47" s="1"/>
    </row>
    <row r="48" spans="2:4" x14ac:dyDescent="0.45">
      <c r="C48" s="1"/>
      <c r="D48" s="1"/>
    </row>
    <row r="49" spans="3:4" x14ac:dyDescent="0.45">
      <c r="C49" s="1"/>
      <c r="D49" s="1"/>
    </row>
    <row r="50" spans="3:4" x14ac:dyDescent="0.45">
      <c r="C50" s="1"/>
      <c r="D50" s="1"/>
    </row>
    <row r="51" spans="3:4" x14ac:dyDescent="0.45">
      <c r="C51" s="1"/>
      <c r="D51" s="1"/>
    </row>
    <row r="52" spans="3:4" x14ac:dyDescent="0.45">
      <c r="C52" s="1"/>
      <c r="D52" s="1"/>
    </row>
    <row r="53" spans="3:4" x14ac:dyDescent="0.45">
      <c r="C53" s="1"/>
      <c r="D53" s="1"/>
    </row>
    <row r="54" spans="3:4" x14ac:dyDescent="0.45">
      <c r="C54" s="1"/>
      <c r="D54" s="1"/>
    </row>
    <row r="55" spans="3:4" x14ac:dyDescent="0.45">
      <c r="C55" s="1"/>
      <c r="D55" s="1"/>
    </row>
    <row r="56" spans="3:4" x14ac:dyDescent="0.45">
      <c r="C56" s="1"/>
      <c r="D56" s="1"/>
    </row>
    <row r="57" spans="3:4" x14ac:dyDescent="0.45">
      <c r="C57" s="1"/>
      <c r="D57" s="1"/>
    </row>
    <row r="58" spans="3:4" x14ac:dyDescent="0.45">
      <c r="C58" s="1"/>
      <c r="D58" s="1"/>
    </row>
    <row r="59" spans="3:4" x14ac:dyDescent="0.45">
      <c r="C59" s="1"/>
      <c r="D59" s="1"/>
    </row>
    <row r="60" spans="3:4" x14ac:dyDescent="0.45">
      <c r="C60" s="1"/>
      <c r="D60" s="1"/>
    </row>
    <row r="61" spans="3:4" x14ac:dyDescent="0.45">
      <c r="C61" s="1"/>
      <c r="D61" s="1"/>
    </row>
    <row r="62" spans="3:4" x14ac:dyDescent="0.45">
      <c r="C62" s="1"/>
      <c r="D62" s="1"/>
    </row>
    <row r="63" spans="3:4" x14ac:dyDescent="0.45">
      <c r="C63" s="1"/>
      <c r="D63" s="1"/>
    </row>
    <row r="64" spans="3:4" x14ac:dyDescent="0.45">
      <c r="C64" s="1"/>
      <c r="D64" s="1"/>
    </row>
    <row r="65" spans="3:4" x14ac:dyDescent="0.45">
      <c r="C65" s="1"/>
      <c r="D65" s="1"/>
    </row>
    <row r="66" spans="3:4" x14ac:dyDescent="0.45">
      <c r="C66" s="1"/>
      <c r="D66" s="1"/>
    </row>
    <row r="67" spans="3:4" x14ac:dyDescent="0.45">
      <c r="C67" s="1"/>
      <c r="D67" s="1"/>
    </row>
    <row r="68" spans="3:4" x14ac:dyDescent="0.45">
      <c r="C68" s="1"/>
      <c r="D68" s="1"/>
    </row>
    <row r="69" spans="3:4" x14ac:dyDescent="0.45">
      <c r="C69" s="1"/>
      <c r="D69" s="1"/>
    </row>
    <row r="70" spans="3:4" x14ac:dyDescent="0.45">
      <c r="C70" s="1"/>
      <c r="D70" s="1"/>
    </row>
    <row r="71" spans="3:4" x14ac:dyDescent="0.45">
      <c r="C71" s="1"/>
      <c r="D71" s="1"/>
    </row>
    <row r="72" spans="3:4" x14ac:dyDescent="0.45">
      <c r="C72" s="1"/>
      <c r="D72" s="1"/>
    </row>
    <row r="73" spans="3:4" x14ac:dyDescent="0.45">
      <c r="C73" s="1"/>
      <c r="D73" s="1"/>
    </row>
    <row r="74" spans="3:4" x14ac:dyDescent="0.45">
      <c r="C74" s="1"/>
      <c r="D74" s="1"/>
    </row>
    <row r="75" spans="3:4" x14ac:dyDescent="0.45">
      <c r="C75" s="1"/>
      <c r="D75" s="1"/>
    </row>
    <row r="76" spans="3:4" x14ac:dyDescent="0.45">
      <c r="C76" s="1"/>
      <c r="D76" s="1"/>
    </row>
    <row r="77" spans="3:4" x14ac:dyDescent="0.45">
      <c r="C77" s="1"/>
      <c r="D77" s="1"/>
    </row>
    <row r="78" spans="3:4" x14ac:dyDescent="0.45">
      <c r="C78" s="1"/>
      <c r="D78" s="1"/>
    </row>
    <row r="79" spans="3:4" x14ac:dyDescent="0.45">
      <c r="C79" s="1"/>
      <c r="D79" s="1"/>
    </row>
    <row r="80" spans="3:4" x14ac:dyDescent="0.45">
      <c r="C80" s="1"/>
      <c r="D80" s="1"/>
    </row>
    <row r="81" spans="3:4" x14ac:dyDescent="0.45">
      <c r="C81" s="1"/>
      <c r="D81" s="1"/>
    </row>
    <row r="82" spans="3:4" x14ac:dyDescent="0.45">
      <c r="C82" s="1"/>
      <c r="D82" s="1"/>
    </row>
    <row r="83" spans="3:4" x14ac:dyDescent="0.45">
      <c r="C83" s="1"/>
      <c r="D83" s="1"/>
    </row>
    <row r="84" spans="3:4" x14ac:dyDescent="0.45">
      <c r="C84" s="1"/>
      <c r="D84" s="1"/>
    </row>
    <row r="85" spans="3:4" x14ac:dyDescent="0.45">
      <c r="C85" s="1"/>
      <c r="D85" s="1"/>
    </row>
    <row r="86" spans="3:4" x14ac:dyDescent="0.45">
      <c r="C86" s="1"/>
      <c r="D86" s="1"/>
    </row>
    <row r="87" spans="3:4" x14ac:dyDescent="0.45">
      <c r="C87" s="1"/>
      <c r="D87" s="1"/>
    </row>
    <row r="88" spans="3:4" x14ac:dyDescent="0.45">
      <c r="C88" s="1"/>
      <c r="D88" s="1"/>
    </row>
    <row r="89" spans="3:4" x14ac:dyDescent="0.45">
      <c r="C89" s="1"/>
      <c r="D89" s="1"/>
    </row>
    <row r="90" spans="3:4" x14ac:dyDescent="0.45">
      <c r="C90" s="1"/>
      <c r="D90" s="1"/>
    </row>
    <row r="91" spans="3:4" x14ac:dyDescent="0.45">
      <c r="C91" s="1"/>
      <c r="D91" s="1"/>
    </row>
    <row r="92" spans="3:4" x14ac:dyDescent="0.45">
      <c r="C92" s="1"/>
      <c r="D92" s="1"/>
    </row>
    <row r="93" spans="3:4" x14ac:dyDescent="0.45">
      <c r="C93" s="1"/>
      <c r="D93" s="1"/>
    </row>
    <row r="94" spans="3:4" x14ac:dyDescent="0.45">
      <c r="C94" s="1"/>
      <c r="D94" s="1"/>
    </row>
    <row r="95" spans="3:4" x14ac:dyDescent="0.45">
      <c r="C95" s="1"/>
      <c r="D95" s="1"/>
    </row>
    <row r="96" spans="3:4" x14ac:dyDescent="0.45">
      <c r="C96" s="1"/>
      <c r="D96" s="1"/>
    </row>
    <row r="97" spans="3:4" x14ac:dyDescent="0.45">
      <c r="C97" s="1"/>
      <c r="D97" s="1"/>
    </row>
    <row r="98" spans="3:4" x14ac:dyDescent="0.45">
      <c r="C98" s="1"/>
      <c r="D98" s="1"/>
    </row>
    <row r="99" spans="3:4" x14ac:dyDescent="0.45">
      <c r="C99" s="1"/>
      <c r="D99" s="1"/>
    </row>
    <row r="100" spans="3:4" x14ac:dyDescent="0.45">
      <c r="C100" s="1"/>
      <c r="D100" s="1"/>
    </row>
    <row r="101" spans="3:4" x14ac:dyDescent="0.45">
      <c r="C101" s="1"/>
      <c r="D101" s="1"/>
    </row>
    <row r="102" spans="3:4" x14ac:dyDescent="0.45">
      <c r="C102" s="1"/>
      <c r="D102" s="1"/>
    </row>
    <row r="103" spans="3:4" x14ac:dyDescent="0.45">
      <c r="C103" s="1"/>
      <c r="D103" s="1"/>
    </row>
    <row r="104" spans="3:4" x14ac:dyDescent="0.45">
      <c r="C104" s="1"/>
      <c r="D104" s="1"/>
    </row>
    <row r="105" spans="3:4" x14ac:dyDescent="0.45">
      <c r="C105" s="1"/>
      <c r="D105" s="1"/>
    </row>
    <row r="106" spans="3:4" x14ac:dyDescent="0.45">
      <c r="C106" s="1"/>
      <c r="D106" s="1"/>
    </row>
    <row r="107" spans="3:4" x14ac:dyDescent="0.45">
      <c r="C107" s="1"/>
      <c r="D107" s="1"/>
    </row>
    <row r="108" spans="3:4" x14ac:dyDescent="0.45">
      <c r="C108" s="1"/>
      <c r="D108" s="1"/>
    </row>
    <row r="109" spans="3:4" x14ac:dyDescent="0.45">
      <c r="C109" s="1"/>
      <c r="D109" s="1"/>
    </row>
    <row r="110" spans="3:4" x14ac:dyDescent="0.45">
      <c r="C110" s="1"/>
      <c r="D110" s="1"/>
    </row>
    <row r="111" spans="3:4" x14ac:dyDescent="0.45">
      <c r="C111" s="1"/>
      <c r="D111" s="1"/>
    </row>
    <row r="112" spans="3:4" x14ac:dyDescent="0.45">
      <c r="C112" s="1"/>
      <c r="D112" s="1"/>
    </row>
    <row r="113" spans="3:4" x14ac:dyDescent="0.45">
      <c r="C113" s="1"/>
      <c r="D113" s="1"/>
    </row>
    <row r="114" spans="3:4" x14ac:dyDescent="0.45">
      <c r="C114" s="1"/>
      <c r="D114" s="1"/>
    </row>
    <row r="115" spans="3:4" x14ac:dyDescent="0.45">
      <c r="C115" s="1"/>
      <c r="D115" s="1"/>
    </row>
    <row r="116" spans="3:4" x14ac:dyDescent="0.45">
      <c r="C116" s="1"/>
      <c r="D116" s="1"/>
    </row>
    <row r="117" spans="3:4" x14ac:dyDescent="0.45">
      <c r="C117" s="1"/>
      <c r="D117" s="1"/>
    </row>
    <row r="118" spans="3:4" x14ac:dyDescent="0.45">
      <c r="C118" s="1"/>
      <c r="D118" s="1"/>
    </row>
    <row r="119" spans="3:4" x14ac:dyDescent="0.45">
      <c r="C119" s="1"/>
      <c r="D119" s="1"/>
    </row>
    <row r="120" spans="3:4" x14ac:dyDescent="0.45">
      <c r="C120" s="1"/>
      <c r="D120" s="1"/>
    </row>
    <row r="121" spans="3:4" x14ac:dyDescent="0.45">
      <c r="C121" s="1"/>
      <c r="D121" s="1"/>
    </row>
    <row r="122" spans="3:4" x14ac:dyDescent="0.45">
      <c r="C122" s="1"/>
      <c r="D122" s="1"/>
    </row>
    <row r="123" spans="3:4" x14ac:dyDescent="0.45">
      <c r="C123" s="1"/>
      <c r="D123" s="1"/>
    </row>
    <row r="124" spans="3:4" x14ac:dyDescent="0.45">
      <c r="C124" s="1"/>
      <c r="D124" s="1"/>
    </row>
    <row r="125" spans="3:4" x14ac:dyDescent="0.45">
      <c r="C125" s="1"/>
      <c r="D125" s="1"/>
    </row>
    <row r="126" spans="3:4" x14ac:dyDescent="0.45">
      <c r="C126" s="1"/>
      <c r="D126" s="1"/>
    </row>
    <row r="127" spans="3:4" x14ac:dyDescent="0.45">
      <c r="C127" s="1"/>
      <c r="D127" s="1"/>
    </row>
    <row r="128" spans="3:4" x14ac:dyDescent="0.45">
      <c r="C128" s="1"/>
      <c r="D128" s="1"/>
    </row>
    <row r="129" spans="3:4" x14ac:dyDescent="0.45">
      <c r="C129" s="1"/>
      <c r="D129" s="1"/>
    </row>
    <row r="130" spans="3:4" x14ac:dyDescent="0.45">
      <c r="C130" s="1"/>
      <c r="D130" s="1"/>
    </row>
    <row r="131" spans="3:4" x14ac:dyDescent="0.45">
      <c r="C131" s="1"/>
      <c r="D131" s="1"/>
    </row>
    <row r="132" spans="3:4" x14ac:dyDescent="0.45">
      <c r="C132" s="1"/>
      <c r="D132" s="1"/>
    </row>
    <row r="133" spans="3:4" x14ac:dyDescent="0.45">
      <c r="C133" s="1"/>
      <c r="D133" s="1"/>
    </row>
    <row r="134" spans="3:4" x14ac:dyDescent="0.45">
      <c r="C134" s="1"/>
      <c r="D134" s="1"/>
    </row>
    <row r="135" spans="3:4" x14ac:dyDescent="0.45">
      <c r="C135" s="1"/>
      <c r="D135" s="1"/>
    </row>
    <row r="136" spans="3:4" x14ac:dyDescent="0.45">
      <c r="C136" s="1"/>
      <c r="D136" s="1"/>
    </row>
    <row r="137" spans="3:4" x14ac:dyDescent="0.45">
      <c r="C137" s="1"/>
      <c r="D137" s="1"/>
    </row>
    <row r="138" spans="3:4" x14ac:dyDescent="0.45">
      <c r="C138" s="1"/>
      <c r="D138" s="1"/>
    </row>
    <row r="139" spans="3:4" x14ac:dyDescent="0.45">
      <c r="C139" s="1"/>
      <c r="D139" s="1"/>
    </row>
    <row r="140" spans="3:4" x14ac:dyDescent="0.45">
      <c r="C140" s="1"/>
      <c r="D140" s="1"/>
    </row>
    <row r="141" spans="3:4" x14ac:dyDescent="0.45">
      <c r="C141" s="1"/>
      <c r="D141" s="1"/>
    </row>
    <row r="142" spans="3:4" x14ac:dyDescent="0.45">
      <c r="C142" s="1"/>
      <c r="D142" s="1"/>
    </row>
    <row r="143" spans="3:4" x14ac:dyDescent="0.45">
      <c r="C143" s="93"/>
      <c r="D143" s="93"/>
    </row>
    <row r="144" spans="3:4" x14ac:dyDescent="0.45">
      <c r="C144" s="93"/>
      <c r="D144" s="93"/>
    </row>
    <row r="145" spans="3:4" x14ac:dyDescent="0.45">
      <c r="C145" s="93"/>
      <c r="D145" s="93"/>
    </row>
    <row r="146" spans="3:4" x14ac:dyDescent="0.45">
      <c r="C146" s="93"/>
      <c r="D146" s="93"/>
    </row>
    <row r="147" spans="3:4" x14ac:dyDescent="0.45">
      <c r="C147" s="93"/>
      <c r="D147" s="93"/>
    </row>
    <row r="148" spans="3:4" x14ac:dyDescent="0.45">
      <c r="C148" s="93"/>
      <c r="D148" s="93"/>
    </row>
    <row r="149" spans="3:4" x14ac:dyDescent="0.45">
      <c r="C149" s="93"/>
      <c r="D149" s="93"/>
    </row>
    <row r="150" spans="3:4" x14ac:dyDescent="0.45">
      <c r="C150" s="93"/>
      <c r="D150" s="93"/>
    </row>
    <row r="151" spans="3:4" x14ac:dyDescent="0.45">
      <c r="C151" s="93"/>
      <c r="D151" s="93"/>
    </row>
    <row r="152" spans="3:4" x14ac:dyDescent="0.45">
      <c r="C152" s="93"/>
      <c r="D152" s="93"/>
    </row>
    <row r="153" spans="3:4" x14ac:dyDescent="0.45">
      <c r="C153" s="93"/>
      <c r="D153" s="93"/>
    </row>
    <row r="154" spans="3:4" x14ac:dyDescent="0.45">
      <c r="C154" s="93"/>
      <c r="D154" s="93"/>
    </row>
    <row r="155" spans="3:4" x14ac:dyDescent="0.45">
      <c r="C155" s="93"/>
      <c r="D155" s="93"/>
    </row>
    <row r="156" spans="3:4" x14ac:dyDescent="0.45">
      <c r="C156" s="93"/>
      <c r="D156" s="93"/>
    </row>
    <row r="157" spans="3:4" x14ac:dyDescent="0.45">
      <c r="C157" s="93"/>
      <c r="D157" s="93"/>
    </row>
    <row r="158" spans="3:4" x14ac:dyDescent="0.45">
      <c r="C158" s="93"/>
      <c r="D158" s="93"/>
    </row>
    <row r="159" spans="3:4" x14ac:dyDescent="0.45">
      <c r="C159" s="93"/>
      <c r="D159" s="93"/>
    </row>
    <row r="160" spans="3:4" x14ac:dyDescent="0.45">
      <c r="C160" s="93"/>
      <c r="D160" s="93"/>
    </row>
    <row r="161" spans="3:4" x14ac:dyDescent="0.45">
      <c r="C161" s="93"/>
      <c r="D161" s="93"/>
    </row>
    <row r="162" spans="3:4" x14ac:dyDescent="0.45">
      <c r="C162" s="93"/>
      <c r="D162" s="93"/>
    </row>
    <row r="163" spans="3:4" x14ac:dyDescent="0.45">
      <c r="C163" s="93"/>
      <c r="D163" s="93"/>
    </row>
    <row r="164" spans="3:4" x14ac:dyDescent="0.45">
      <c r="C164" s="93"/>
      <c r="D164" s="93"/>
    </row>
    <row r="165" spans="3:4" x14ac:dyDescent="0.45">
      <c r="C165" s="93"/>
      <c r="D165" s="93"/>
    </row>
    <row r="166" spans="3:4" x14ac:dyDescent="0.45">
      <c r="C166" s="93"/>
      <c r="D166" s="93"/>
    </row>
    <row r="167" spans="3:4" x14ac:dyDescent="0.45">
      <c r="C167" s="93"/>
      <c r="D167" s="93"/>
    </row>
    <row r="168" spans="3:4" x14ac:dyDescent="0.45">
      <c r="C168" s="93"/>
      <c r="D168" s="93"/>
    </row>
    <row r="169" spans="3:4" x14ac:dyDescent="0.45">
      <c r="C169" s="93"/>
      <c r="D169" s="93"/>
    </row>
    <row r="170" spans="3:4" x14ac:dyDescent="0.45">
      <c r="C170" s="93"/>
      <c r="D170" s="93"/>
    </row>
    <row r="171" spans="3:4" x14ac:dyDescent="0.45">
      <c r="C171" s="93"/>
      <c r="D171" s="93"/>
    </row>
    <row r="172" spans="3:4" x14ac:dyDescent="0.45">
      <c r="C172" s="93"/>
      <c r="D172" s="93"/>
    </row>
    <row r="173" spans="3:4" x14ac:dyDescent="0.45">
      <c r="C173" s="93"/>
      <c r="D173" s="93"/>
    </row>
    <row r="174" spans="3:4" x14ac:dyDescent="0.45">
      <c r="C174" s="93"/>
      <c r="D174" s="93"/>
    </row>
    <row r="175" spans="3:4" x14ac:dyDescent="0.45">
      <c r="C175" s="93"/>
      <c r="D175" s="93"/>
    </row>
    <row r="176" spans="3:4" x14ac:dyDescent="0.45">
      <c r="C176" s="93"/>
      <c r="D176" s="93"/>
    </row>
    <row r="177" spans="3:4" x14ac:dyDescent="0.45">
      <c r="C177" s="93"/>
      <c r="D177" s="93"/>
    </row>
    <row r="178" spans="3:4" x14ac:dyDescent="0.45">
      <c r="C178" s="93"/>
      <c r="D178" s="93"/>
    </row>
    <row r="179" spans="3:4" x14ac:dyDescent="0.45">
      <c r="C179" s="93"/>
      <c r="D179" s="93"/>
    </row>
    <row r="180" spans="3:4" x14ac:dyDescent="0.45">
      <c r="C180" s="93"/>
      <c r="D180" s="93"/>
    </row>
    <row r="181" spans="3:4" x14ac:dyDescent="0.45">
      <c r="C181" s="93"/>
      <c r="D181" s="93"/>
    </row>
    <row r="182" spans="3:4" x14ac:dyDescent="0.45">
      <c r="C182" s="93"/>
      <c r="D182" s="93"/>
    </row>
    <row r="183" spans="3:4" x14ac:dyDescent="0.45">
      <c r="C183" s="93"/>
      <c r="D183" s="93"/>
    </row>
    <row r="184" spans="3:4" x14ac:dyDescent="0.45">
      <c r="C184" s="93"/>
      <c r="D184" s="93"/>
    </row>
    <row r="185" spans="3:4" x14ac:dyDescent="0.45">
      <c r="C185" s="93"/>
      <c r="D185" s="93"/>
    </row>
    <row r="186" spans="3:4" x14ac:dyDescent="0.45">
      <c r="C186" s="93"/>
      <c r="D186" s="93"/>
    </row>
    <row r="187" spans="3:4" x14ac:dyDescent="0.45">
      <c r="C187" s="93"/>
      <c r="D187" s="93"/>
    </row>
    <row r="188" spans="3:4" x14ac:dyDescent="0.45">
      <c r="C188" s="93"/>
      <c r="D188" s="93"/>
    </row>
    <row r="189" spans="3:4" x14ac:dyDescent="0.45">
      <c r="C189" s="93"/>
      <c r="D189" s="93"/>
    </row>
    <row r="190" spans="3:4" x14ac:dyDescent="0.45">
      <c r="C190" s="93"/>
      <c r="D190" s="93"/>
    </row>
    <row r="191" spans="3:4" x14ac:dyDescent="0.45">
      <c r="C191" s="93"/>
      <c r="D191" s="93"/>
    </row>
    <row r="192" spans="3:4" x14ac:dyDescent="0.45">
      <c r="C192" s="93"/>
      <c r="D192" s="93"/>
    </row>
    <row r="193" spans="3:4" x14ac:dyDescent="0.45">
      <c r="C193" s="93"/>
      <c r="D193" s="93"/>
    </row>
    <row r="194" spans="3:4" x14ac:dyDescent="0.45">
      <c r="C194" s="93"/>
      <c r="D194" s="93"/>
    </row>
    <row r="195" spans="3:4" x14ac:dyDescent="0.45">
      <c r="C195" s="93"/>
      <c r="D195" s="93"/>
    </row>
    <row r="196" spans="3:4" x14ac:dyDescent="0.45">
      <c r="C196" s="93"/>
      <c r="D196" s="93"/>
    </row>
    <row r="197" spans="3:4" x14ac:dyDescent="0.45">
      <c r="C197" s="93"/>
      <c r="D197" s="93"/>
    </row>
    <row r="198" spans="3:4" x14ac:dyDescent="0.45">
      <c r="C198" s="93"/>
      <c r="D198" s="93"/>
    </row>
    <row r="199" spans="3:4" x14ac:dyDescent="0.45">
      <c r="C199" s="93"/>
      <c r="D199" s="93"/>
    </row>
    <row r="200" spans="3:4" x14ac:dyDescent="0.45">
      <c r="C200" s="93"/>
      <c r="D200" s="93"/>
    </row>
    <row r="201" spans="3:4" x14ac:dyDescent="0.45">
      <c r="C201" s="93"/>
      <c r="D201" s="93"/>
    </row>
    <row r="202" spans="3:4" x14ac:dyDescent="0.45">
      <c r="C202" s="93"/>
      <c r="D202" s="93"/>
    </row>
    <row r="203" spans="3:4" x14ac:dyDescent="0.45">
      <c r="C203" s="93"/>
      <c r="D203" s="93"/>
    </row>
    <row r="204" spans="3:4" x14ac:dyDescent="0.45">
      <c r="C204" s="93"/>
      <c r="D204" s="93"/>
    </row>
    <row r="205" spans="3:4" x14ac:dyDescent="0.45">
      <c r="C205" s="93"/>
      <c r="D205" s="93"/>
    </row>
    <row r="206" spans="3:4" x14ac:dyDescent="0.45">
      <c r="C206" s="93"/>
      <c r="D206" s="93"/>
    </row>
    <row r="207" spans="3:4" x14ac:dyDescent="0.45">
      <c r="C207" s="93"/>
      <c r="D207" s="93"/>
    </row>
    <row r="208" spans="3:4" x14ac:dyDescent="0.45">
      <c r="C208" s="93"/>
      <c r="D208" s="93"/>
    </row>
    <row r="209" spans="3:4" x14ac:dyDescent="0.45">
      <c r="C209" s="93"/>
      <c r="D209" s="93"/>
    </row>
    <row r="210" spans="3:4" x14ac:dyDescent="0.45">
      <c r="C210" s="93"/>
      <c r="D210" s="93"/>
    </row>
    <row r="211" spans="3:4" x14ac:dyDescent="0.45">
      <c r="C211" s="93"/>
      <c r="D211" s="93"/>
    </row>
    <row r="212" spans="3:4" x14ac:dyDescent="0.45">
      <c r="C212" s="93"/>
      <c r="D212" s="93"/>
    </row>
    <row r="213" spans="3:4" x14ac:dyDescent="0.45">
      <c r="C213" s="93"/>
      <c r="D213" s="93"/>
    </row>
    <row r="214" spans="3:4" x14ac:dyDescent="0.45">
      <c r="C214" s="93"/>
      <c r="D214" s="93"/>
    </row>
    <row r="215" spans="3:4" x14ac:dyDescent="0.45">
      <c r="C215" s="93"/>
      <c r="D215" s="93"/>
    </row>
    <row r="216" spans="3:4" x14ac:dyDescent="0.45">
      <c r="C216" s="93"/>
      <c r="D216" s="93"/>
    </row>
    <row r="217" spans="3:4" x14ac:dyDescent="0.45">
      <c r="C217" s="93"/>
      <c r="D217" s="93"/>
    </row>
    <row r="218" spans="3:4" x14ac:dyDescent="0.45">
      <c r="C218" s="93"/>
      <c r="D218" s="93"/>
    </row>
    <row r="219" spans="3:4" x14ac:dyDescent="0.45">
      <c r="C219" s="93"/>
      <c r="D219" s="93"/>
    </row>
    <row r="220" spans="3:4" x14ac:dyDescent="0.45">
      <c r="C220" s="93"/>
      <c r="D220" s="93"/>
    </row>
    <row r="221" spans="3:4" x14ac:dyDescent="0.45">
      <c r="C221" s="93"/>
      <c r="D221" s="93"/>
    </row>
    <row r="222" spans="3:4" x14ac:dyDescent="0.45">
      <c r="C222" s="93"/>
      <c r="D222" s="93"/>
    </row>
    <row r="223" spans="3:4" x14ac:dyDescent="0.45">
      <c r="C223" s="93"/>
      <c r="D223" s="93"/>
    </row>
    <row r="224" spans="3:4" x14ac:dyDescent="0.45">
      <c r="C224" s="93"/>
      <c r="D224" s="93"/>
    </row>
    <row r="225" spans="3:4" x14ac:dyDescent="0.45">
      <c r="C225" s="93"/>
      <c r="D225" s="93"/>
    </row>
    <row r="226" spans="3:4" x14ac:dyDescent="0.45">
      <c r="C226" s="93"/>
      <c r="D226" s="93"/>
    </row>
    <row r="227" spans="3:4" x14ac:dyDescent="0.45">
      <c r="C227" s="93"/>
      <c r="D227" s="93"/>
    </row>
    <row r="228" spans="3:4" x14ac:dyDescent="0.45">
      <c r="C228" s="93"/>
      <c r="D228" s="93"/>
    </row>
    <row r="229" spans="3:4" x14ac:dyDescent="0.45">
      <c r="C229" s="93"/>
      <c r="D229" s="93"/>
    </row>
    <row r="230" spans="3:4" x14ac:dyDescent="0.45">
      <c r="C230" s="93"/>
      <c r="D230" s="93"/>
    </row>
    <row r="231" spans="3:4" x14ac:dyDescent="0.45">
      <c r="C231" s="93"/>
      <c r="D231" s="93"/>
    </row>
    <row r="232" spans="3:4" x14ac:dyDescent="0.45">
      <c r="C232" s="93"/>
      <c r="D232" s="93"/>
    </row>
    <row r="233" spans="3:4" x14ac:dyDescent="0.45">
      <c r="C233" s="93"/>
      <c r="D233" s="93"/>
    </row>
    <row r="234" spans="3:4" x14ac:dyDescent="0.45">
      <c r="C234" s="93"/>
      <c r="D234" s="93"/>
    </row>
    <row r="235" spans="3:4" x14ac:dyDescent="0.45">
      <c r="C235" s="93"/>
      <c r="D235" s="93"/>
    </row>
    <row r="236" spans="3:4" x14ac:dyDescent="0.45">
      <c r="C236" s="93"/>
      <c r="D236" s="93"/>
    </row>
    <row r="237" spans="3:4" x14ac:dyDescent="0.45">
      <c r="C237" s="93"/>
      <c r="D237" s="93"/>
    </row>
    <row r="238" spans="3:4" x14ac:dyDescent="0.45">
      <c r="C238" s="93"/>
      <c r="D238" s="93"/>
    </row>
    <row r="239" spans="3:4" x14ac:dyDescent="0.45">
      <c r="C239" s="93"/>
      <c r="D239" s="93"/>
    </row>
    <row r="240" spans="3:4" x14ac:dyDescent="0.45">
      <c r="C240" s="93"/>
      <c r="D240" s="93"/>
    </row>
    <row r="241" spans="3:4" x14ac:dyDescent="0.45">
      <c r="C241" s="93"/>
      <c r="D241" s="93"/>
    </row>
    <row r="242" spans="3:4" x14ac:dyDescent="0.45">
      <c r="C242" s="93"/>
      <c r="D242" s="93"/>
    </row>
    <row r="243" spans="3:4" x14ac:dyDescent="0.45">
      <c r="C243" s="93"/>
      <c r="D243" s="93"/>
    </row>
    <row r="244" spans="3:4" x14ac:dyDescent="0.45">
      <c r="C244" s="93"/>
      <c r="D244" s="93"/>
    </row>
    <row r="245" spans="3:4" x14ac:dyDescent="0.45">
      <c r="C245" s="93"/>
      <c r="D245" s="93"/>
    </row>
    <row r="246" spans="3:4" x14ac:dyDescent="0.45">
      <c r="C246" s="93"/>
      <c r="D246" s="93"/>
    </row>
    <row r="247" spans="3:4" x14ac:dyDescent="0.45">
      <c r="C247" s="93"/>
      <c r="D247" s="93"/>
    </row>
    <row r="248" spans="3:4" x14ac:dyDescent="0.45">
      <c r="C248" s="93"/>
      <c r="D248" s="93"/>
    </row>
    <row r="249" spans="3:4" x14ac:dyDescent="0.45">
      <c r="C249" s="93"/>
      <c r="D249" s="93"/>
    </row>
    <row r="250" spans="3:4" x14ac:dyDescent="0.45">
      <c r="C250" s="93"/>
      <c r="D250" s="93"/>
    </row>
    <row r="251" spans="3:4" x14ac:dyDescent="0.45">
      <c r="C251" s="93"/>
      <c r="D251" s="93"/>
    </row>
    <row r="252" spans="3:4" x14ac:dyDescent="0.45">
      <c r="C252" s="93"/>
      <c r="D252" s="93"/>
    </row>
    <row r="253" spans="3:4" x14ac:dyDescent="0.45">
      <c r="C253" s="93"/>
      <c r="D253" s="93"/>
    </row>
    <row r="254" spans="3:4" x14ac:dyDescent="0.45">
      <c r="C254" s="93"/>
      <c r="D254" s="93"/>
    </row>
    <row r="255" spans="3:4" x14ac:dyDescent="0.45">
      <c r="C255" s="93"/>
      <c r="D255" s="93"/>
    </row>
    <row r="256" spans="3:4" x14ac:dyDescent="0.45">
      <c r="C256" s="93"/>
      <c r="D256" s="93"/>
    </row>
    <row r="257" spans="3:4" x14ac:dyDescent="0.45">
      <c r="C257" s="93"/>
      <c r="D257" s="93"/>
    </row>
    <row r="258" spans="3:4" x14ac:dyDescent="0.45">
      <c r="C258" s="93"/>
      <c r="D258" s="93"/>
    </row>
    <row r="259" spans="3:4" x14ac:dyDescent="0.45">
      <c r="C259" s="93"/>
      <c r="D259" s="93"/>
    </row>
    <row r="260" spans="3:4" x14ac:dyDescent="0.45">
      <c r="C260" s="93"/>
      <c r="D260" s="93"/>
    </row>
    <row r="261" spans="3:4" x14ac:dyDescent="0.45">
      <c r="C261" s="93"/>
      <c r="D261" s="93"/>
    </row>
    <row r="262" spans="3:4" x14ac:dyDescent="0.45">
      <c r="C262" s="93"/>
      <c r="D262" s="93"/>
    </row>
    <row r="263" spans="3:4" x14ac:dyDescent="0.45">
      <c r="C263" s="93"/>
      <c r="D263" s="93"/>
    </row>
    <row r="264" spans="3:4" x14ac:dyDescent="0.45">
      <c r="C264" s="93"/>
      <c r="D264" s="93"/>
    </row>
    <row r="265" spans="3:4" x14ac:dyDescent="0.45">
      <c r="C265" s="93"/>
      <c r="D265" s="93"/>
    </row>
    <row r="266" spans="3:4" x14ac:dyDescent="0.45">
      <c r="C266" s="93"/>
      <c r="D266" s="93"/>
    </row>
    <row r="267" spans="3:4" x14ac:dyDescent="0.45">
      <c r="C267" s="93"/>
      <c r="D267" s="93"/>
    </row>
    <row r="268" spans="3:4" x14ac:dyDescent="0.45">
      <c r="C268" s="93"/>
      <c r="D268" s="93"/>
    </row>
    <row r="269" spans="3:4" x14ac:dyDescent="0.45">
      <c r="C269" s="93"/>
      <c r="D269" s="93"/>
    </row>
    <row r="270" spans="3:4" x14ac:dyDescent="0.45">
      <c r="C270" s="93"/>
      <c r="D270" s="93"/>
    </row>
    <row r="271" spans="3:4" x14ac:dyDescent="0.45">
      <c r="C271" s="93"/>
      <c r="D271" s="93"/>
    </row>
    <row r="272" spans="3:4" x14ac:dyDescent="0.45">
      <c r="C272" s="93"/>
      <c r="D272" s="93"/>
    </row>
    <row r="273" spans="3:4" x14ac:dyDescent="0.45">
      <c r="C273" s="93"/>
      <c r="D273" s="93"/>
    </row>
    <row r="274" spans="3:4" x14ac:dyDescent="0.45">
      <c r="C274" s="93"/>
      <c r="D274" s="93"/>
    </row>
  </sheetData>
  <sheetProtection algorithmName="SHA-512" hashValue="s/Y35ygH899+PA0uAJaOBnhazKBLxI8wkgjw4NC3tNXhFK/9hJlbiYx6OeXBvV9ztPwURFjn5sgO09NWrxOaiw==" saltValue="ZTVkEE7Iitf3v15SATENBA==" spinCount="100000" sheet="1" objects="1" scenarios="1"/>
  <mergeCells count="3">
    <mergeCell ref="B2:D6"/>
    <mergeCell ref="B16:D20"/>
    <mergeCell ref="B24:D28"/>
  </mergeCells>
  <hyperlinks>
    <hyperlink ref="B35" r:id="rId1" xr:uid="{3D78DE8C-F5DC-4269-8CD6-1298F324E104}"/>
    <hyperlink ref="B37" r:id="rId2" xr:uid="{70B1804C-9946-4403-823D-FC9E7870E44B}"/>
    <hyperlink ref="B38" r:id="rId3" xr:uid="{F8D0D953-F83C-4508-9C4D-68F845B8EB5B}"/>
    <hyperlink ref="B39" r:id="rId4" location="targetText=%2D%20Tiempo%20de%20Retardo%20%3D%20tiempo%20que,gravedad%20del%20Hidrograma%20de%20caudales.&amp;targetText=A%20partir%20de%20ese%20momento,2." display="http://www.fca.uner.edu.ar/files/academica/deptos/catedras/riego/Archivos/Cap%2006%20-%20Escurrimiento%20Superficial.pdf#targetText=%2D%20Tiempo%20de%20Retardo%20%3D%20tiempo%20que,gravedad%20del%20Hidrograma%20de%20caudales.&amp;targetText=A%20partir%20de%20ese%20momento,2." xr:uid="{CCC01F3D-BB65-4D36-9EBF-5F8B3AB2EE9C}"/>
  </hyperlinks>
  <pageMargins left="0.7" right="0.7" top="0.75" bottom="0.75" header="0.3" footer="0.3"/>
  <pageSetup orientation="portrait" r:id="rId5"/>
  <drawing r:id="rId6"/>
  <legacyDrawing r:id="rId7"/>
  <oleObjects>
    <mc:AlternateContent xmlns:mc="http://schemas.openxmlformats.org/markup-compatibility/2006">
      <mc:Choice Requires="x14">
        <oleObject progId="Equation.DSMT4" shapeId="30721" r:id="rId8">
          <objectPr defaultSize="0" autoPict="0" r:id="rId9">
            <anchor moveWithCells="1">
              <from>
                <xdr:col>3</xdr:col>
                <xdr:colOff>161925</xdr:colOff>
                <xdr:row>6</xdr:row>
                <xdr:rowOff>142875</xdr:rowOff>
              </from>
              <to>
                <xdr:col>3</xdr:col>
                <xdr:colOff>2400300</xdr:colOff>
                <xdr:row>6</xdr:row>
                <xdr:rowOff>609600</xdr:rowOff>
              </to>
            </anchor>
          </objectPr>
        </oleObject>
      </mc:Choice>
      <mc:Fallback>
        <oleObject progId="Equation.DSMT4" shapeId="30721" r:id="rId8"/>
      </mc:Fallback>
    </mc:AlternateContent>
    <mc:AlternateContent xmlns:mc="http://schemas.openxmlformats.org/markup-compatibility/2006">
      <mc:Choice Requires="x14">
        <oleObject progId="Equation.DSMT4" shapeId="30722" r:id="rId10">
          <objectPr defaultSize="0" autoPict="0" r:id="rId11">
            <anchor moveWithCells="1">
              <from>
                <xdr:col>3</xdr:col>
                <xdr:colOff>733425</xdr:colOff>
                <xdr:row>10</xdr:row>
                <xdr:rowOff>104775</xdr:rowOff>
              </from>
              <to>
                <xdr:col>3</xdr:col>
                <xdr:colOff>1638300</xdr:colOff>
                <xdr:row>10</xdr:row>
                <xdr:rowOff>304800</xdr:rowOff>
              </to>
            </anchor>
          </objectPr>
        </oleObject>
      </mc:Choice>
      <mc:Fallback>
        <oleObject progId="Equation.DSMT4" shapeId="30722" r:id="rId10"/>
      </mc:Fallback>
    </mc:AlternateContent>
    <mc:AlternateContent xmlns:mc="http://schemas.openxmlformats.org/markup-compatibility/2006">
      <mc:Choice Requires="x14">
        <oleObject progId="Equation.DSMT4" shapeId="30723" r:id="rId12">
          <objectPr defaultSize="0" autoPict="0" r:id="rId13">
            <anchor moveWithCells="1">
              <from>
                <xdr:col>3</xdr:col>
                <xdr:colOff>666750</xdr:colOff>
                <xdr:row>8</xdr:row>
                <xdr:rowOff>95250</xdr:rowOff>
              </from>
              <to>
                <xdr:col>3</xdr:col>
                <xdr:colOff>1838325</xdr:colOff>
                <xdr:row>8</xdr:row>
                <xdr:rowOff>561975</xdr:rowOff>
              </to>
            </anchor>
          </objectPr>
        </oleObject>
      </mc:Choice>
      <mc:Fallback>
        <oleObject progId="Equation.DSMT4" shapeId="30723" r:id="rId12"/>
      </mc:Fallback>
    </mc:AlternateContent>
    <mc:AlternateContent xmlns:mc="http://schemas.openxmlformats.org/markup-compatibility/2006">
      <mc:Choice Requires="x14">
        <oleObject progId="Equation.DSMT4" shapeId="30724" r:id="rId14">
          <objectPr defaultSize="0" autoPict="0" r:id="rId15">
            <anchor moveWithCells="1">
              <from>
                <xdr:col>3</xdr:col>
                <xdr:colOff>495300</xdr:colOff>
                <xdr:row>11</xdr:row>
                <xdr:rowOff>76200</xdr:rowOff>
              </from>
              <to>
                <xdr:col>3</xdr:col>
                <xdr:colOff>1685925</xdr:colOff>
                <xdr:row>11</xdr:row>
                <xdr:rowOff>571500</xdr:rowOff>
              </to>
            </anchor>
          </objectPr>
        </oleObject>
      </mc:Choice>
      <mc:Fallback>
        <oleObject progId="Equation.DSMT4" shapeId="30724" r:id="rId14"/>
      </mc:Fallback>
    </mc:AlternateContent>
    <mc:AlternateContent xmlns:mc="http://schemas.openxmlformats.org/markup-compatibility/2006">
      <mc:Choice Requires="x14">
        <oleObject progId="Equation.DSMT4" shapeId="30725" r:id="rId16">
          <objectPr defaultSize="0" r:id="rId17">
            <anchor moveWithCells="1">
              <from>
                <xdr:col>3</xdr:col>
                <xdr:colOff>161925</xdr:colOff>
                <xdr:row>12</xdr:row>
                <xdr:rowOff>219075</xdr:rowOff>
              </from>
              <to>
                <xdr:col>3</xdr:col>
                <xdr:colOff>2133600</xdr:colOff>
                <xdr:row>12</xdr:row>
                <xdr:rowOff>419100</xdr:rowOff>
              </to>
            </anchor>
          </objectPr>
        </oleObject>
      </mc:Choice>
      <mc:Fallback>
        <oleObject progId="Equation.DSMT4" shapeId="30725" r:id="rId16"/>
      </mc:Fallback>
    </mc:AlternateContent>
    <mc:AlternateContent xmlns:mc="http://schemas.openxmlformats.org/markup-compatibility/2006">
      <mc:Choice Requires="x14">
        <oleObject progId="Equation.DSMT4" shapeId="30726" r:id="rId18">
          <objectPr defaultSize="0" r:id="rId19">
            <anchor moveWithCells="1">
              <from>
                <xdr:col>3</xdr:col>
                <xdr:colOff>485775</xdr:colOff>
                <xdr:row>13</xdr:row>
                <xdr:rowOff>142875</xdr:rowOff>
              </from>
              <to>
                <xdr:col>3</xdr:col>
                <xdr:colOff>1866900</xdr:colOff>
                <xdr:row>13</xdr:row>
                <xdr:rowOff>638175</xdr:rowOff>
              </to>
            </anchor>
          </objectPr>
        </oleObject>
      </mc:Choice>
      <mc:Fallback>
        <oleObject progId="Equation.DSMT4" shapeId="30726" r:id="rId18"/>
      </mc:Fallback>
    </mc:AlternateContent>
    <mc:AlternateContent xmlns:mc="http://schemas.openxmlformats.org/markup-compatibility/2006">
      <mc:Choice Requires="x14">
        <oleObject progId="Equation.DSMT4" shapeId="30727" r:id="rId20">
          <objectPr defaultSize="0" autoPict="0" r:id="rId21">
            <anchor moveWithCells="1">
              <from>
                <xdr:col>3</xdr:col>
                <xdr:colOff>552450</xdr:colOff>
                <xdr:row>7</xdr:row>
                <xdr:rowOff>66675</xdr:rowOff>
              </from>
              <to>
                <xdr:col>3</xdr:col>
                <xdr:colOff>1933575</xdr:colOff>
                <xdr:row>7</xdr:row>
                <xdr:rowOff>581025</xdr:rowOff>
              </to>
            </anchor>
          </objectPr>
        </oleObject>
      </mc:Choice>
      <mc:Fallback>
        <oleObject progId="Equation.DSMT4" shapeId="30727" r:id="rId20"/>
      </mc:Fallback>
    </mc:AlternateContent>
    <mc:AlternateContent xmlns:mc="http://schemas.openxmlformats.org/markup-compatibility/2006">
      <mc:Choice Requires="x14">
        <oleObject progId="Equation.DSMT4" shapeId="30728" r:id="rId22">
          <objectPr defaultSize="0" autoPict="0" r:id="rId23">
            <anchor moveWithCells="1">
              <from>
                <xdr:col>3</xdr:col>
                <xdr:colOff>419100</xdr:colOff>
                <xdr:row>9</xdr:row>
                <xdr:rowOff>47625</xdr:rowOff>
              </from>
              <to>
                <xdr:col>3</xdr:col>
                <xdr:colOff>1895475</xdr:colOff>
                <xdr:row>9</xdr:row>
                <xdr:rowOff>561975</xdr:rowOff>
              </to>
            </anchor>
          </objectPr>
        </oleObject>
      </mc:Choice>
      <mc:Fallback>
        <oleObject progId="Equation.DSMT4" shapeId="30728" r:id="rId22"/>
      </mc:Fallback>
    </mc:AlternateContent>
    <mc:AlternateContent xmlns:mc="http://schemas.openxmlformats.org/markup-compatibility/2006">
      <mc:Choice Requires="x14">
        <oleObject progId="Equation.DSMT4" shapeId="30729" r:id="rId24">
          <objectPr defaultSize="0" autoPict="0" r:id="rId25">
            <anchor moveWithCells="1">
              <from>
                <xdr:col>3</xdr:col>
                <xdr:colOff>790575</xdr:colOff>
                <xdr:row>20</xdr:row>
                <xdr:rowOff>114300</xdr:rowOff>
              </from>
              <to>
                <xdr:col>3</xdr:col>
                <xdr:colOff>1543050</xdr:colOff>
                <xdr:row>20</xdr:row>
                <xdr:rowOff>352425</xdr:rowOff>
              </to>
            </anchor>
          </objectPr>
        </oleObject>
      </mc:Choice>
      <mc:Fallback>
        <oleObject progId="Equation.DSMT4" shapeId="30729" r:id="rId24"/>
      </mc:Fallback>
    </mc:AlternateContent>
    <mc:AlternateContent xmlns:mc="http://schemas.openxmlformats.org/markup-compatibility/2006">
      <mc:Choice Requires="x14">
        <oleObject progId="Equation.DSMT4" shapeId="30730" r:id="rId26">
          <objectPr defaultSize="0" autoPict="0" r:id="rId27">
            <anchor moveWithCells="1">
              <from>
                <xdr:col>3</xdr:col>
                <xdr:colOff>66675</xdr:colOff>
                <xdr:row>21</xdr:row>
                <xdr:rowOff>209550</xdr:rowOff>
              </from>
              <to>
                <xdr:col>3</xdr:col>
                <xdr:colOff>1447800</xdr:colOff>
                <xdr:row>21</xdr:row>
                <xdr:rowOff>828675</xdr:rowOff>
              </to>
            </anchor>
          </objectPr>
        </oleObject>
      </mc:Choice>
      <mc:Fallback>
        <oleObject progId="Equation.DSMT4" shapeId="30730" r:id="rId26"/>
      </mc:Fallback>
    </mc:AlternateContent>
    <mc:AlternateContent xmlns:mc="http://schemas.openxmlformats.org/markup-compatibility/2006">
      <mc:Choice Requires="x14">
        <oleObject progId="Equation.DSMT4" shapeId="30731" r:id="rId28">
          <objectPr defaultSize="0" autoPict="0" r:id="rId29">
            <anchor moveWithCells="1">
              <from>
                <xdr:col>3</xdr:col>
                <xdr:colOff>1657350</xdr:colOff>
                <xdr:row>21</xdr:row>
                <xdr:rowOff>295275</xdr:rowOff>
              </from>
              <to>
                <xdr:col>3</xdr:col>
                <xdr:colOff>2457450</xdr:colOff>
                <xdr:row>21</xdr:row>
                <xdr:rowOff>685800</xdr:rowOff>
              </to>
            </anchor>
          </objectPr>
        </oleObject>
      </mc:Choice>
      <mc:Fallback>
        <oleObject progId="Equation.DSMT4" shapeId="30731" r:id="rId28"/>
      </mc:Fallback>
    </mc:AlternateContent>
    <mc:AlternateContent xmlns:mc="http://schemas.openxmlformats.org/markup-compatibility/2006">
      <mc:Choice Requires="x14">
        <oleObject progId="Equation.DSMT4" shapeId="30732" r:id="rId30">
          <objectPr defaultSize="0" autoPict="0" r:id="rId31">
            <anchor moveWithCells="1">
              <from>
                <xdr:col>3</xdr:col>
                <xdr:colOff>704850</xdr:colOff>
                <xdr:row>28</xdr:row>
                <xdr:rowOff>361950</xdr:rowOff>
              </from>
              <to>
                <xdr:col>3</xdr:col>
                <xdr:colOff>1657350</xdr:colOff>
                <xdr:row>28</xdr:row>
                <xdr:rowOff>809625</xdr:rowOff>
              </to>
            </anchor>
          </objectPr>
        </oleObject>
      </mc:Choice>
      <mc:Fallback>
        <oleObject progId="Equation.DSMT4" shapeId="30732" r:id="rId30"/>
      </mc:Fallback>
    </mc:AlternateContent>
    <mc:AlternateContent xmlns:mc="http://schemas.openxmlformats.org/markup-compatibility/2006">
      <mc:Choice Requires="x14">
        <oleObject progId="Equation.DSMT4" shapeId="30733" r:id="rId32">
          <objectPr defaultSize="0" r:id="rId33">
            <anchor moveWithCells="1">
              <from>
                <xdr:col>3</xdr:col>
                <xdr:colOff>619125</xdr:colOff>
                <xdr:row>29</xdr:row>
                <xdr:rowOff>752475</xdr:rowOff>
              </from>
              <to>
                <xdr:col>3</xdr:col>
                <xdr:colOff>1657350</xdr:colOff>
                <xdr:row>29</xdr:row>
                <xdr:rowOff>1171575</xdr:rowOff>
              </to>
            </anchor>
          </objectPr>
        </oleObject>
      </mc:Choice>
      <mc:Fallback>
        <oleObject progId="Equation.DSMT4" shapeId="30733" r:id="rId32"/>
      </mc:Fallback>
    </mc:AlternateContent>
    <mc:AlternateContent xmlns:mc="http://schemas.openxmlformats.org/markup-compatibility/2006">
      <mc:Choice Requires="x14">
        <oleObject progId="Equation.DSMT4" shapeId="30734" r:id="rId34">
          <objectPr defaultSize="0" r:id="rId35">
            <anchor moveWithCells="1">
              <from>
                <xdr:col>3</xdr:col>
                <xdr:colOff>714375</xdr:colOff>
                <xdr:row>30</xdr:row>
                <xdr:rowOff>1047750</xdr:rowOff>
              </from>
              <to>
                <xdr:col>3</xdr:col>
                <xdr:colOff>1571625</xdr:colOff>
                <xdr:row>30</xdr:row>
                <xdr:rowOff>1504950</xdr:rowOff>
              </to>
            </anchor>
          </objectPr>
        </oleObject>
      </mc:Choice>
      <mc:Fallback>
        <oleObject progId="Equation.DSMT4" shapeId="30734" r:id="rId34"/>
      </mc:Fallback>
    </mc:AlternateContent>
    <mc:AlternateContent xmlns:mc="http://schemas.openxmlformats.org/markup-compatibility/2006">
      <mc:Choice Requires="x14">
        <oleObject progId="Equation.DSMT4" shapeId="30735" r:id="rId36">
          <objectPr defaultSize="0" r:id="rId37">
            <anchor moveWithCells="1">
              <from>
                <xdr:col>3</xdr:col>
                <xdr:colOff>838200</xdr:colOff>
                <xdr:row>31</xdr:row>
                <xdr:rowOff>152400</xdr:rowOff>
              </from>
              <to>
                <xdr:col>3</xdr:col>
                <xdr:colOff>1371600</xdr:colOff>
                <xdr:row>31</xdr:row>
                <xdr:rowOff>571500</xdr:rowOff>
              </to>
            </anchor>
          </objectPr>
        </oleObject>
      </mc:Choice>
      <mc:Fallback>
        <oleObject progId="Equation.DSMT4" shapeId="30735" r:id="rId36"/>
      </mc:Fallback>
    </mc:AlternateContent>
  </oleObjec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A63C4E-DD53-48D1-B731-806C9BA2FCE8}">
  <dimension ref="A1:AN214"/>
  <sheetViews>
    <sheetView showGridLines="0" tabSelected="1" zoomScale="85" zoomScaleNormal="85" workbookViewId="0">
      <pane xSplit="4" ySplit="12" topLeftCell="Y13" activePane="bottomRight" state="frozen"/>
      <selection pane="topRight" activeCell="E1" sqref="E1"/>
      <selection pane="bottomLeft" activeCell="A12" sqref="A12"/>
      <selection pane="bottomRight" activeCell="AJ15" sqref="AJ15"/>
    </sheetView>
  </sheetViews>
  <sheetFormatPr defaultColWidth="9.1328125" defaultRowHeight="15.4" x14ac:dyDescent="0.45"/>
  <cols>
    <col min="1" max="1" width="2.73046875" style="19" customWidth="1"/>
    <col min="2" max="2" width="19.59765625" style="2" customWidth="1"/>
    <col min="3" max="5" width="11" style="2" customWidth="1"/>
    <col min="6" max="8" width="9.265625" style="2" customWidth="1"/>
    <col min="9" max="9" width="8.265625" style="2" customWidth="1"/>
    <col min="10" max="10" width="9.59765625" style="3" customWidth="1"/>
    <col min="11" max="11" width="24.73046875" style="3" customWidth="1"/>
    <col min="12" max="12" width="7.3984375" style="2" customWidth="1"/>
    <col min="13" max="13" width="33.1328125" style="2" customWidth="1"/>
    <col min="14" max="14" width="22.265625" style="2" customWidth="1"/>
    <col min="15" max="15" width="18" style="2" customWidth="1"/>
    <col min="16" max="16" width="24.1328125" style="2" customWidth="1"/>
    <col min="17" max="17" width="14.59765625" style="2" bestFit="1" customWidth="1"/>
    <col min="18" max="18" width="9.1328125" style="2" bestFit="1" customWidth="1"/>
    <col min="19" max="19" width="8.265625" style="2" bestFit="1" customWidth="1"/>
    <col min="20" max="20" width="8.1328125" style="2" customWidth="1"/>
    <col min="21" max="21" width="9.1328125" style="2" customWidth="1"/>
    <col min="22" max="22" width="15.265625" style="2" customWidth="1"/>
    <col min="23" max="24" width="11.1328125" style="2" customWidth="1"/>
    <col min="25" max="25" width="10.73046875" style="2" customWidth="1"/>
    <col min="26" max="26" width="10.86328125" style="2" customWidth="1"/>
    <col min="27" max="27" width="13" style="2" customWidth="1"/>
    <col min="28" max="28" width="10.73046875" style="2" customWidth="1"/>
    <col min="29" max="29" width="37" style="2" customWidth="1"/>
    <col min="30" max="30" width="18.265625" style="2" customWidth="1"/>
    <col min="31" max="31" width="21.86328125" style="2" customWidth="1"/>
    <col min="32" max="32" width="26.265625" style="2" customWidth="1"/>
    <col min="33" max="33" width="24.1328125" style="2" customWidth="1"/>
    <col min="34" max="34" width="34.3984375" style="2" customWidth="1"/>
    <col min="35" max="35" width="24" style="2" customWidth="1"/>
    <col min="36" max="36" width="24.1328125" style="2" customWidth="1"/>
    <col min="37" max="40" width="18.265625" style="2" customWidth="1"/>
    <col min="41" max="45" width="2.73046875" style="3" customWidth="1"/>
    <col min="46" max="16384" width="9.1328125" style="3"/>
  </cols>
  <sheetData>
    <row r="1" spans="1:40" x14ac:dyDescent="0.45">
      <c r="AM1" s="4"/>
      <c r="AN1" s="4"/>
    </row>
    <row r="2" spans="1:40" x14ac:dyDescent="0.45">
      <c r="B2" s="5" t="s">
        <v>465</v>
      </c>
      <c r="C2" s="5"/>
      <c r="D2" s="5"/>
    </row>
    <row r="3" spans="1:40" s="6" customFormat="1" ht="25.5" customHeight="1" x14ac:dyDescent="0.45">
      <c r="A3" s="20"/>
      <c r="B3" s="111" t="s">
        <v>466</v>
      </c>
      <c r="C3" s="115"/>
      <c r="D3" s="135"/>
      <c r="E3" s="111" t="s">
        <v>467</v>
      </c>
      <c r="F3" s="115"/>
      <c r="G3" s="115"/>
      <c r="H3" s="115"/>
      <c r="I3" s="115"/>
      <c r="J3" s="112"/>
      <c r="K3" s="111" t="s">
        <v>468</v>
      </c>
      <c r="L3" s="115"/>
      <c r="M3" s="112"/>
      <c r="N3" s="109" t="s">
        <v>469</v>
      </c>
      <c r="O3" s="111" t="s">
        <v>470</v>
      </c>
      <c r="P3" s="112"/>
      <c r="Q3" s="111" t="s">
        <v>471</v>
      </c>
      <c r="R3" s="115"/>
      <c r="S3" s="115"/>
      <c r="T3" s="115"/>
      <c r="U3" s="115"/>
      <c r="V3" s="115"/>
      <c r="W3" s="115"/>
      <c r="X3" s="115"/>
      <c r="Y3" s="115"/>
      <c r="Z3" s="115"/>
      <c r="AA3" s="115"/>
      <c r="AB3" s="112"/>
      <c r="AC3" s="111" t="s">
        <v>472</v>
      </c>
      <c r="AD3" s="115"/>
      <c r="AE3" s="115"/>
      <c r="AF3" s="115"/>
      <c r="AG3" s="115"/>
      <c r="AH3" s="115"/>
      <c r="AI3" s="115"/>
      <c r="AJ3" s="112"/>
      <c r="AK3" s="117" t="s">
        <v>473</v>
      </c>
      <c r="AL3" s="115"/>
      <c r="AM3" s="115"/>
      <c r="AN3" s="112"/>
    </row>
    <row r="4" spans="1:40" s="6" customFormat="1" ht="15" customHeight="1" x14ac:dyDescent="0.45">
      <c r="A4" s="20"/>
      <c r="B4" s="113"/>
      <c r="C4" s="116"/>
      <c r="D4" s="136"/>
      <c r="E4" s="113"/>
      <c r="F4" s="116"/>
      <c r="G4" s="116"/>
      <c r="H4" s="116"/>
      <c r="I4" s="116"/>
      <c r="J4" s="114"/>
      <c r="K4" s="113"/>
      <c r="L4" s="116"/>
      <c r="M4" s="114"/>
      <c r="N4" s="110"/>
      <c r="O4" s="113"/>
      <c r="P4" s="114"/>
      <c r="Q4" s="113"/>
      <c r="R4" s="116"/>
      <c r="S4" s="116"/>
      <c r="T4" s="116"/>
      <c r="U4" s="116"/>
      <c r="V4" s="116"/>
      <c r="W4" s="116"/>
      <c r="X4" s="116"/>
      <c r="Y4" s="116"/>
      <c r="Z4" s="116"/>
      <c r="AA4" s="116"/>
      <c r="AB4" s="114"/>
      <c r="AC4" s="113"/>
      <c r="AD4" s="116"/>
      <c r="AE4" s="116"/>
      <c r="AF4" s="116"/>
      <c r="AG4" s="116"/>
      <c r="AH4" s="116"/>
      <c r="AI4" s="116"/>
      <c r="AJ4" s="114"/>
      <c r="AK4" s="118"/>
      <c r="AL4" s="116"/>
      <c r="AM4" s="116"/>
      <c r="AN4" s="114"/>
    </row>
    <row r="5" spans="1:40" ht="15" customHeight="1" x14ac:dyDescent="0.45">
      <c r="B5" s="127" t="s">
        <v>239</v>
      </c>
      <c r="C5" s="128"/>
      <c r="D5" s="43" t="s">
        <v>235</v>
      </c>
      <c r="E5" s="44">
        <f t="shared" ref="E5:P5" si="0">MAX(E13:E213)</f>
        <v>27.289000000000001</v>
      </c>
      <c r="F5" s="45">
        <f t="shared" si="0"/>
        <v>51.966190490000002</v>
      </c>
      <c r="G5" s="45">
        <f t="shared" si="0"/>
        <v>0</v>
      </c>
      <c r="H5" s="45">
        <f t="shared" si="0"/>
        <v>0</v>
      </c>
      <c r="I5" s="45">
        <f t="shared" si="0"/>
        <v>0</v>
      </c>
      <c r="J5" s="46">
        <f t="shared" si="0"/>
        <v>50.2439885911975</v>
      </c>
      <c r="K5" s="44">
        <f t="shared" si="0"/>
        <v>66.450567260940048</v>
      </c>
      <c r="L5" s="45">
        <f t="shared" si="0"/>
        <v>82</v>
      </c>
      <c r="M5" s="46">
        <f t="shared" si="0"/>
        <v>91.375083574771566</v>
      </c>
      <c r="N5" s="47">
        <f t="shared" si="0"/>
        <v>0</v>
      </c>
      <c r="O5" s="44">
        <f t="shared" si="0"/>
        <v>6.8026428418238147</v>
      </c>
      <c r="P5" s="46">
        <f t="shared" si="0"/>
        <v>6.8067268779505854</v>
      </c>
      <c r="Q5" s="119" t="str">
        <f>B5</f>
        <v>Estadísticos</v>
      </c>
      <c r="R5" s="120"/>
      <c r="S5" s="120"/>
      <c r="T5" s="120"/>
      <c r="U5" s="48" t="str">
        <f>D5</f>
        <v>Máximo</v>
      </c>
      <c r="V5" s="45">
        <f t="shared" ref="V5:AN5" si="1">MAX(V13:V213)</f>
        <v>0</v>
      </c>
      <c r="W5" s="45">
        <f t="shared" si="1"/>
        <v>14.397244958481279</v>
      </c>
      <c r="X5" s="45">
        <f t="shared" si="1"/>
        <v>1</v>
      </c>
      <c r="Y5" s="45">
        <f t="shared" si="1"/>
        <v>0</v>
      </c>
      <c r="Z5" s="45">
        <f t="shared" si="1"/>
        <v>13.2443954816675</v>
      </c>
      <c r="AA5" s="45">
        <f t="shared" si="1"/>
        <v>17659.193975556798</v>
      </c>
      <c r="AB5" s="46">
        <f t="shared" si="1"/>
        <v>0.15506187888864401</v>
      </c>
      <c r="AC5" s="44">
        <f t="shared" si="1"/>
        <v>11.337738069706358</v>
      </c>
      <c r="AD5" s="45">
        <f t="shared" si="1"/>
        <v>2.669862456651015</v>
      </c>
      <c r="AE5" s="45">
        <f t="shared" si="1"/>
        <v>9.0495655607937078</v>
      </c>
      <c r="AF5" s="45">
        <f t="shared" si="1"/>
        <v>18.058004183866057</v>
      </c>
      <c r="AG5" s="45">
        <f t="shared" si="1"/>
        <v>78.061690141003567</v>
      </c>
      <c r="AH5" s="45">
        <f t="shared" si="1"/>
        <v>17.095771948366206</v>
      </c>
      <c r="AI5" s="45" t="e">
        <f t="shared" si="1"/>
        <v>#DIV/0!</v>
      </c>
      <c r="AJ5" s="46">
        <f t="shared" si="1"/>
        <v>23.8201981074039</v>
      </c>
      <c r="AK5" s="49">
        <f t="shared" si="1"/>
        <v>3.0949440712091589</v>
      </c>
      <c r="AL5" s="45">
        <f t="shared" si="1"/>
        <v>0.89087813436889007</v>
      </c>
      <c r="AM5" s="45">
        <f t="shared" si="1"/>
        <v>8.6684994843999998</v>
      </c>
      <c r="AN5" s="46">
        <f t="shared" si="1"/>
        <v>18.656716417910449</v>
      </c>
    </row>
    <row r="6" spans="1:40" ht="15" customHeight="1" x14ac:dyDescent="0.45">
      <c r="B6" s="129"/>
      <c r="C6" s="130"/>
      <c r="D6" s="24" t="s">
        <v>236</v>
      </c>
      <c r="E6" s="26">
        <f t="shared" ref="E6:P6" si="2">AVERAGE(E13:E213)</f>
        <v>7.2037282051282041</v>
      </c>
      <c r="F6" s="21">
        <f t="shared" si="2"/>
        <v>20.424343801512823</v>
      </c>
      <c r="G6" s="21" t="e">
        <f t="shared" si="2"/>
        <v>#DIV/0!</v>
      </c>
      <c r="H6" s="21" t="e">
        <f t="shared" si="2"/>
        <v>#DIV/0!</v>
      </c>
      <c r="I6" s="21" t="e">
        <f t="shared" si="2"/>
        <v>#DIV/0!</v>
      </c>
      <c r="J6" s="23">
        <f t="shared" si="2"/>
        <v>9.6586790625538583</v>
      </c>
      <c r="K6" s="26">
        <f t="shared" si="2"/>
        <v>51.122442062680015</v>
      </c>
      <c r="L6" s="21">
        <f t="shared" si="2"/>
        <v>69.785521432797609</v>
      </c>
      <c r="M6" s="23">
        <f t="shared" si="2"/>
        <v>83.871944824849919</v>
      </c>
      <c r="N6" s="34">
        <f t="shared" si="2"/>
        <v>0</v>
      </c>
      <c r="O6" s="26">
        <f t="shared" si="2"/>
        <v>2.4104106589856369</v>
      </c>
      <c r="P6" s="23">
        <f t="shared" si="2"/>
        <v>2.4118577736498272</v>
      </c>
      <c r="Q6" s="121"/>
      <c r="R6" s="122"/>
      <c r="S6" s="122"/>
      <c r="T6" s="122"/>
      <c r="U6" s="22" t="str">
        <f t="shared" ref="U6:U8" si="3">D6</f>
        <v>Medio</v>
      </c>
      <c r="V6" s="21">
        <f t="shared" ref="V6:AN6" si="4">AVERAGE(V13:V213)</f>
        <v>0</v>
      </c>
      <c r="W6" s="21">
        <f t="shared" si="4"/>
        <v>4.1324588126533888</v>
      </c>
      <c r="X6" s="21">
        <f t="shared" si="4"/>
        <v>1</v>
      </c>
      <c r="Y6" s="21">
        <f t="shared" si="4"/>
        <v>0</v>
      </c>
      <c r="Z6" s="21">
        <f t="shared" si="4"/>
        <v>5.4365104524976173</v>
      </c>
      <c r="AA6" s="21">
        <f t="shared" si="4"/>
        <v>7248.6806033302237</v>
      </c>
      <c r="AB6" s="23">
        <f t="shared" si="4"/>
        <v>1.7858168976398053E-2</v>
      </c>
      <c r="AC6" s="26">
        <f t="shared" si="4"/>
        <v>4.017351098309395</v>
      </c>
      <c r="AD6" s="21">
        <f t="shared" si="4"/>
        <v>1.4649966636506253</v>
      </c>
      <c r="AE6" s="21">
        <f t="shared" si="4"/>
        <v>3.1288718939814513</v>
      </c>
      <c r="AF6" s="21">
        <f t="shared" si="4"/>
        <v>2.5275572942292115</v>
      </c>
      <c r="AG6" s="21">
        <f t="shared" si="4"/>
        <v>7.2538403895135461</v>
      </c>
      <c r="AH6" s="21">
        <f t="shared" si="4"/>
        <v>3.8074653201821276</v>
      </c>
      <c r="AI6" s="21" t="e">
        <f t="shared" si="4"/>
        <v>#DIV/0!</v>
      </c>
      <c r="AJ6" s="23">
        <f t="shared" si="4"/>
        <v>5.6069467207370369</v>
      </c>
      <c r="AK6" s="25">
        <f t="shared" si="4"/>
        <v>2.2274720029900248</v>
      </c>
      <c r="AL6" s="21">
        <f t="shared" si="4"/>
        <v>0.26640202673891067</v>
      </c>
      <c r="AM6" s="21">
        <f t="shared" si="4"/>
        <v>1.0412138355239999</v>
      </c>
      <c r="AN6" s="23">
        <f t="shared" si="4"/>
        <v>1.1019229758427191</v>
      </c>
    </row>
    <row r="7" spans="1:40" ht="15" customHeight="1" x14ac:dyDescent="0.45">
      <c r="B7" s="129"/>
      <c r="C7" s="130"/>
      <c r="D7" s="24" t="s">
        <v>237</v>
      </c>
      <c r="E7" s="26">
        <f t="shared" ref="E7:P7" si="5">MIN(E13:E213)</f>
        <v>5.3600000000000002E-2</v>
      </c>
      <c r="F7" s="21">
        <f t="shared" si="5"/>
        <v>1.2884272290000001</v>
      </c>
      <c r="G7" s="21">
        <f t="shared" si="5"/>
        <v>0</v>
      </c>
      <c r="H7" s="21">
        <f t="shared" si="5"/>
        <v>0</v>
      </c>
      <c r="I7" s="21">
        <f t="shared" si="5"/>
        <v>0</v>
      </c>
      <c r="J7" s="23">
        <f t="shared" si="5"/>
        <v>2.0844143457332001</v>
      </c>
      <c r="K7" s="26">
        <f t="shared" si="5"/>
        <v>28.703158612715569</v>
      </c>
      <c r="L7" s="21">
        <f t="shared" si="5"/>
        <v>48.077554912500297</v>
      </c>
      <c r="M7" s="23">
        <f t="shared" si="5"/>
        <v>68.287901304577048</v>
      </c>
      <c r="N7" s="34">
        <f t="shared" si="5"/>
        <v>0</v>
      </c>
      <c r="O7" s="26">
        <f t="shared" si="5"/>
        <v>0.23644972663926067</v>
      </c>
      <c r="P7" s="23">
        <f t="shared" si="5"/>
        <v>0.23659168164824965</v>
      </c>
      <c r="Q7" s="121"/>
      <c r="R7" s="122"/>
      <c r="S7" s="122"/>
      <c r="T7" s="122"/>
      <c r="U7" s="22" t="str">
        <f t="shared" si="3"/>
        <v>Mínimo</v>
      </c>
      <c r="V7" s="21">
        <f t="shared" ref="V7:AN7" si="6">MIN(V13:V213)</f>
        <v>0</v>
      </c>
      <c r="W7" s="21">
        <f t="shared" si="6"/>
        <v>0.29151300947857439</v>
      </c>
      <c r="X7" s="21">
        <f t="shared" si="6"/>
        <v>1</v>
      </c>
      <c r="Y7" s="21">
        <f t="shared" si="6"/>
        <v>0</v>
      </c>
      <c r="Z7" s="21">
        <f t="shared" si="6"/>
        <v>0.32012989993576402</v>
      </c>
      <c r="AA7" s="21">
        <f t="shared" si="6"/>
        <v>426.83986658119102</v>
      </c>
      <c r="AB7" s="23">
        <f t="shared" si="6"/>
        <v>1.365697568E-5</v>
      </c>
      <c r="AC7" s="26">
        <f t="shared" si="6"/>
        <v>0.39408287773210116</v>
      </c>
      <c r="AD7" s="21">
        <f t="shared" si="6"/>
        <v>0.24997479008968598</v>
      </c>
      <c r="AE7" s="21">
        <f t="shared" si="6"/>
        <v>0.33420600228341618</v>
      </c>
      <c r="AF7" s="21">
        <f t="shared" si="6"/>
        <v>0.19823057226360599</v>
      </c>
      <c r="AG7" s="21">
        <f t="shared" si="6"/>
        <v>0.87657725452816049</v>
      </c>
      <c r="AH7" s="21">
        <f t="shared" si="6"/>
        <v>0.98804829475965217</v>
      </c>
      <c r="AI7" s="21" t="e">
        <f t="shared" si="6"/>
        <v>#DIV/0!</v>
      </c>
      <c r="AJ7" s="23">
        <f t="shared" si="6"/>
        <v>0.30859804234748495</v>
      </c>
      <c r="AK7" s="25">
        <f t="shared" si="6"/>
        <v>1.364484941523898</v>
      </c>
      <c r="AL7" s="21">
        <f t="shared" si="6"/>
        <v>9.7056026843636692E-2</v>
      </c>
      <c r="AM7" s="21">
        <f t="shared" si="6"/>
        <v>0.11093890104700001</v>
      </c>
      <c r="AN7" s="23">
        <f t="shared" si="6"/>
        <v>3.6644801934845539E-2</v>
      </c>
    </row>
    <row r="8" spans="1:40" ht="15" customHeight="1" x14ac:dyDescent="0.45">
      <c r="B8" s="131"/>
      <c r="C8" s="132"/>
      <c r="D8" s="50" t="s">
        <v>238</v>
      </c>
      <c r="E8" s="51">
        <f t="shared" ref="E8:P8" si="7">_xlfn.STDEV.S(E13:E213)</f>
        <v>5.8307574785943155</v>
      </c>
      <c r="F8" s="52">
        <f t="shared" si="7"/>
        <v>11.552251665505139</v>
      </c>
      <c r="G8" s="52" t="e">
        <f t="shared" si="7"/>
        <v>#DIV/0!</v>
      </c>
      <c r="H8" s="52" t="e">
        <f t="shared" si="7"/>
        <v>#DIV/0!</v>
      </c>
      <c r="I8" s="52" t="e">
        <f t="shared" si="7"/>
        <v>#DIV/0!</v>
      </c>
      <c r="J8" s="53">
        <f t="shared" si="7"/>
        <v>12.612956982618437</v>
      </c>
      <c r="K8" s="51">
        <f t="shared" si="7"/>
        <v>11.358098616213601</v>
      </c>
      <c r="L8" s="52">
        <f t="shared" si="7"/>
        <v>9.8898036340350721</v>
      </c>
      <c r="M8" s="53">
        <f t="shared" si="7"/>
        <v>6.5378702037569036</v>
      </c>
      <c r="N8" s="54">
        <f t="shared" si="7"/>
        <v>0</v>
      </c>
      <c r="O8" s="51">
        <f t="shared" si="7"/>
        <v>1.6435714803374677</v>
      </c>
      <c r="P8" s="53">
        <f t="shared" si="7"/>
        <v>1.644558215266628</v>
      </c>
      <c r="Q8" s="123"/>
      <c r="R8" s="124"/>
      <c r="S8" s="124"/>
      <c r="T8" s="124"/>
      <c r="U8" s="55" t="str">
        <f t="shared" si="3"/>
        <v>Desviación</v>
      </c>
      <c r="V8" s="52">
        <f t="shared" ref="V8:AN8" si="8">_xlfn.STDEV.S(V13:V213)</f>
        <v>0</v>
      </c>
      <c r="W8" s="52">
        <f t="shared" si="8"/>
        <v>3.2421501845348391</v>
      </c>
      <c r="X8" s="52">
        <f t="shared" si="8"/>
        <v>0</v>
      </c>
      <c r="Y8" s="52">
        <f t="shared" si="8"/>
        <v>0</v>
      </c>
      <c r="Z8" s="52">
        <f t="shared" si="8"/>
        <v>3.170769774666975</v>
      </c>
      <c r="AA8" s="52">
        <f t="shared" si="8"/>
        <v>4227.6930328893523</v>
      </c>
      <c r="AB8" s="53">
        <f t="shared" si="8"/>
        <v>3.5025081473045838E-2</v>
      </c>
      <c r="AC8" s="51">
        <f t="shared" si="8"/>
        <v>2.7392858005624481</v>
      </c>
      <c r="AD8" s="52">
        <f t="shared" si="8"/>
        <v>0.54599883952046901</v>
      </c>
      <c r="AE8" s="52">
        <f t="shared" si="8"/>
        <v>1.9738466656975333</v>
      </c>
      <c r="AF8" s="52">
        <f t="shared" si="8"/>
        <v>3.0466675382137969</v>
      </c>
      <c r="AG8" s="52">
        <f t="shared" si="8"/>
        <v>12.365383486670948</v>
      </c>
      <c r="AH8" s="52">
        <f t="shared" si="8"/>
        <v>2.8025520838641516</v>
      </c>
      <c r="AI8" s="52" t="e">
        <f t="shared" si="8"/>
        <v>#DIV/0!</v>
      </c>
      <c r="AJ8" s="53">
        <f t="shared" si="8"/>
        <v>4.7456488771837071</v>
      </c>
      <c r="AK8" s="56">
        <f t="shared" si="8"/>
        <v>0.42574423805711598</v>
      </c>
      <c r="AL8" s="52">
        <f t="shared" si="8"/>
        <v>0.13991975359101763</v>
      </c>
      <c r="AM8" s="52">
        <f t="shared" si="8"/>
        <v>1.4460897858056958</v>
      </c>
      <c r="AN8" s="53">
        <f t="shared" si="8"/>
        <v>3.4108246691866788</v>
      </c>
    </row>
    <row r="9" spans="1:40" s="7" customFormat="1" ht="46.15" x14ac:dyDescent="0.45">
      <c r="A9" s="20"/>
      <c r="B9" s="125" t="s">
        <v>0</v>
      </c>
      <c r="C9" s="103" t="s">
        <v>66</v>
      </c>
      <c r="D9" s="133" t="s">
        <v>63</v>
      </c>
      <c r="E9" s="125" t="s">
        <v>487</v>
      </c>
      <c r="F9" s="103" t="s">
        <v>57</v>
      </c>
      <c r="G9" s="103" t="s">
        <v>58</v>
      </c>
      <c r="H9" s="103" t="s">
        <v>59</v>
      </c>
      <c r="I9" s="103" t="s">
        <v>60</v>
      </c>
      <c r="J9" s="105" t="s">
        <v>61</v>
      </c>
      <c r="K9" s="39" t="s">
        <v>1</v>
      </c>
      <c r="L9" s="103" t="s">
        <v>2</v>
      </c>
      <c r="M9" s="40" t="s">
        <v>3</v>
      </c>
      <c r="N9" s="107" t="s">
        <v>461</v>
      </c>
      <c r="O9" s="39" t="s">
        <v>438</v>
      </c>
      <c r="P9" s="40" t="s">
        <v>62</v>
      </c>
      <c r="Q9" s="125" t="s">
        <v>4</v>
      </c>
      <c r="R9" s="103" t="s">
        <v>64</v>
      </c>
      <c r="S9" s="103" t="s">
        <v>63</v>
      </c>
      <c r="T9" s="103" t="s">
        <v>417</v>
      </c>
      <c r="U9" s="103" t="s">
        <v>65</v>
      </c>
      <c r="V9" s="103" t="s">
        <v>67</v>
      </c>
      <c r="W9" s="103" t="s">
        <v>54</v>
      </c>
      <c r="X9" s="103" t="s">
        <v>6</v>
      </c>
      <c r="Y9" s="103" t="s">
        <v>55</v>
      </c>
      <c r="Z9" s="103" t="s">
        <v>53</v>
      </c>
      <c r="AA9" s="103" t="s">
        <v>52</v>
      </c>
      <c r="AB9" s="105" t="s">
        <v>56</v>
      </c>
      <c r="AC9" s="39" t="s">
        <v>120</v>
      </c>
      <c r="AD9" s="41" t="s">
        <v>431</v>
      </c>
      <c r="AE9" s="41" t="s">
        <v>432</v>
      </c>
      <c r="AF9" s="41" t="s">
        <v>433</v>
      </c>
      <c r="AG9" s="41" t="s">
        <v>434</v>
      </c>
      <c r="AH9" s="41" t="s">
        <v>435</v>
      </c>
      <c r="AI9" s="41" t="s">
        <v>436</v>
      </c>
      <c r="AJ9" s="40" t="s">
        <v>437</v>
      </c>
      <c r="AK9" s="42" t="s">
        <v>439</v>
      </c>
      <c r="AL9" s="41" t="s">
        <v>440</v>
      </c>
      <c r="AM9" s="41" t="s">
        <v>441</v>
      </c>
      <c r="AN9" s="40" t="s">
        <v>488</v>
      </c>
    </row>
    <row r="10" spans="1:40" s="7" customFormat="1" ht="15" customHeight="1" x14ac:dyDescent="0.45">
      <c r="A10" s="20"/>
      <c r="B10" s="126"/>
      <c r="C10" s="104"/>
      <c r="D10" s="134"/>
      <c r="E10" s="126"/>
      <c r="F10" s="104"/>
      <c r="G10" s="104"/>
      <c r="H10" s="104"/>
      <c r="I10" s="104"/>
      <c r="J10" s="106"/>
      <c r="K10" s="27"/>
      <c r="L10" s="104"/>
      <c r="M10" s="100"/>
      <c r="N10" s="108"/>
      <c r="O10" s="97"/>
      <c r="P10" s="100"/>
      <c r="Q10" s="126"/>
      <c r="R10" s="104"/>
      <c r="S10" s="104"/>
      <c r="T10" s="104"/>
      <c r="U10" s="104"/>
      <c r="V10" s="104"/>
      <c r="W10" s="104"/>
      <c r="X10" s="104"/>
      <c r="Y10" s="104"/>
      <c r="Z10" s="104"/>
      <c r="AA10" s="104"/>
      <c r="AB10" s="106"/>
      <c r="AC10" s="97"/>
      <c r="AD10" s="94"/>
      <c r="AE10" s="94"/>
      <c r="AF10" s="94"/>
      <c r="AG10" s="94"/>
      <c r="AH10" s="94"/>
      <c r="AI10" s="94"/>
      <c r="AJ10" s="100"/>
      <c r="AK10" s="97"/>
      <c r="AL10" s="94"/>
      <c r="AM10" s="94"/>
      <c r="AN10" s="100"/>
    </row>
    <row r="11" spans="1:40" s="7" customFormat="1" ht="15" customHeight="1" x14ac:dyDescent="0.45">
      <c r="A11" s="20"/>
      <c r="B11" s="126"/>
      <c r="C11" s="104"/>
      <c r="D11" s="134"/>
      <c r="E11" s="126"/>
      <c r="F11" s="104"/>
      <c r="G11" s="104"/>
      <c r="H11" s="104"/>
      <c r="I11" s="104"/>
      <c r="J11" s="106"/>
      <c r="K11" s="27"/>
      <c r="L11" s="104"/>
      <c r="M11" s="101"/>
      <c r="N11" s="108"/>
      <c r="O11" s="98"/>
      <c r="P11" s="101"/>
      <c r="Q11" s="126"/>
      <c r="R11" s="104"/>
      <c r="S11" s="104"/>
      <c r="T11" s="104"/>
      <c r="U11" s="104"/>
      <c r="V11" s="104"/>
      <c r="W11" s="104"/>
      <c r="X11" s="104"/>
      <c r="Y11" s="104"/>
      <c r="Z11" s="104"/>
      <c r="AA11" s="104"/>
      <c r="AB11" s="106"/>
      <c r="AC11" s="98"/>
      <c r="AD11" s="95"/>
      <c r="AE11" s="95"/>
      <c r="AF11" s="95"/>
      <c r="AG11" s="95"/>
      <c r="AH11" s="95"/>
      <c r="AI11" s="95"/>
      <c r="AJ11" s="101"/>
      <c r="AK11" s="98"/>
      <c r="AL11" s="95"/>
      <c r="AM11" s="95"/>
      <c r="AN11" s="101"/>
    </row>
    <row r="12" spans="1:40" s="7" customFormat="1" ht="15" customHeight="1" x14ac:dyDescent="0.45">
      <c r="A12" s="20"/>
      <c r="B12" s="126"/>
      <c r="C12" s="104"/>
      <c r="D12" s="134"/>
      <c r="E12" s="126"/>
      <c r="F12" s="104"/>
      <c r="G12" s="104"/>
      <c r="H12" s="104"/>
      <c r="I12" s="104"/>
      <c r="J12" s="106"/>
      <c r="K12" s="27"/>
      <c r="L12" s="104"/>
      <c r="M12" s="102"/>
      <c r="N12" s="108"/>
      <c r="O12" s="99"/>
      <c r="P12" s="102"/>
      <c r="Q12" s="126"/>
      <c r="R12" s="104"/>
      <c r="S12" s="104"/>
      <c r="T12" s="104"/>
      <c r="U12" s="104"/>
      <c r="V12" s="104"/>
      <c r="W12" s="104"/>
      <c r="X12" s="104"/>
      <c r="Y12" s="104"/>
      <c r="Z12" s="104"/>
      <c r="AA12" s="104"/>
      <c r="AB12" s="106"/>
      <c r="AC12" s="99"/>
      <c r="AD12" s="96"/>
      <c r="AE12" s="96"/>
      <c r="AF12" s="96"/>
      <c r="AG12" s="96"/>
      <c r="AH12" s="96"/>
      <c r="AI12" s="96"/>
      <c r="AJ12" s="102"/>
      <c r="AK12" s="99"/>
      <c r="AL12" s="96"/>
      <c r="AM12" s="96"/>
      <c r="AN12" s="102"/>
    </row>
    <row r="13" spans="1:40" x14ac:dyDescent="0.45">
      <c r="A13" s="19">
        <v>1</v>
      </c>
      <c r="B13" s="57" t="s">
        <v>489</v>
      </c>
      <c r="C13" s="58" t="s">
        <v>490</v>
      </c>
      <c r="D13" s="59" t="s">
        <v>529</v>
      </c>
      <c r="E13" s="60">
        <v>8.3094000000000001</v>
      </c>
      <c r="F13" s="61">
        <v>19.44909148</v>
      </c>
      <c r="G13" s="61"/>
      <c r="H13" s="61"/>
      <c r="I13" s="61"/>
      <c r="J13" s="62">
        <v>46.101719261483197</v>
      </c>
      <c r="K13" s="28">
        <f>L13/(2.3-0.013*L13)</f>
        <v>51.905025986529438</v>
      </c>
      <c r="L13" s="69">
        <v>71.282559456398602</v>
      </c>
      <c r="M13" s="29">
        <f>L13/(0.43+0.0057*L13)</f>
        <v>85.234553289623108</v>
      </c>
      <c r="N13" s="71">
        <v>0</v>
      </c>
      <c r="O13" s="35">
        <f>0.6*AC13</f>
        <v>0.72629860624050946</v>
      </c>
      <c r="P13" s="16">
        <f t="shared" ref="P13:P44" si="9">((AA13/0.3048)^0.8*(((1000/L13)-10)+1)^0.7)/(1900*J13^0.5)</f>
        <v>0.7267346470287267</v>
      </c>
      <c r="Q13" s="57" t="s">
        <v>489</v>
      </c>
      <c r="R13" s="58" t="s">
        <v>529</v>
      </c>
      <c r="S13" s="58" t="s">
        <v>530</v>
      </c>
      <c r="T13" s="58">
        <f>IF(D13=S13,1,0)</f>
        <v>0</v>
      </c>
      <c r="U13" s="58"/>
      <c r="V13" s="73">
        <v>0</v>
      </c>
      <c r="W13" s="74">
        <v>3.1598475423105428</v>
      </c>
      <c r="X13" s="75">
        <v>1</v>
      </c>
      <c r="Y13" s="76">
        <v>0</v>
      </c>
      <c r="Z13" s="74">
        <v>5.1320306262985298</v>
      </c>
      <c r="AA13" s="73">
        <v>6842.7075017307097</v>
      </c>
      <c r="AB13" s="77">
        <v>0.124766120962214</v>
      </c>
      <c r="AC13" s="35">
        <f>(0.0526*(AA13/0.3048)^0.8*((1000/L13)-9)^0.7*J13^-0.5)/60</f>
        <v>1.2104976770675158</v>
      </c>
      <c r="AD13" s="15">
        <f t="shared" ref="AD13:AD44" si="10" xml:space="preserve"> 0.76 * (E13 ) ^ 0.38</f>
        <v>1.699221776727704</v>
      </c>
      <c r="AE13" s="15">
        <f xml:space="preserve"> 0.3 * ( Z13/ ( AB13^0.25 ) ) ^ 0.76</f>
        <v>1.5441259045855449</v>
      </c>
      <c r="AF13" s="15">
        <f>0.00013*(((Z13*1000)/0.3048)^0.77)/(AB13^0.385)</f>
        <v>0.52020835895393769</v>
      </c>
      <c r="AG13" s="15">
        <f t="shared" ref="AG13:AG44" si="11" xml:space="preserve"> ( 4 * E13 ^ 0.5 + 1.5 * Z13 ) / ( 25.3 * ( AB13 *Z13 ) ^ 0.5)</f>
        <v>0.94979740439670268</v>
      </c>
      <c r="AH13" s="15">
        <f t="shared" ref="AH13:AH44" si="12" xml:space="preserve"> 1.7694 * E13 ^ 0.325 * Z13 ^ -0.096 *( AB13*100) ^ -0.29</f>
        <v>1.4475392956837201</v>
      </c>
      <c r="AI13" s="15" t="e">
        <f t="shared" ref="AI13:AI44" si="13" xml:space="preserve"> (0.007*(0.035^0.8) * ((Z13*1000)/0.3048)^0.8)/((AB13^0.4)*(N13/25.4)^0.5)</f>
        <v>#DIV/0!</v>
      </c>
      <c r="AJ13" s="16">
        <f>0.335 * (E13 / AB13 ^ 0.5) ^ 0.593</f>
        <v>2.1795004110463956</v>
      </c>
      <c r="AK13" s="32">
        <f xml:space="preserve"> 0.28 * F13 /E13^0.5</f>
        <v>1.8891764258284207</v>
      </c>
      <c r="AL13" s="15">
        <f xml:space="preserve"> E13 / Z13 ^ 2</f>
        <v>0.31549405988504503</v>
      </c>
      <c r="AM13" s="15">
        <f t="shared" ref="AM13:AM44" si="14">W13/E13</f>
        <v>0.38027385157900001</v>
      </c>
      <c r="AN13" s="16">
        <f t="shared" ref="AN13:AN44" si="15">X13/E13</f>
        <v>0.12034563265699087</v>
      </c>
    </row>
    <row r="14" spans="1:40" x14ac:dyDescent="0.45">
      <c r="A14" s="19">
        <v>2</v>
      </c>
      <c r="B14" s="57" t="s">
        <v>489</v>
      </c>
      <c r="C14" s="58" t="s">
        <v>491</v>
      </c>
      <c r="D14" s="59" t="s">
        <v>529</v>
      </c>
      <c r="E14" s="60">
        <v>3.6766999999999999</v>
      </c>
      <c r="F14" s="61">
        <v>14.17267683</v>
      </c>
      <c r="G14" s="61"/>
      <c r="H14" s="61"/>
      <c r="I14" s="61"/>
      <c r="J14" s="62">
        <v>3.0278683450403001</v>
      </c>
      <c r="K14" s="28">
        <f t="shared" ref="K14:K158" si="16">L14/(2.3-0.013*L14)</f>
        <v>58.78633810226507</v>
      </c>
      <c r="L14" s="69">
        <v>76.6391912908243</v>
      </c>
      <c r="M14" s="29">
        <f t="shared" ref="M14:M137" si="17">L14/(0.43+0.0057*L14)</f>
        <v>88.41180788054406</v>
      </c>
      <c r="N14" s="71">
        <v>0</v>
      </c>
      <c r="O14" s="35">
        <f t="shared" ref="O14:O77" si="18">0.6*AC14</f>
        <v>1.950452559771932</v>
      </c>
      <c r="P14" s="16">
        <f t="shared" si="9"/>
        <v>1.9516235338922672</v>
      </c>
      <c r="Q14" s="57" t="s">
        <v>489</v>
      </c>
      <c r="R14" s="58" t="s">
        <v>529</v>
      </c>
      <c r="S14" s="58" t="s">
        <v>530</v>
      </c>
      <c r="T14" s="58">
        <f t="shared" ref="T14:T77" si="19">IF(D14=S14,1,0)</f>
        <v>0</v>
      </c>
      <c r="U14" s="58"/>
      <c r="V14" s="73">
        <v>0</v>
      </c>
      <c r="W14" s="74">
        <v>2.1927028757765341</v>
      </c>
      <c r="X14" s="75">
        <v>1</v>
      </c>
      <c r="Y14" s="76">
        <v>0</v>
      </c>
      <c r="Z14" s="74">
        <v>3.8893226156772598</v>
      </c>
      <c r="AA14" s="73">
        <v>5185.7634875699696</v>
      </c>
      <c r="AB14" s="77">
        <v>7.6621783736900001E-4</v>
      </c>
      <c r="AC14" s="35">
        <f t="shared" ref="AC14:AC77" si="20">(0.0526*(AA14/0.3048)^0.8*((1000/L14)-9)^0.7*J14^-0.5)/60</f>
        <v>3.2507542662865534</v>
      </c>
      <c r="AD14" s="15">
        <f t="shared" si="10"/>
        <v>1.2464868649479561</v>
      </c>
      <c r="AE14" s="15">
        <f t="shared" ref="AE14:AE44" si="21" xml:space="preserve"> 0.3 * ( Z14/ ( AB14^0.25 ) ) ^ 0.76</f>
        <v>3.2915354900040383</v>
      </c>
      <c r="AF14" s="15">
        <f t="shared" ref="AF14:AF44" si="22">0.00013*(((Z14*1000)/0.3048)^0.77)/(AB14^0.385)</f>
        <v>2.9852394198483689</v>
      </c>
      <c r="AG14" s="15">
        <f t="shared" si="11"/>
        <v>9.7774299572126466</v>
      </c>
      <c r="AH14" s="15">
        <f t="shared" si="12"/>
        <v>4.9947054336850663</v>
      </c>
      <c r="AI14" s="15" t="e">
        <f t="shared" si="13"/>
        <v>#DIV/0!</v>
      </c>
      <c r="AJ14" s="16">
        <f t="shared" ref="AJ14:AJ44" si="23">0.335 * (E14 / AB14 ^ 0.5) ^ 0.593</f>
        <v>6.0834658187683299</v>
      </c>
      <c r="AK14" s="32">
        <f t="shared" ref="AK14:AK44" si="24" xml:space="preserve"> 0.28 * F14 /E14^0.5</f>
        <v>2.0695733251933528</v>
      </c>
      <c r="AL14" s="15">
        <f t="shared" ref="AL14:AL44" si="25" xml:space="preserve"> E14 / Z14 ^ 2</f>
        <v>0.24305818870399754</v>
      </c>
      <c r="AM14" s="15">
        <f t="shared" si="14"/>
        <v>0.59637796822599998</v>
      </c>
      <c r="AN14" s="16">
        <f t="shared" si="15"/>
        <v>0.27198302825903664</v>
      </c>
    </row>
    <row r="15" spans="1:40" x14ac:dyDescent="0.45">
      <c r="A15" s="19">
        <v>3</v>
      </c>
      <c r="B15" s="57" t="s">
        <v>489</v>
      </c>
      <c r="C15" s="58" t="s">
        <v>492</v>
      </c>
      <c r="D15" s="59" t="s">
        <v>529</v>
      </c>
      <c r="E15" s="60">
        <v>1.5489999999999999</v>
      </c>
      <c r="F15" s="61">
        <v>8.6509187890000003</v>
      </c>
      <c r="G15" s="61"/>
      <c r="H15" s="61"/>
      <c r="I15" s="61"/>
      <c r="J15" s="62">
        <v>5.3848547840225001</v>
      </c>
      <c r="K15" s="28">
        <f t="shared" si="16"/>
        <v>48.730989162975888</v>
      </c>
      <c r="L15" s="69">
        <v>68.614067278287493</v>
      </c>
      <c r="M15" s="29">
        <f t="shared" si="17"/>
        <v>83.563575624797593</v>
      </c>
      <c r="N15" s="71">
        <v>0</v>
      </c>
      <c r="O15" s="35">
        <f t="shared" si="18"/>
        <v>1.148475756617338</v>
      </c>
      <c r="P15" s="16">
        <f t="shared" si="9"/>
        <v>1.1491652557708005</v>
      </c>
      <c r="Q15" s="57" t="s">
        <v>489</v>
      </c>
      <c r="R15" s="58" t="s">
        <v>529</v>
      </c>
      <c r="S15" s="58" t="s">
        <v>530</v>
      </c>
      <c r="T15" s="58">
        <f t="shared" si="19"/>
        <v>0</v>
      </c>
      <c r="U15" s="58"/>
      <c r="V15" s="73">
        <v>0</v>
      </c>
      <c r="W15" s="74">
        <v>2.3251069061972949</v>
      </c>
      <c r="X15" s="75">
        <v>1</v>
      </c>
      <c r="Y15" s="76">
        <v>0</v>
      </c>
      <c r="Z15" s="74">
        <v>2.17302901607093</v>
      </c>
      <c r="AA15" s="73">
        <v>2897.3720214282598</v>
      </c>
      <c r="AB15" s="77">
        <v>1.3386779660348999E-2</v>
      </c>
      <c r="AC15" s="35">
        <f t="shared" si="20"/>
        <v>1.9141262610288967</v>
      </c>
      <c r="AD15" s="15">
        <f t="shared" si="10"/>
        <v>0.89749725927535362</v>
      </c>
      <c r="AE15" s="15">
        <f t="shared" si="21"/>
        <v>1.2280685008838963</v>
      </c>
      <c r="AF15" s="15">
        <f t="shared" si="22"/>
        <v>0.6339017946026384</v>
      </c>
      <c r="AG15" s="15">
        <f t="shared" si="11"/>
        <v>1.9090838269665187</v>
      </c>
      <c r="AH15" s="15">
        <f t="shared" si="12"/>
        <v>1.739796167659974</v>
      </c>
      <c r="AI15" s="15" t="e">
        <f t="shared" si="13"/>
        <v>#DIV/0!</v>
      </c>
      <c r="AJ15" s="16">
        <f t="shared" si="23"/>
        <v>1.5602199602078834</v>
      </c>
      <c r="AK15" s="32">
        <f t="shared" si="24"/>
        <v>1.9462317695386548</v>
      </c>
      <c r="AL15" s="15">
        <f t="shared" si="25"/>
        <v>0.32803513844274362</v>
      </c>
      <c r="AM15" s="15">
        <f t="shared" si="14"/>
        <v>1.5010373829549999</v>
      </c>
      <c r="AN15" s="16">
        <f t="shared" si="15"/>
        <v>0.64557779212395094</v>
      </c>
    </row>
    <row r="16" spans="1:40" x14ac:dyDescent="0.45">
      <c r="A16" s="19">
        <v>4</v>
      </c>
      <c r="B16" s="57" t="s">
        <v>489</v>
      </c>
      <c r="C16" s="58" t="s">
        <v>493</v>
      </c>
      <c r="D16" s="59" t="s">
        <v>529</v>
      </c>
      <c r="E16" s="60">
        <v>3.2099000000000002</v>
      </c>
      <c r="F16" s="61">
        <v>12.08632761</v>
      </c>
      <c r="G16" s="61"/>
      <c r="H16" s="61"/>
      <c r="I16" s="61"/>
      <c r="J16" s="62">
        <v>2.3780284700848999</v>
      </c>
      <c r="K16" s="28">
        <f t="shared" si="16"/>
        <v>55.700927650007799</v>
      </c>
      <c r="L16" s="69">
        <v>74.306152487489001</v>
      </c>
      <c r="M16" s="29">
        <f t="shared" si="17"/>
        <v>87.055921439496018</v>
      </c>
      <c r="N16" s="71">
        <v>0</v>
      </c>
      <c r="O16" s="35">
        <f t="shared" si="18"/>
        <v>2.1023754826034367</v>
      </c>
      <c r="P16" s="16">
        <f t="shared" si="9"/>
        <v>2.1036376652025583</v>
      </c>
      <c r="Q16" s="57" t="s">
        <v>489</v>
      </c>
      <c r="R16" s="58" t="s">
        <v>529</v>
      </c>
      <c r="S16" s="58" t="s">
        <v>530</v>
      </c>
      <c r="T16" s="58">
        <f t="shared" si="19"/>
        <v>0</v>
      </c>
      <c r="U16" s="58"/>
      <c r="V16" s="73">
        <v>0</v>
      </c>
      <c r="W16" s="74">
        <v>1.4827394994033714</v>
      </c>
      <c r="X16" s="75">
        <v>1</v>
      </c>
      <c r="Y16" s="76">
        <v>0</v>
      </c>
      <c r="Z16" s="74">
        <v>3.37585664283682</v>
      </c>
      <c r="AA16" s="73">
        <v>4501.1421904489798</v>
      </c>
      <c r="AB16" s="77">
        <v>3.6858452268490002E-3</v>
      </c>
      <c r="AC16" s="35">
        <f t="shared" si="20"/>
        <v>3.5039591376723949</v>
      </c>
      <c r="AD16" s="15">
        <f t="shared" si="10"/>
        <v>1.1838055271124284</v>
      </c>
      <c r="AE16" s="15">
        <f t="shared" si="21"/>
        <v>2.1930626756033282</v>
      </c>
      <c r="AF16" s="15">
        <f t="shared" si="22"/>
        <v>1.462145952527564</v>
      </c>
      <c r="AG16" s="15">
        <f t="shared" si="11"/>
        <v>4.3336587613065145</v>
      </c>
      <c r="AH16" s="15">
        <f t="shared" si="12"/>
        <v>3.0719570561894938</v>
      </c>
      <c r="AI16" s="15" t="e">
        <f t="shared" si="13"/>
        <v>#DIV/0!</v>
      </c>
      <c r="AJ16" s="16">
        <f t="shared" si="23"/>
        <v>3.5230273896300237</v>
      </c>
      <c r="AK16" s="32">
        <f t="shared" si="24"/>
        <v>1.8888898892529129</v>
      </c>
      <c r="AL16" s="15">
        <f t="shared" si="25"/>
        <v>0.28165892090235689</v>
      </c>
      <c r="AM16" s="15">
        <f t="shared" si="14"/>
        <v>0.46192700688599997</v>
      </c>
      <c r="AN16" s="16">
        <f t="shared" si="15"/>
        <v>0.31153618492787938</v>
      </c>
    </row>
    <row r="17" spans="1:40" x14ac:dyDescent="0.45">
      <c r="A17" s="19">
        <v>5</v>
      </c>
      <c r="B17" s="57" t="s">
        <v>489</v>
      </c>
      <c r="C17" s="58" t="s">
        <v>494</v>
      </c>
      <c r="D17" s="59" t="s">
        <v>529</v>
      </c>
      <c r="E17" s="60">
        <v>10.413</v>
      </c>
      <c r="F17" s="61">
        <v>27.793104110000002</v>
      </c>
      <c r="G17" s="61"/>
      <c r="H17" s="61"/>
      <c r="I17" s="61"/>
      <c r="J17" s="62">
        <v>3.459658144949</v>
      </c>
      <c r="K17" s="28">
        <f t="shared" si="16"/>
        <v>65.516452055239085</v>
      </c>
      <c r="L17" s="69">
        <v>81.377496610935395</v>
      </c>
      <c r="M17" s="29">
        <f t="shared" si="17"/>
        <v>91.04138171642289</v>
      </c>
      <c r="N17" s="71">
        <v>0</v>
      </c>
      <c r="O17" s="35">
        <f t="shared" si="18"/>
        <v>2.6915769258312161</v>
      </c>
      <c r="P17" s="16">
        <f t="shared" si="9"/>
        <v>2.6931928415361384</v>
      </c>
      <c r="Q17" s="57" t="s">
        <v>489</v>
      </c>
      <c r="R17" s="58" t="s">
        <v>529</v>
      </c>
      <c r="S17" s="58" t="s">
        <v>530</v>
      </c>
      <c r="T17" s="58">
        <f t="shared" si="19"/>
        <v>0</v>
      </c>
      <c r="U17" s="58"/>
      <c r="V17" s="73">
        <v>0</v>
      </c>
      <c r="W17" s="74">
        <v>4.007282764638231</v>
      </c>
      <c r="X17" s="75">
        <v>1</v>
      </c>
      <c r="Y17" s="76">
        <v>0</v>
      </c>
      <c r="Z17" s="74">
        <v>7.5837783211342202</v>
      </c>
      <c r="AA17" s="73">
        <v>10111.7044281786</v>
      </c>
      <c r="AB17" s="77">
        <v>2.706540427199E-3</v>
      </c>
      <c r="AC17" s="35">
        <f t="shared" si="20"/>
        <v>4.485961543052027</v>
      </c>
      <c r="AD17" s="15">
        <f t="shared" si="10"/>
        <v>1.8513665905950623</v>
      </c>
      <c r="AE17" s="15">
        <f t="shared" si="21"/>
        <v>4.3020512010669831</v>
      </c>
      <c r="AF17" s="15">
        <f t="shared" si="22"/>
        <v>3.0710308303692679</v>
      </c>
      <c r="AG17" s="15">
        <f t="shared" si="11"/>
        <v>6.6994294570206625</v>
      </c>
      <c r="AH17" s="15">
        <f t="shared" si="12"/>
        <v>4.5568942410038344</v>
      </c>
      <c r="AI17" s="15" t="e">
        <f t="shared" si="13"/>
        <v>#DIV/0!</v>
      </c>
      <c r="AJ17" s="16">
        <f t="shared" si="23"/>
        <v>7.7581182034319163</v>
      </c>
      <c r="AK17" s="32">
        <f t="shared" si="24"/>
        <v>2.4116104183978671</v>
      </c>
      <c r="AL17" s="15">
        <f t="shared" si="25"/>
        <v>0.18105253451563511</v>
      </c>
      <c r="AM17" s="15">
        <f t="shared" si="14"/>
        <v>0.38483460718699997</v>
      </c>
      <c r="AN17" s="16">
        <f t="shared" si="15"/>
        <v>9.6033803898972439E-2</v>
      </c>
    </row>
    <row r="18" spans="1:40" x14ac:dyDescent="0.45">
      <c r="A18" s="19">
        <v>6</v>
      </c>
      <c r="B18" s="57" t="s">
        <v>489</v>
      </c>
      <c r="C18" s="58" t="s">
        <v>495</v>
      </c>
      <c r="D18" s="59" t="s">
        <v>529</v>
      </c>
      <c r="E18" s="60">
        <v>15.356999999999999</v>
      </c>
      <c r="F18" s="61">
        <v>31.842234489999999</v>
      </c>
      <c r="G18" s="61"/>
      <c r="H18" s="61"/>
      <c r="I18" s="61"/>
      <c r="J18" s="62">
        <v>2.0844143457332001</v>
      </c>
      <c r="K18" s="28">
        <f t="shared" si="16"/>
        <v>65.481256015496783</v>
      </c>
      <c r="L18" s="69">
        <v>81.353881978062404</v>
      </c>
      <c r="M18" s="29">
        <f t="shared" si="17"/>
        <v>91.028670588555869</v>
      </c>
      <c r="N18" s="71">
        <v>0</v>
      </c>
      <c r="O18" s="35">
        <f t="shared" si="18"/>
        <v>3.5397611003566278</v>
      </c>
      <c r="P18" s="16">
        <f t="shared" si="9"/>
        <v>3.541886232095885</v>
      </c>
      <c r="Q18" s="57" t="s">
        <v>489</v>
      </c>
      <c r="R18" s="58" t="s">
        <v>529</v>
      </c>
      <c r="S18" s="58" t="s">
        <v>530</v>
      </c>
      <c r="T18" s="58">
        <f t="shared" si="19"/>
        <v>0</v>
      </c>
      <c r="U18" s="58"/>
      <c r="V18" s="73">
        <v>0</v>
      </c>
      <c r="W18" s="74">
        <v>6.046901519223618</v>
      </c>
      <c r="X18" s="75">
        <v>1</v>
      </c>
      <c r="Y18" s="76">
        <v>0</v>
      </c>
      <c r="Z18" s="74">
        <v>7.7741316693306395</v>
      </c>
      <c r="AA18" s="73">
        <v>10365.508892441399</v>
      </c>
      <c r="AB18" s="77">
        <v>5.0855844479199999E-4</v>
      </c>
      <c r="AC18" s="35">
        <f t="shared" si="20"/>
        <v>5.8996018339277132</v>
      </c>
      <c r="AD18" s="15">
        <f t="shared" si="10"/>
        <v>2.1459026609873488</v>
      </c>
      <c r="AE18" s="15">
        <f t="shared" si="21"/>
        <v>6.0229870199890811</v>
      </c>
      <c r="AF18" s="15">
        <f t="shared" si="22"/>
        <v>5.9581653672763988</v>
      </c>
      <c r="AG18" s="15">
        <f t="shared" si="11"/>
        <v>17.184006641932104</v>
      </c>
      <c r="AH18" s="15">
        <f t="shared" si="12"/>
        <v>8.375951690142271</v>
      </c>
      <c r="AI18" s="15" t="e">
        <f t="shared" si="13"/>
        <v>#DIV/0!</v>
      </c>
      <c r="AJ18" s="16">
        <f t="shared" si="23"/>
        <v>16.035940082395257</v>
      </c>
      <c r="AK18" s="32">
        <f t="shared" si="24"/>
        <v>2.2751413067591097</v>
      </c>
      <c r="AL18" s="15">
        <f t="shared" si="25"/>
        <v>0.25409879199756563</v>
      </c>
      <c r="AM18" s="15">
        <f t="shared" si="14"/>
        <v>0.39375538967400003</v>
      </c>
      <c r="AN18" s="16">
        <f t="shared" si="15"/>
        <v>6.5116884808230774E-2</v>
      </c>
    </row>
    <row r="19" spans="1:40" x14ac:dyDescent="0.45">
      <c r="A19" s="19">
        <v>7</v>
      </c>
      <c r="B19" s="57" t="s">
        <v>489</v>
      </c>
      <c r="C19" s="58" t="s">
        <v>496</v>
      </c>
      <c r="D19" s="59" t="s">
        <v>529</v>
      </c>
      <c r="E19" s="60">
        <v>5.2567000000000004</v>
      </c>
      <c r="F19" s="61">
        <v>15.154379430000001</v>
      </c>
      <c r="G19" s="61"/>
      <c r="H19" s="61"/>
      <c r="I19" s="61"/>
      <c r="J19" s="62">
        <v>3.1818278699054998</v>
      </c>
      <c r="K19" s="28">
        <f t="shared" si="16"/>
        <v>37.589728188404031</v>
      </c>
      <c r="L19" s="69">
        <v>58.076390368047903</v>
      </c>
      <c r="M19" s="29">
        <f t="shared" si="17"/>
        <v>76.312335080300613</v>
      </c>
      <c r="N19" s="71">
        <v>0</v>
      </c>
      <c r="O19" s="35">
        <f t="shared" si="18"/>
        <v>3.5882452365211734</v>
      </c>
      <c r="P19" s="16">
        <f t="shared" si="9"/>
        <v>3.5903994762068976</v>
      </c>
      <c r="Q19" s="57" t="s">
        <v>489</v>
      </c>
      <c r="R19" s="58" t="s">
        <v>529</v>
      </c>
      <c r="S19" s="58" t="s">
        <v>530</v>
      </c>
      <c r="T19" s="58">
        <f t="shared" si="19"/>
        <v>0</v>
      </c>
      <c r="U19" s="58"/>
      <c r="V19" s="73">
        <v>0</v>
      </c>
      <c r="W19" s="74">
        <v>1.5825016519282435</v>
      </c>
      <c r="X19" s="75">
        <v>1</v>
      </c>
      <c r="Y19" s="76">
        <v>0</v>
      </c>
      <c r="Z19" s="74">
        <v>4.6255868054094798</v>
      </c>
      <c r="AA19" s="73">
        <v>6167.4490738794902</v>
      </c>
      <c r="AB19" s="77">
        <v>7.455686030492E-3</v>
      </c>
      <c r="AC19" s="35">
        <f t="shared" si="20"/>
        <v>5.9804087275352895</v>
      </c>
      <c r="AD19" s="15">
        <f t="shared" si="10"/>
        <v>1.4278566398355854</v>
      </c>
      <c r="AE19" s="15">
        <f t="shared" si="21"/>
        <v>2.4371115258968898</v>
      </c>
      <c r="AF19" s="15">
        <f t="shared" si="22"/>
        <v>1.4207660281102064</v>
      </c>
      <c r="AG19" s="15">
        <f t="shared" si="11"/>
        <v>3.4287121549597259</v>
      </c>
      <c r="AH19" s="15">
        <f t="shared" si="12"/>
        <v>2.8522027029709744</v>
      </c>
      <c r="AI19" s="15" t="e">
        <f t="shared" si="13"/>
        <v>#DIV/0!</v>
      </c>
      <c r="AJ19" s="16">
        <f t="shared" si="23"/>
        <v>3.8303208413820182</v>
      </c>
      <c r="AK19" s="32">
        <f t="shared" si="24"/>
        <v>1.8507151999255311</v>
      </c>
      <c r="AL19" s="15">
        <f t="shared" si="25"/>
        <v>0.24568549758572419</v>
      </c>
      <c r="AM19" s="15">
        <f t="shared" si="14"/>
        <v>0.30104469570799997</v>
      </c>
      <c r="AN19" s="16">
        <f t="shared" si="15"/>
        <v>0.19023341640192515</v>
      </c>
    </row>
    <row r="20" spans="1:40" x14ac:dyDescent="0.45">
      <c r="A20" s="19">
        <v>8</v>
      </c>
      <c r="B20" s="57" t="s">
        <v>489</v>
      </c>
      <c r="C20" s="58" t="s">
        <v>497</v>
      </c>
      <c r="D20" s="59" t="s">
        <v>529</v>
      </c>
      <c r="E20" s="60">
        <v>4.8727</v>
      </c>
      <c r="F20" s="61">
        <v>18.712528030000001</v>
      </c>
      <c r="G20" s="61"/>
      <c r="H20" s="61"/>
      <c r="I20" s="61"/>
      <c r="J20" s="62">
        <v>2.4690652599976999</v>
      </c>
      <c r="K20" s="28">
        <f t="shared" si="16"/>
        <v>59.443977605488492</v>
      </c>
      <c r="L20" s="69">
        <v>77.122817229336405</v>
      </c>
      <c r="M20" s="29">
        <f t="shared" si="17"/>
        <v>88.687686369679113</v>
      </c>
      <c r="N20" s="71">
        <v>0</v>
      </c>
      <c r="O20" s="35">
        <f t="shared" si="18"/>
        <v>2.6529650671029126</v>
      </c>
      <c r="P20" s="16">
        <f t="shared" si="9"/>
        <v>2.6545578017839828</v>
      </c>
      <c r="Q20" s="57" t="s">
        <v>489</v>
      </c>
      <c r="R20" s="58" t="s">
        <v>529</v>
      </c>
      <c r="S20" s="58" t="s">
        <v>530</v>
      </c>
      <c r="T20" s="58">
        <f t="shared" si="19"/>
        <v>0</v>
      </c>
      <c r="U20" s="58"/>
      <c r="V20" s="73">
        <v>0</v>
      </c>
      <c r="W20" s="74">
        <v>0.99493796929453149</v>
      </c>
      <c r="X20" s="75">
        <v>1</v>
      </c>
      <c r="Y20" s="76">
        <v>0</v>
      </c>
      <c r="Z20" s="74">
        <v>5.1197758887661902</v>
      </c>
      <c r="AA20" s="73">
        <v>6826.3678516883501</v>
      </c>
      <c r="AB20" s="77">
        <v>1.8184987877930001E-3</v>
      </c>
      <c r="AC20" s="35">
        <f t="shared" si="20"/>
        <v>4.421608445171521</v>
      </c>
      <c r="AD20" s="15">
        <f t="shared" si="10"/>
        <v>1.3872862068769687</v>
      </c>
      <c r="AE20" s="15">
        <f t="shared" si="21"/>
        <v>3.441965431307159</v>
      </c>
      <c r="AF20" s="15">
        <f t="shared" si="22"/>
        <v>2.6447556403550458</v>
      </c>
      <c r="AG20" s="15">
        <f t="shared" si="11"/>
        <v>6.7628107628343148</v>
      </c>
      <c r="AH20" s="15">
        <f t="shared" si="12"/>
        <v>4.1490273821548769</v>
      </c>
      <c r="AI20" s="15" t="e">
        <f t="shared" si="13"/>
        <v>#DIV/0!</v>
      </c>
      <c r="AJ20" s="16">
        <f t="shared" si="23"/>
        <v>5.5640024733242948</v>
      </c>
      <c r="AK20" s="32">
        <f t="shared" si="24"/>
        <v>2.3735897525798504</v>
      </c>
      <c r="AL20" s="15">
        <f t="shared" si="25"/>
        <v>0.18589502719809139</v>
      </c>
      <c r="AM20" s="15">
        <f t="shared" si="14"/>
        <v>0.20418617384499999</v>
      </c>
      <c r="AN20" s="16">
        <f t="shared" si="15"/>
        <v>0.20522502924456668</v>
      </c>
    </row>
    <row r="21" spans="1:40" x14ac:dyDescent="0.45">
      <c r="A21" s="19">
        <v>9</v>
      </c>
      <c r="B21" s="57" t="s">
        <v>489</v>
      </c>
      <c r="C21" s="58" t="s">
        <v>498</v>
      </c>
      <c r="D21" s="59" t="s">
        <v>529</v>
      </c>
      <c r="E21" s="60">
        <v>5.9276</v>
      </c>
      <c r="F21" s="61">
        <v>20.79872975</v>
      </c>
      <c r="G21" s="61"/>
      <c r="H21" s="61"/>
      <c r="I21" s="61"/>
      <c r="J21" s="62">
        <v>2.8398339650665001</v>
      </c>
      <c r="K21" s="28">
        <f t="shared" si="16"/>
        <v>52.356428258276267</v>
      </c>
      <c r="L21" s="69">
        <v>71.651422018999497</v>
      </c>
      <c r="M21" s="29">
        <f t="shared" si="17"/>
        <v>85.460760987938087</v>
      </c>
      <c r="N21" s="71">
        <v>0</v>
      </c>
      <c r="O21" s="35">
        <f t="shared" si="18"/>
        <v>3.5228281509886745</v>
      </c>
      <c r="P21" s="16">
        <f t="shared" si="9"/>
        <v>3.5249431168587897</v>
      </c>
      <c r="Q21" s="57" t="s">
        <v>489</v>
      </c>
      <c r="R21" s="58" t="s">
        <v>529</v>
      </c>
      <c r="S21" s="58" t="s">
        <v>530</v>
      </c>
      <c r="T21" s="58">
        <f t="shared" si="19"/>
        <v>0</v>
      </c>
      <c r="U21" s="58"/>
      <c r="V21" s="73">
        <v>0</v>
      </c>
      <c r="W21" s="74">
        <v>1.7376992047748872</v>
      </c>
      <c r="X21" s="75">
        <v>1</v>
      </c>
      <c r="Y21" s="76">
        <v>0</v>
      </c>
      <c r="Z21" s="74">
        <v>6.5537749873555002</v>
      </c>
      <c r="AA21" s="73">
        <v>8738.3666498070397</v>
      </c>
      <c r="AB21" s="77">
        <v>3.5571868776150001E-3</v>
      </c>
      <c r="AC21" s="35">
        <f t="shared" si="20"/>
        <v>5.8713802516477909</v>
      </c>
      <c r="AD21" s="15">
        <f t="shared" si="10"/>
        <v>1.4945400936436195</v>
      </c>
      <c r="AE21" s="15">
        <f t="shared" si="21"/>
        <v>3.6554811218404621</v>
      </c>
      <c r="AF21" s="15">
        <f t="shared" si="22"/>
        <v>2.4704395650026214</v>
      </c>
      <c r="AG21" s="15">
        <f t="shared" si="11"/>
        <v>5.0658961235977253</v>
      </c>
      <c r="AH21" s="15">
        <f t="shared" si="12"/>
        <v>3.5547375168463429</v>
      </c>
      <c r="AI21" s="15" t="e">
        <f t="shared" si="13"/>
        <v>#DIV/0!</v>
      </c>
      <c r="AJ21" s="16">
        <f t="shared" si="23"/>
        <v>5.1222274282552132</v>
      </c>
      <c r="AK21" s="32">
        <f t="shared" si="24"/>
        <v>2.3919681831735531</v>
      </c>
      <c r="AL21" s="15">
        <f t="shared" si="25"/>
        <v>0.13800532248704375</v>
      </c>
      <c r="AM21" s="15">
        <f t="shared" si="14"/>
        <v>0.29315392482199998</v>
      </c>
      <c r="AN21" s="16">
        <f t="shared" si="15"/>
        <v>0.16870234158850125</v>
      </c>
    </row>
    <row r="22" spans="1:40" x14ac:dyDescent="0.45">
      <c r="A22" s="19">
        <v>10</v>
      </c>
      <c r="B22" s="57" t="s">
        <v>489</v>
      </c>
      <c r="C22" s="58" t="s">
        <v>499</v>
      </c>
      <c r="D22" s="59" t="s">
        <v>529</v>
      </c>
      <c r="E22" s="60">
        <v>0.33600000000000002</v>
      </c>
      <c r="F22" s="61">
        <v>3.8652476500000001</v>
      </c>
      <c r="G22" s="61"/>
      <c r="H22" s="61"/>
      <c r="I22" s="61"/>
      <c r="J22" s="62">
        <v>5.0136846746648001</v>
      </c>
      <c r="K22" s="28">
        <f t="shared" si="16"/>
        <v>62.861847346895381</v>
      </c>
      <c r="L22" s="69">
        <v>79.563025210084007</v>
      </c>
      <c r="M22" s="29">
        <f t="shared" si="17"/>
        <v>90.053415714263963</v>
      </c>
      <c r="N22" s="71">
        <v>0</v>
      </c>
      <c r="O22" s="35">
        <f t="shared" si="18"/>
        <v>0.40100183683483537</v>
      </c>
      <c r="P22" s="16">
        <f t="shared" si="9"/>
        <v>0.40124258238426597</v>
      </c>
      <c r="Q22" s="57" t="s">
        <v>489</v>
      </c>
      <c r="R22" s="58" t="s">
        <v>529</v>
      </c>
      <c r="S22" s="58" t="s">
        <v>530</v>
      </c>
      <c r="T22" s="58">
        <f t="shared" si="19"/>
        <v>0</v>
      </c>
      <c r="U22" s="58"/>
      <c r="V22" s="73">
        <v>0</v>
      </c>
      <c r="W22" s="74">
        <v>0.79729798385361594</v>
      </c>
      <c r="X22" s="75">
        <v>1</v>
      </c>
      <c r="Y22" s="76">
        <v>0</v>
      </c>
      <c r="Z22" s="74">
        <v>0.82401274098421695</v>
      </c>
      <c r="AA22" s="73">
        <v>1098.6836546458601</v>
      </c>
      <c r="AB22" s="77">
        <v>2.0551976602539998E-3</v>
      </c>
      <c r="AC22" s="35">
        <f t="shared" si="20"/>
        <v>0.66833639472472561</v>
      </c>
      <c r="AD22" s="15">
        <f t="shared" si="10"/>
        <v>0.50213734006116739</v>
      </c>
      <c r="AE22" s="15">
        <f t="shared" si="21"/>
        <v>0.83905195904488017</v>
      </c>
      <c r="AF22" s="15">
        <f t="shared" si="22"/>
        <v>0.61811932256106794</v>
      </c>
      <c r="AG22" s="15">
        <f t="shared" si="11"/>
        <v>3.4141395315390768</v>
      </c>
      <c r="AH22" s="15">
        <f t="shared" si="12"/>
        <v>2.0009170643985863</v>
      </c>
      <c r="AI22" s="15" t="e">
        <f t="shared" si="13"/>
        <v>#DIV/0!</v>
      </c>
      <c r="AJ22" s="16">
        <f t="shared" si="23"/>
        <v>1.0987601679417072</v>
      </c>
      <c r="AK22" s="32">
        <f t="shared" si="24"/>
        <v>1.8670919971157796</v>
      </c>
      <c r="AL22" s="15">
        <f t="shared" si="25"/>
        <v>0.49484754915551848</v>
      </c>
      <c r="AM22" s="15">
        <f t="shared" si="14"/>
        <v>2.3729106662309998</v>
      </c>
      <c r="AN22" s="16">
        <f t="shared" si="15"/>
        <v>2.9761904761904758</v>
      </c>
    </row>
    <row r="23" spans="1:40" x14ac:dyDescent="0.45">
      <c r="A23" s="19">
        <v>11</v>
      </c>
      <c r="B23" s="57" t="s">
        <v>489</v>
      </c>
      <c r="C23" s="58" t="s">
        <v>500</v>
      </c>
      <c r="D23" s="59" t="s">
        <v>529</v>
      </c>
      <c r="E23" s="60">
        <v>4.4295</v>
      </c>
      <c r="F23" s="61">
        <v>15.89036422</v>
      </c>
      <c r="G23" s="61"/>
      <c r="H23" s="61"/>
      <c r="I23" s="61"/>
      <c r="J23" s="62">
        <v>3.1756266206781998</v>
      </c>
      <c r="K23" s="28">
        <f t="shared" si="16"/>
        <v>58.029799398401813</v>
      </c>
      <c r="L23" s="69">
        <v>76.077005119453901</v>
      </c>
      <c r="M23" s="29">
        <f t="shared" si="17"/>
        <v>88.088902142946068</v>
      </c>
      <c r="N23" s="71">
        <v>0</v>
      </c>
      <c r="O23" s="35">
        <f t="shared" si="18"/>
        <v>1.7832622645630094</v>
      </c>
      <c r="P23" s="16">
        <f t="shared" si="9"/>
        <v>1.7843328642815783</v>
      </c>
      <c r="Q23" s="57" t="s">
        <v>489</v>
      </c>
      <c r="R23" s="58" t="s">
        <v>529</v>
      </c>
      <c r="S23" s="58" t="s">
        <v>530</v>
      </c>
      <c r="T23" s="58">
        <f t="shared" si="19"/>
        <v>0</v>
      </c>
      <c r="U23" s="58"/>
      <c r="V23" s="73">
        <v>0</v>
      </c>
      <c r="W23" s="74">
        <v>3.0316841171326514</v>
      </c>
      <c r="X23" s="75">
        <v>1</v>
      </c>
      <c r="Y23" s="76">
        <v>0</v>
      </c>
      <c r="Z23" s="74">
        <v>3.5092260361978802</v>
      </c>
      <c r="AA23" s="73">
        <v>4678.9680482639596</v>
      </c>
      <c r="AB23" s="77">
        <v>1.594360213956E-3</v>
      </c>
      <c r="AC23" s="35">
        <f t="shared" si="20"/>
        <v>2.9721037742716825</v>
      </c>
      <c r="AD23" s="15">
        <f t="shared" si="10"/>
        <v>1.3379145616910431</v>
      </c>
      <c r="AE23" s="15">
        <f t="shared" si="21"/>
        <v>2.6484419003299942</v>
      </c>
      <c r="AF23" s="15">
        <f t="shared" si="22"/>
        <v>2.0800260902940031</v>
      </c>
      <c r="AG23" s="15">
        <f t="shared" si="11"/>
        <v>7.2300707725818834</v>
      </c>
      <c r="AH23" s="15">
        <f t="shared" si="12"/>
        <v>4.3331222653374954</v>
      </c>
      <c r="AI23" s="15" t="e">
        <f t="shared" si="13"/>
        <v>#DIV/0!</v>
      </c>
      <c r="AJ23" s="16">
        <f t="shared" si="23"/>
        <v>5.4672164197052506</v>
      </c>
      <c r="AK23" s="32">
        <f t="shared" si="24"/>
        <v>2.1140464724125549</v>
      </c>
      <c r="AL23" s="15">
        <f t="shared" si="25"/>
        <v>0.35969302830422201</v>
      </c>
      <c r="AM23" s="15">
        <f t="shared" si="14"/>
        <v>0.68443032331699993</v>
      </c>
      <c r="AN23" s="16">
        <f t="shared" si="15"/>
        <v>0.2257591150242691</v>
      </c>
    </row>
    <row r="24" spans="1:40" x14ac:dyDescent="0.45">
      <c r="A24" s="19">
        <v>12</v>
      </c>
      <c r="B24" s="57" t="s">
        <v>489</v>
      </c>
      <c r="C24" s="58" t="s">
        <v>501</v>
      </c>
      <c r="D24" s="59" t="s">
        <v>529</v>
      </c>
      <c r="E24" s="60">
        <v>18.788</v>
      </c>
      <c r="F24" s="61">
        <v>40.063461959999998</v>
      </c>
      <c r="G24" s="61"/>
      <c r="H24" s="61"/>
      <c r="I24" s="61"/>
      <c r="J24" s="62">
        <v>26.008538865583304</v>
      </c>
      <c r="K24" s="28">
        <f t="shared" si="16"/>
        <v>46.812231045964616</v>
      </c>
      <c r="L24" s="69">
        <v>66.934524108173207</v>
      </c>
      <c r="M24" s="29">
        <f t="shared" si="17"/>
        <v>82.479746997942527</v>
      </c>
      <c r="N24" s="71">
        <v>0</v>
      </c>
      <c r="O24" s="35">
        <f t="shared" si="18"/>
        <v>1.9454585606765589</v>
      </c>
      <c r="P24" s="16">
        <f t="shared" si="9"/>
        <v>1.9466265365985174</v>
      </c>
      <c r="Q24" s="57" t="s">
        <v>489</v>
      </c>
      <c r="R24" s="58" t="s">
        <v>529</v>
      </c>
      <c r="S24" s="58" t="s">
        <v>530</v>
      </c>
      <c r="T24" s="58">
        <f t="shared" si="19"/>
        <v>0</v>
      </c>
      <c r="U24" s="58"/>
      <c r="V24" s="73">
        <v>0</v>
      </c>
      <c r="W24" s="74">
        <v>9.8898351071646289</v>
      </c>
      <c r="X24" s="75">
        <v>1</v>
      </c>
      <c r="Y24" s="76">
        <v>0</v>
      </c>
      <c r="Z24" s="74">
        <v>10.629371102983599</v>
      </c>
      <c r="AA24" s="73">
        <v>14172.494803978199</v>
      </c>
      <c r="AB24" s="77">
        <v>6.4020179824908999E-2</v>
      </c>
      <c r="AC24" s="35">
        <f t="shared" si="20"/>
        <v>3.2424309344609314</v>
      </c>
      <c r="AD24" s="15">
        <f t="shared" si="10"/>
        <v>2.3167981720260227</v>
      </c>
      <c r="AE24" s="15">
        <f t="shared" si="21"/>
        <v>3.0483638218177749</v>
      </c>
      <c r="AF24" s="15">
        <f t="shared" si="22"/>
        <v>1.178231575639193</v>
      </c>
      <c r="AG24" s="15">
        <f t="shared" si="11"/>
        <v>1.5946965894251635</v>
      </c>
      <c r="AH24" s="15">
        <f t="shared" si="12"/>
        <v>2.1353082473196925</v>
      </c>
      <c r="AI24" s="15" t="e">
        <f t="shared" si="13"/>
        <v>#DIV/0!</v>
      </c>
      <c r="AJ24" s="16">
        <f t="shared" si="23"/>
        <v>4.3090647127198087</v>
      </c>
      <c r="AK24" s="32">
        <f t="shared" si="24"/>
        <v>2.5880116702002027</v>
      </c>
      <c r="AL24" s="15">
        <f t="shared" si="25"/>
        <v>0.16628972375466122</v>
      </c>
      <c r="AM24" s="15">
        <f t="shared" si="14"/>
        <v>0.52639105318099999</v>
      </c>
      <c r="AN24" s="16">
        <f t="shared" si="15"/>
        <v>5.3225463061528637E-2</v>
      </c>
    </row>
    <row r="25" spans="1:40" x14ac:dyDescent="0.45">
      <c r="A25" s="19">
        <v>13</v>
      </c>
      <c r="B25" s="57" t="s">
        <v>489</v>
      </c>
      <c r="C25" s="58" t="s">
        <v>502</v>
      </c>
      <c r="D25" s="59" t="s">
        <v>529</v>
      </c>
      <c r="E25" s="60">
        <v>1.5198</v>
      </c>
      <c r="F25" s="61">
        <v>12.822834329999999</v>
      </c>
      <c r="G25" s="61"/>
      <c r="H25" s="61"/>
      <c r="I25" s="61"/>
      <c r="J25" s="62">
        <v>4.0776795067096998</v>
      </c>
      <c r="K25" s="28">
        <f t="shared" si="16"/>
        <v>47.144076841912174</v>
      </c>
      <c r="L25" s="69">
        <v>67.228713486637702</v>
      </c>
      <c r="M25" s="29">
        <f t="shared" si="17"/>
        <v>82.671434260844208</v>
      </c>
      <c r="N25" s="71">
        <v>0</v>
      </c>
      <c r="O25" s="35">
        <f t="shared" si="18"/>
        <v>1.2297239657307399</v>
      </c>
      <c r="P25" s="16">
        <f t="shared" si="9"/>
        <v>1.2304622430765861</v>
      </c>
      <c r="Q25" s="57" t="s">
        <v>489</v>
      </c>
      <c r="R25" s="58" t="s">
        <v>529</v>
      </c>
      <c r="S25" s="58" t="s">
        <v>530</v>
      </c>
      <c r="T25" s="58">
        <f t="shared" si="19"/>
        <v>0</v>
      </c>
      <c r="U25" s="58"/>
      <c r="V25" s="73">
        <v>0</v>
      </c>
      <c r="W25" s="74">
        <v>1.9334410638111972</v>
      </c>
      <c r="X25" s="75">
        <v>1</v>
      </c>
      <c r="Y25" s="76">
        <v>0</v>
      </c>
      <c r="Z25" s="74">
        <v>1.9000103745590999</v>
      </c>
      <c r="AA25" s="73">
        <v>2533.3471660784999</v>
      </c>
      <c r="AB25" s="77">
        <v>4.4220093664900002E-4</v>
      </c>
      <c r="AC25" s="35">
        <f t="shared" si="20"/>
        <v>2.0495399428845666</v>
      </c>
      <c r="AD25" s="15">
        <f t="shared" si="10"/>
        <v>0.89103023193430897</v>
      </c>
      <c r="AE25" s="15">
        <f t="shared" si="21"/>
        <v>2.1198642880005298</v>
      </c>
      <c r="AF25" s="15">
        <f t="shared" si="22"/>
        <v>2.1248601969461127</v>
      </c>
      <c r="AG25" s="15">
        <f t="shared" si="11"/>
        <v>10.61058886393548</v>
      </c>
      <c r="AH25" s="15">
        <f t="shared" si="12"/>
        <v>4.7088661069944395</v>
      </c>
      <c r="AI25" s="15" t="e">
        <f t="shared" si="13"/>
        <v>#DIV/0!</v>
      </c>
      <c r="AJ25" s="16">
        <f t="shared" si="23"/>
        <v>4.2405084935632793</v>
      </c>
      <c r="AK25" s="32">
        <f t="shared" si="24"/>
        <v>2.9123853817163172</v>
      </c>
      <c r="AL25" s="15">
        <f t="shared" si="25"/>
        <v>0.4209926324170345</v>
      </c>
      <c r="AM25" s="15">
        <f t="shared" si="14"/>
        <v>1.272168090414</v>
      </c>
      <c r="AN25" s="16">
        <f t="shared" si="15"/>
        <v>0.65798131333070142</v>
      </c>
    </row>
    <row r="26" spans="1:40" x14ac:dyDescent="0.45">
      <c r="A26" s="19">
        <v>14</v>
      </c>
      <c r="B26" s="57" t="s">
        <v>489</v>
      </c>
      <c r="C26" s="58" t="s">
        <v>503</v>
      </c>
      <c r="D26" s="59" t="s">
        <v>529</v>
      </c>
      <c r="E26" s="60">
        <v>2.1503000000000001</v>
      </c>
      <c r="F26" s="61">
        <v>10.24601391</v>
      </c>
      <c r="G26" s="61"/>
      <c r="H26" s="61"/>
      <c r="I26" s="61"/>
      <c r="J26" s="62">
        <v>3.3218651721098</v>
      </c>
      <c r="K26" s="28">
        <f t="shared" si="16"/>
        <v>66.450567260940048</v>
      </c>
      <c r="L26" s="69">
        <v>82</v>
      </c>
      <c r="M26" s="29">
        <f t="shared" si="17"/>
        <v>91.375083574771566</v>
      </c>
      <c r="N26" s="71">
        <v>0</v>
      </c>
      <c r="O26" s="35">
        <f t="shared" si="18"/>
        <v>1.1012153470512225</v>
      </c>
      <c r="P26" s="16">
        <f t="shared" si="9"/>
        <v>1.1018764729349835</v>
      </c>
      <c r="Q26" s="57" t="s">
        <v>489</v>
      </c>
      <c r="R26" s="58" t="s">
        <v>529</v>
      </c>
      <c r="S26" s="58" t="s">
        <v>530</v>
      </c>
      <c r="T26" s="58">
        <f t="shared" si="19"/>
        <v>0</v>
      </c>
      <c r="U26" s="58"/>
      <c r="V26" s="73">
        <v>0</v>
      </c>
      <c r="W26" s="74">
        <v>3.1164754743255174</v>
      </c>
      <c r="X26" s="75">
        <v>1</v>
      </c>
      <c r="Y26" s="76">
        <v>0</v>
      </c>
      <c r="Z26" s="74">
        <v>2.4809705366938202</v>
      </c>
      <c r="AA26" s="73">
        <v>3307.9607155908898</v>
      </c>
      <c r="AB26" s="77">
        <v>3.155310096036E-3</v>
      </c>
      <c r="AC26" s="35">
        <f t="shared" si="20"/>
        <v>1.8353589117520375</v>
      </c>
      <c r="AD26" s="15">
        <f t="shared" si="10"/>
        <v>1.0166307300840247</v>
      </c>
      <c r="AE26" s="15">
        <f t="shared" si="21"/>
        <v>1.7873750318383814</v>
      </c>
      <c r="AF26" s="15">
        <f t="shared" si="22"/>
        <v>1.2245577751146843</v>
      </c>
      <c r="AG26" s="15">
        <f t="shared" si="11"/>
        <v>4.2828327797303123</v>
      </c>
      <c r="AH26" s="15">
        <f t="shared" si="12"/>
        <v>2.9059112606827906</v>
      </c>
      <c r="AI26" s="15" t="e">
        <f t="shared" si="13"/>
        <v>#DIV/0!</v>
      </c>
      <c r="AJ26" s="16">
        <f t="shared" si="23"/>
        <v>2.9090472791201214</v>
      </c>
      <c r="AK26" s="32">
        <f t="shared" si="24"/>
        <v>1.9564260867694583</v>
      </c>
      <c r="AL26" s="15">
        <f t="shared" si="25"/>
        <v>0.34934605346714964</v>
      </c>
      <c r="AM26" s="15">
        <f t="shared" si="14"/>
        <v>1.4493212455589999</v>
      </c>
      <c r="AN26" s="16">
        <f t="shared" si="15"/>
        <v>0.4650513881783937</v>
      </c>
    </row>
    <row r="27" spans="1:40" x14ac:dyDescent="0.45">
      <c r="A27" s="19">
        <v>15</v>
      </c>
      <c r="B27" s="57" t="s">
        <v>489</v>
      </c>
      <c r="C27" s="58" t="s">
        <v>504</v>
      </c>
      <c r="D27" s="59" t="s">
        <v>529</v>
      </c>
      <c r="E27" s="60">
        <v>4.6966999999999999</v>
      </c>
      <c r="F27" s="61">
        <v>12.7614304</v>
      </c>
      <c r="G27" s="61"/>
      <c r="H27" s="61"/>
      <c r="I27" s="61"/>
      <c r="J27" s="62">
        <v>22.7328420623687</v>
      </c>
      <c r="K27" s="28">
        <f t="shared" si="16"/>
        <v>40.228108491633627</v>
      </c>
      <c r="L27" s="69">
        <v>60.7529553195752</v>
      </c>
      <c r="M27" s="29">
        <f t="shared" si="17"/>
        <v>78.260457952393295</v>
      </c>
      <c r="N27" s="71">
        <v>0</v>
      </c>
      <c r="O27" s="35">
        <f t="shared" si="18"/>
        <v>1.1842287079436444</v>
      </c>
      <c r="P27" s="16">
        <f t="shared" si="9"/>
        <v>1.1849396717466922</v>
      </c>
      <c r="Q27" s="57" t="s">
        <v>489</v>
      </c>
      <c r="R27" s="58" t="s">
        <v>529</v>
      </c>
      <c r="S27" s="58" t="s">
        <v>530</v>
      </c>
      <c r="T27" s="58">
        <f t="shared" si="19"/>
        <v>0</v>
      </c>
      <c r="U27" s="58"/>
      <c r="V27" s="73">
        <v>0</v>
      </c>
      <c r="W27" s="74">
        <v>0.52104673654744493</v>
      </c>
      <c r="X27" s="75">
        <v>1</v>
      </c>
      <c r="Y27" s="76">
        <v>0</v>
      </c>
      <c r="Z27" s="74">
        <v>4.3042283973034703</v>
      </c>
      <c r="AA27" s="73">
        <v>5738.9711964046801</v>
      </c>
      <c r="AB27" s="77">
        <v>2.3726488330170999E-2</v>
      </c>
      <c r="AC27" s="35">
        <f t="shared" si="20"/>
        <v>1.9737145132394076</v>
      </c>
      <c r="AD27" s="15">
        <f t="shared" si="10"/>
        <v>1.3680276149847832</v>
      </c>
      <c r="AE27" s="15">
        <f t="shared" si="21"/>
        <v>1.8517712233675248</v>
      </c>
      <c r="AF27" s="15">
        <f t="shared" si="22"/>
        <v>0.8607684388458845</v>
      </c>
      <c r="AG27" s="15">
        <f t="shared" si="11"/>
        <v>1.8707385267479433</v>
      </c>
      <c r="AH27" s="15">
        <f t="shared" si="12"/>
        <v>1.9791879369602052</v>
      </c>
      <c r="AI27" s="15" t="e">
        <f t="shared" si="13"/>
        <v>#DIV/0!</v>
      </c>
      <c r="AJ27" s="16">
        <f t="shared" si="23"/>
        <v>2.5419161910222012</v>
      </c>
      <c r="AK27" s="32">
        <f t="shared" si="24"/>
        <v>1.6487734187811387</v>
      </c>
      <c r="AL27" s="15">
        <f t="shared" si="25"/>
        <v>0.25351414947741557</v>
      </c>
      <c r="AM27" s="15">
        <f t="shared" si="14"/>
        <v>0.11093890104700001</v>
      </c>
      <c r="AN27" s="16">
        <f t="shared" si="15"/>
        <v>0.21291545127429898</v>
      </c>
    </row>
    <row r="28" spans="1:40" x14ac:dyDescent="0.45">
      <c r="A28" s="19">
        <v>16</v>
      </c>
      <c r="B28" s="57" t="s">
        <v>489</v>
      </c>
      <c r="C28" s="58" t="s">
        <v>505</v>
      </c>
      <c r="D28" s="59" t="s">
        <v>529</v>
      </c>
      <c r="E28" s="60">
        <v>6.9382999999999999</v>
      </c>
      <c r="F28" s="61">
        <v>20.246627700000001</v>
      </c>
      <c r="G28" s="61"/>
      <c r="H28" s="61"/>
      <c r="I28" s="61"/>
      <c r="J28" s="62">
        <v>19.756354846677603</v>
      </c>
      <c r="K28" s="28">
        <f t="shared" si="16"/>
        <v>39.01660973369011</v>
      </c>
      <c r="L28" s="69">
        <v>59.539048657489403</v>
      </c>
      <c r="M28" s="29">
        <f t="shared" si="17"/>
        <v>77.38649701129512</v>
      </c>
      <c r="N28" s="71">
        <v>0</v>
      </c>
      <c r="O28" s="35">
        <f t="shared" si="18"/>
        <v>1.6225932441891595</v>
      </c>
      <c r="P28" s="16">
        <f t="shared" si="9"/>
        <v>1.6235673846199314</v>
      </c>
      <c r="Q28" s="57" t="s">
        <v>489</v>
      </c>
      <c r="R28" s="58" t="s">
        <v>529</v>
      </c>
      <c r="S28" s="58" t="s">
        <v>530</v>
      </c>
      <c r="T28" s="58">
        <f t="shared" si="19"/>
        <v>0</v>
      </c>
      <c r="U28" s="58"/>
      <c r="V28" s="73">
        <v>0</v>
      </c>
      <c r="W28" s="74">
        <v>3.1217354580111749</v>
      </c>
      <c r="X28" s="75">
        <v>1</v>
      </c>
      <c r="Y28" s="76">
        <v>0</v>
      </c>
      <c r="Z28" s="74">
        <v>5.6240562774320901</v>
      </c>
      <c r="AA28" s="73">
        <v>7498.7417032437097</v>
      </c>
      <c r="AB28" s="77">
        <v>3.0211934939372999E-2</v>
      </c>
      <c r="AC28" s="35">
        <f t="shared" si="20"/>
        <v>2.7043220736485991</v>
      </c>
      <c r="AD28" s="15">
        <f t="shared" si="10"/>
        <v>1.5866815085177191</v>
      </c>
      <c r="AE28" s="15">
        <f t="shared" si="21"/>
        <v>2.167330146808903</v>
      </c>
      <c r="AF28" s="15">
        <f t="shared" si="22"/>
        <v>0.96365444585215976</v>
      </c>
      <c r="AG28" s="15">
        <f t="shared" si="11"/>
        <v>1.8192249641969975</v>
      </c>
      <c r="AH28" s="15">
        <f t="shared" si="12"/>
        <v>2.0416285396269362</v>
      </c>
      <c r="AI28" s="15" t="e">
        <f t="shared" si="13"/>
        <v>#DIV/0!</v>
      </c>
      <c r="AJ28" s="16">
        <f t="shared" si="23"/>
        <v>2.9821874800728376</v>
      </c>
      <c r="AK28" s="32">
        <f t="shared" si="24"/>
        <v>2.1522077519890783</v>
      </c>
      <c r="AL28" s="15">
        <f t="shared" si="25"/>
        <v>0.21935814173901749</v>
      </c>
      <c r="AM28" s="15">
        <f t="shared" si="14"/>
        <v>0.44992800225000001</v>
      </c>
      <c r="AN28" s="16">
        <f t="shared" si="15"/>
        <v>0.14412752403326465</v>
      </c>
    </row>
    <row r="29" spans="1:40" x14ac:dyDescent="0.45">
      <c r="A29" s="19">
        <v>17</v>
      </c>
      <c r="B29" s="57" t="s">
        <v>489</v>
      </c>
      <c r="C29" s="58" t="s">
        <v>506</v>
      </c>
      <c r="D29" s="59" t="s">
        <v>529</v>
      </c>
      <c r="E29" s="60">
        <v>9.0830000000000002</v>
      </c>
      <c r="F29" s="61">
        <v>21.596481539999999</v>
      </c>
      <c r="G29" s="61"/>
      <c r="H29" s="61"/>
      <c r="I29" s="61"/>
      <c r="J29" s="62">
        <v>50.2439885911975</v>
      </c>
      <c r="K29" s="28">
        <f t="shared" si="16"/>
        <v>51.659449912294129</v>
      </c>
      <c r="L29" s="69">
        <v>71.080799666805504</v>
      </c>
      <c r="M29" s="29">
        <f t="shared" si="17"/>
        <v>85.110340733101424</v>
      </c>
      <c r="N29" s="71">
        <v>0</v>
      </c>
      <c r="O29" s="35">
        <f t="shared" si="18"/>
        <v>0.79347246695154672</v>
      </c>
      <c r="P29" s="16">
        <f t="shared" si="9"/>
        <v>0.79394883625329848</v>
      </c>
      <c r="Q29" s="57" t="s">
        <v>489</v>
      </c>
      <c r="R29" s="58" t="s">
        <v>529</v>
      </c>
      <c r="S29" s="58" t="s">
        <v>530</v>
      </c>
      <c r="T29" s="58">
        <f t="shared" si="19"/>
        <v>0</v>
      </c>
      <c r="U29" s="58"/>
      <c r="V29" s="73">
        <v>0</v>
      </c>
      <c r="W29" s="74">
        <v>4.7404648272908281</v>
      </c>
      <c r="X29" s="75">
        <v>1</v>
      </c>
      <c r="Y29" s="76">
        <v>0</v>
      </c>
      <c r="Z29" s="74">
        <v>6.0071318422581399</v>
      </c>
      <c r="AA29" s="73">
        <v>8009.5091230104199</v>
      </c>
      <c r="AB29" s="77">
        <v>8.6810566915264994E-2</v>
      </c>
      <c r="AC29" s="35">
        <f t="shared" si="20"/>
        <v>1.3224541115859112</v>
      </c>
      <c r="AD29" s="15">
        <f t="shared" si="10"/>
        <v>1.7576837258459372</v>
      </c>
      <c r="AE29" s="15">
        <f t="shared" si="21"/>
        <v>1.8645734959851574</v>
      </c>
      <c r="AF29" s="15">
        <f t="shared" si="22"/>
        <v>0.67526633551289972</v>
      </c>
      <c r="AG29" s="15">
        <f t="shared" si="11"/>
        <v>1.1530276014806198</v>
      </c>
      <c r="AH29" s="15">
        <f t="shared" si="12"/>
        <v>1.6304686415547751</v>
      </c>
      <c r="AI29" s="15" t="e">
        <f t="shared" si="13"/>
        <v>#DIV/0!</v>
      </c>
      <c r="AJ29" s="16">
        <f t="shared" si="23"/>
        <v>2.5585152899746904</v>
      </c>
      <c r="AK29" s="32">
        <f t="shared" si="24"/>
        <v>2.0064409213982923</v>
      </c>
      <c r="AL29" s="15">
        <f t="shared" si="25"/>
        <v>0.25170682214394918</v>
      </c>
      <c r="AM29" s="15">
        <f t="shared" si="14"/>
        <v>0.52190518851599998</v>
      </c>
      <c r="AN29" s="16">
        <f t="shared" si="15"/>
        <v>0.1100957833314984</v>
      </c>
    </row>
    <row r="30" spans="1:40" x14ac:dyDescent="0.45">
      <c r="A30" s="19">
        <v>18</v>
      </c>
      <c r="B30" s="57" t="s">
        <v>489</v>
      </c>
      <c r="C30" s="58" t="s">
        <v>507</v>
      </c>
      <c r="D30" s="59" t="s">
        <v>529</v>
      </c>
      <c r="E30" s="60">
        <v>5.9322999999999997</v>
      </c>
      <c r="F30" s="61">
        <v>19.142208010000001</v>
      </c>
      <c r="G30" s="61"/>
      <c r="H30" s="61"/>
      <c r="I30" s="61"/>
      <c r="J30" s="62">
        <v>4.0067730387895999</v>
      </c>
      <c r="K30" s="28">
        <f t="shared" si="16"/>
        <v>32.924448550968982</v>
      </c>
      <c r="L30" s="69">
        <v>53.028911834789497</v>
      </c>
      <c r="M30" s="29">
        <f t="shared" si="17"/>
        <v>72.417671884342226</v>
      </c>
      <c r="N30" s="71">
        <v>0</v>
      </c>
      <c r="O30" s="35">
        <f t="shared" si="18"/>
        <v>3.8080851172405779</v>
      </c>
      <c r="P30" s="16">
        <f t="shared" si="9"/>
        <v>3.8103713400446044</v>
      </c>
      <c r="Q30" s="57" t="s">
        <v>489</v>
      </c>
      <c r="R30" s="58" t="s">
        <v>529</v>
      </c>
      <c r="S30" s="58" t="s">
        <v>530</v>
      </c>
      <c r="T30" s="58">
        <f t="shared" si="19"/>
        <v>0</v>
      </c>
      <c r="U30" s="58"/>
      <c r="V30" s="73">
        <v>0</v>
      </c>
      <c r="W30" s="74">
        <v>1.3621736156158151</v>
      </c>
      <c r="X30" s="75">
        <v>1</v>
      </c>
      <c r="Y30" s="76">
        <v>0</v>
      </c>
      <c r="Z30" s="74">
        <v>4.9082065217254103</v>
      </c>
      <c r="AA30" s="73">
        <v>6544.2753623012204</v>
      </c>
      <c r="AB30" s="77">
        <v>5.7308936721830002E-3</v>
      </c>
      <c r="AC30" s="35">
        <f t="shared" si="20"/>
        <v>6.3468085287342966</v>
      </c>
      <c r="AD30" s="15">
        <f t="shared" si="10"/>
        <v>1.4949902914957942</v>
      </c>
      <c r="AE30" s="15">
        <f t="shared" si="21"/>
        <v>2.6801577547569138</v>
      </c>
      <c r="AF30" s="15">
        <f t="shared" si="22"/>
        <v>1.6456853523471582</v>
      </c>
      <c r="AG30" s="15">
        <f t="shared" si="11"/>
        <v>4.0311205103307088</v>
      </c>
      <c r="AH30" s="15">
        <f t="shared" si="12"/>
        <v>3.1835410846341037</v>
      </c>
      <c r="AI30" s="15" t="e">
        <f t="shared" si="13"/>
        <v>#DIV/0!</v>
      </c>
      <c r="AJ30" s="16">
        <f t="shared" si="23"/>
        <v>4.4489055062838263</v>
      </c>
      <c r="AK30" s="32">
        <f t="shared" si="24"/>
        <v>2.20058683175683</v>
      </c>
      <c r="AL30" s="15">
        <f t="shared" si="25"/>
        <v>0.2462506860485954</v>
      </c>
      <c r="AM30" s="15">
        <f t="shared" si="14"/>
        <v>0.22961981282399999</v>
      </c>
      <c r="AN30" s="16">
        <f t="shared" si="15"/>
        <v>0.16856868331001468</v>
      </c>
    </row>
    <row r="31" spans="1:40" x14ac:dyDescent="0.45">
      <c r="A31" s="19">
        <v>19</v>
      </c>
      <c r="B31" s="57" t="s">
        <v>489</v>
      </c>
      <c r="C31" s="58" t="s">
        <v>508</v>
      </c>
      <c r="D31" s="59" t="s">
        <v>529</v>
      </c>
      <c r="E31" s="60">
        <v>27.289000000000001</v>
      </c>
      <c r="F31" s="61">
        <v>51.966190490000002</v>
      </c>
      <c r="G31" s="61"/>
      <c r="H31" s="61"/>
      <c r="I31" s="61"/>
      <c r="J31" s="62">
        <v>5.1151503549232</v>
      </c>
      <c r="K31" s="28">
        <f t="shared" si="16"/>
        <v>44.550307167708091</v>
      </c>
      <c r="L31" s="69">
        <v>64.886456246978398</v>
      </c>
      <c r="M31" s="29">
        <f t="shared" si="17"/>
        <v>81.122996878517796</v>
      </c>
      <c r="N31" s="71">
        <v>0</v>
      </c>
      <c r="O31" s="35">
        <f t="shared" si="18"/>
        <v>5.5181660532692236</v>
      </c>
      <c r="P31" s="16">
        <f t="shared" si="9"/>
        <v>5.521478940633604</v>
      </c>
      <c r="Q31" s="57" t="s">
        <v>489</v>
      </c>
      <c r="R31" s="58" t="s">
        <v>529</v>
      </c>
      <c r="S31" s="58" t="s">
        <v>530</v>
      </c>
      <c r="T31" s="58">
        <f t="shared" si="19"/>
        <v>0</v>
      </c>
      <c r="U31" s="58"/>
      <c r="V31" s="73">
        <v>0</v>
      </c>
      <c r="W31" s="74">
        <v>14.397244958481279</v>
      </c>
      <c r="X31" s="75">
        <v>1</v>
      </c>
      <c r="Y31" s="76">
        <v>0</v>
      </c>
      <c r="Z31" s="74">
        <v>13.2443954816675</v>
      </c>
      <c r="AA31" s="73">
        <v>17659.193975556798</v>
      </c>
      <c r="AB31" s="77">
        <v>3.343148011596E-3</v>
      </c>
      <c r="AC31" s="35">
        <f t="shared" si="20"/>
        <v>9.196943422115373</v>
      </c>
      <c r="AD31" s="15">
        <f t="shared" si="10"/>
        <v>2.669862456651015</v>
      </c>
      <c r="AE31" s="15">
        <f t="shared" si="21"/>
        <v>6.3135862330342754</v>
      </c>
      <c r="AF31" s="15">
        <f t="shared" si="22"/>
        <v>4.3492730262763475</v>
      </c>
      <c r="AG31" s="15">
        <f t="shared" si="11"/>
        <v>7.6567173345940676</v>
      </c>
      <c r="AH31" s="15">
        <f t="shared" si="12"/>
        <v>5.5565060180569548</v>
      </c>
      <c r="AI31" s="15" t="e">
        <f t="shared" si="13"/>
        <v>#DIV/0!</v>
      </c>
      <c r="AJ31" s="16">
        <f t="shared" si="23"/>
        <v>12.902484015925857</v>
      </c>
      <c r="AK31" s="32">
        <f t="shared" si="24"/>
        <v>2.7853841608446945</v>
      </c>
      <c r="AL31" s="15">
        <f t="shared" si="25"/>
        <v>0.15556910043531083</v>
      </c>
      <c r="AM31" s="15">
        <f t="shared" si="14"/>
        <v>0.52758418991099998</v>
      </c>
      <c r="AN31" s="16">
        <f t="shared" si="15"/>
        <v>3.6644801934845539E-2</v>
      </c>
    </row>
    <row r="32" spans="1:40" x14ac:dyDescent="0.45">
      <c r="A32" s="19">
        <v>20</v>
      </c>
      <c r="B32" s="57" t="s">
        <v>489</v>
      </c>
      <c r="C32" s="58" t="s">
        <v>509</v>
      </c>
      <c r="D32" s="59" t="s">
        <v>529</v>
      </c>
      <c r="E32" s="60">
        <v>2.0505</v>
      </c>
      <c r="F32" s="61">
        <v>9.6323263919999995</v>
      </c>
      <c r="G32" s="61"/>
      <c r="H32" s="61"/>
      <c r="I32" s="61"/>
      <c r="J32" s="62">
        <v>3.3469270252762002</v>
      </c>
      <c r="K32" s="28">
        <f t="shared" si="16"/>
        <v>58.918645995245306</v>
      </c>
      <c r="L32" s="69">
        <v>76.736866359447006</v>
      </c>
      <c r="M32" s="29">
        <f t="shared" si="17"/>
        <v>88.467666738406734</v>
      </c>
      <c r="N32" s="71">
        <v>0</v>
      </c>
      <c r="O32" s="35">
        <f t="shared" si="18"/>
        <v>1.1692558091217131</v>
      </c>
      <c r="P32" s="16">
        <f t="shared" si="9"/>
        <v>1.1699577837919881</v>
      </c>
      <c r="Q32" s="57" t="s">
        <v>489</v>
      </c>
      <c r="R32" s="58" t="s">
        <v>529</v>
      </c>
      <c r="S32" s="58" t="s">
        <v>530</v>
      </c>
      <c r="T32" s="58">
        <f t="shared" si="19"/>
        <v>0</v>
      </c>
      <c r="U32" s="58"/>
      <c r="V32" s="73">
        <v>0</v>
      </c>
      <c r="W32" s="74">
        <v>1.5230423724949784</v>
      </c>
      <c r="X32" s="75">
        <v>1</v>
      </c>
      <c r="Y32" s="76">
        <v>0</v>
      </c>
      <c r="Z32" s="74">
        <v>2.1920335956490398</v>
      </c>
      <c r="AA32" s="73">
        <v>2922.7114608646898</v>
      </c>
      <c r="AB32" s="77">
        <v>4.7219501173620003E-3</v>
      </c>
      <c r="AC32" s="35">
        <f t="shared" si="20"/>
        <v>1.9487596818695219</v>
      </c>
      <c r="AD32" s="15">
        <f t="shared" si="10"/>
        <v>0.99843617137752039</v>
      </c>
      <c r="AE32" s="15">
        <f t="shared" si="21"/>
        <v>1.5068917882955193</v>
      </c>
      <c r="AF32" s="15">
        <f t="shared" si="22"/>
        <v>0.9531635862445107</v>
      </c>
      <c r="AG32" s="15">
        <f t="shared" si="11"/>
        <v>3.5027018078637981</v>
      </c>
      <c r="AH32" s="15">
        <f t="shared" si="12"/>
        <v>2.5761070910800279</v>
      </c>
      <c r="AI32" s="15" t="e">
        <f t="shared" si="13"/>
        <v>#DIV/0!</v>
      </c>
      <c r="AJ32" s="16">
        <f t="shared" si="23"/>
        <v>2.5095777729700468</v>
      </c>
      <c r="AK32" s="32">
        <f t="shared" si="24"/>
        <v>1.8834727220643444</v>
      </c>
      <c r="AL32" s="15">
        <f t="shared" si="25"/>
        <v>0.42674197387092638</v>
      </c>
      <c r="AM32" s="15">
        <f t="shared" si="14"/>
        <v>0.74276633625699995</v>
      </c>
      <c r="AN32" s="16">
        <f t="shared" si="15"/>
        <v>0.48768593026091195</v>
      </c>
    </row>
    <row r="33" spans="1:40" x14ac:dyDescent="0.45">
      <c r="A33" s="19">
        <v>21</v>
      </c>
      <c r="B33" s="57" t="s">
        <v>489</v>
      </c>
      <c r="C33" s="58" t="s">
        <v>510</v>
      </c>
      <c r="D33" s="59" t="s">
        <v>529</v>
      </c>
      <c r="E33" s="60">
        <v>3.7679</v>
      </c>
      <c r="F33" s="61">
        <v>16.07443984</v>
      </c>
      <c r="G33" s="61"/>
      <c r="H33" s="61"/>
      <c r="I33" s="61"/>
      <c r="J33" s="62">
        <v>5.0680694536816002</v>
      </c>
      <c r="K33" s="28">
        <f t="shared" si="16"/>
        <v>66.28553176607106</v>
      </c>
      <c r="L33" s="69">
        <v>81.890609390609399</v>
      </c>
      <c r="M33" s="29">
        <f t="shared" si="17"/>
        <v>91.316634421266315</v>
      </c>
      <c r="N33" s="71">
        <v>0</v>
      </c>
      <c r="O33" s="35">
        <f t="shared" si="18"/>
        <v>1.3381717196687601</v>
      </c>
      <c r="P33" s="16">
        <f t="shared" si="9"/>
        <v>1.3389751047315994</v>
      </c>
      <c r="Q33" s="57" t="s">
        <v>489</v>
      </c>
      <c r="R33" s="58" t="s">
        <v>529</v>
      </c>
      <c r="S33" s="58" t="s">
        <v>530</v>
      </c>
      <c r="T33" s="58">
        <f t="shared" si="19"/>
        <v>0</v>
      </c>
      <c r="U33" s="58"/>
      <c r="V33" s="73">
        <v>0</v>
      </c>
      <c r="W33" s="74">
        <v>4.4037439083718493</v>
      </c>
      <c r="X33" s="75">
        <v>1</v>
      </c>
      <c r="Y33" s="76">
        <v>0</v>
      </c>
      <c r="Z33" s="74">
        <v>4.1034711857055903</v>
      </c>
      <c r="AA33" s="73">
        <v>5471.29491427427</v>
      </c>
      <c r="AB33" s="77">
        <v>1.8896441326E-3</v>
      </c>
      <c r="AC33" s="35">
        <f t="shared" si="20"/>
        <v>2.2302861994479337</v>
      </c>
      <c r="AD33" s="15">
        <f t="shared" si="10"/>
        <v>1.2581469008482771</v>
      </c>
      <c r="AE33" s="15">
        <f t="shared" si="21"/>
        <v>2.8880459935620606</v>
      </c>
      <c r="AF33" s="15">
        <f t="shared" si="22"/>
        <v>2.1977186364557695</v>
      </c>
      <c r="AG33" s="15">
        <f t="shared" si="11"/>
        <v>6.2480101980816602</v>
      </c>
      <c r="AH33" s="15">
        <f t="shared" si="12"/>
        <v>3.8551881426316785</v>
      </c>
      <c r="AI33" s="15" t="e">
        <f t="shared" si="13"/>
        <v>#DIV/0!</v>
      </c>
      <c r="AJ33" s="16">
        <f t="shared" si="23"/>
        <v>4.7230773208181516</v>
      </c>
      <c r="AK33" s="32">
        <f t="shared" si="24"/>
        <v>2.3186980400191013</v>
      </c>
      <c r="AL33" s="15">
        <f t="shared" si="25"/>
        <v>0.22376728458310166</v>
      </c>
      <c r="AM33" s="15">
        <f t="shared" si="14"/>
        <v>1.1687528619049998</v>
      </c>
      <c r="AN33" s="16">
        <f t="shared" si="15"/>
        <v>0.26539982483611563</v>
      </c>
    </row>
    <row r="34" spans="1:40" x14ac:dyDescent="0.45">
      <c r="A34" s="19">
        <v>22</v>
      </c>
      <c r="B34" s="57" t="s">
        <v>489</v>
      </c>
      <c r="C34" s="58" t="s">
        <v>511</v>
      </c>
      <c r="D34" s="59" t="s">
        <v>529</v>
      </c>
      <c r="E34" s="60">
        <v>9.1300000000000006E-2</v>
      </c>
      <c r="F34" s="61">
        <v>1.4724688109999999</v>
      </c>
      <c r="G34" s="61"/>
      <c r="H34" s="61"/>
      <c r="I34" s="61"/>
      <c r="J34" s="62">
        <v>2.7212991800189998</v>
      </c>
      <c r="K34" s="28">
        <f t="shared" si="16"/>
        <v>66.450567260940048</v>
      </c>
      <c r="L34" s="69">
        <v>82</v>
      </c>
      <c r="M34" s="29">
        <f t="shared" si="17"/>
        <v>91.375083574771566</v>
      </c>
      <c r="N34" s="71">
        <v>0</v>
      </c>
      <c r="O34" s="35">
        <f t="shared" si="18"/>
        <v>0.23644972663926067</v>
      </c>
      <c r="P34" s="16">
        <f t="shared" si="9"/>
        <v>0.23659168164824965</v>
      </c>
      <c r="Q34" s="57" t="s">
        <v>489</v>
      </c>
      <c r="R34" s="58" t="s">
        <v>529</v>
      </c>
      <c r="S34" s="58" t="s">
        <v>530</v>
      </c>
      <c r="T34" s="58">
        <f t="shared" si="19"/>
        <v>0</v>
      </c>
      <c r="U34" s="58"/>
      <c r="V34" s="73">
        <v>0</v>
      </c>
      <c r="W34" s="74">
        <v>0.29151300947857439</v>
      </c>
      <c r="X34" s="75">
        <v>1</v>
      </c>
      <c r="Y34" s="76">
        <v>0</v>
      </c>
      <c r="Z34" s="74">
        <v>0.32012989993576402</v>
      </c>
      <c r="AA34" s="73">
        <v>426.83986658119102</v>
      </c>
      <c r="AB34" s="77">
        <v>5.9497640187830001E-3</v>
      </c>
      <c r="AC34" s="35">
        <f t="shared" si="20"/>
        <v>0.39408287773210116</v>
      </c>
      <c r="AD34" s="15">
        <f t="shared" si="10"/>
        <v>0.30605007322505329</v>
      </c>
      <c r="AE34" s="15">
        <f t="shared" si="21"/>
        <v>0.33420600228341618</v>
      </c>
      <c r="AF34" s="15">
        <f t="shared" si="22"/>
        <v>0.19823057226360599</v>
      </c>
      <c r="AG34" s="15">
        <f t="shared" si="11"/>
        <v>1.5295107658910663</v>
      </c>
      <c r="AH34" s="15">
        <f t="shared" si="12"/>
        <v>1.0540538085922342</v>
      </c>
      <c r="AI34" s="15" t="e">
        <f t="shared" si="13"/>
        <v>#DIV/0!</v>
      </c>
      <c r="AJ34" s="16">
        <f t="shared" si="23"/>
        <v>0.37022420133859779</v>
      </c>
      <c r="AK34" s="32">
        <f t="shared" si="24"/>
        <v>1.364484941523898</v>
      </c>
      <c r="AL34" s="15">
        <f t="shared" si="25"/>
        <v>0.89087813436889007</v>
      </c>
      <c r="AM34" s="15">
        <f t="shared" si="14"/>
        <v>3.1929135758879998</v>
      </c>
      <c r="AN34" s="16">
        <f t="shared" si="15"/>
        <v>10.952902519167578</v>
      </c>
    </row>
    <row r="35" spans="1:40" x14ac:dyDescent="0.45">
      <c r="A35" s="19">
        <v>23</v>
      </c>
      <c r="B35" s="57" t="s">
        <v>489</v>
      </c>
      <c r="C35" s="58" t="s">
        <v>512</v>
      </c>
      <c r="D35" s="59" t="s">
        <v>529</v>
      </c>
      <c r="E35" s="60">
        <v>11.749000000000001</v>
      </c>
      <c r="F35" s="61">
        <v>32.333034730000001</v>
      </c>
      <c r="G35" s="61"/>
      <c r="H35" s="61"/>
      <c r="I35" s="61"/>
      <c r="J35" s="62">
        <v>3.7500524028927997</v>
      </c>
      <c r="K35" s="28">
        <f t="shared" si="16"/>
        <v>59.840084424751666</v>
      </c>
      <c r="L35" s="69">
        <v>77.4118684843625</v>
      </c>
      <c r="M35" s="29">
        <f t="shared" si="17"/>
        <v>88.851738598432846</v>
      </c>
      <c r="N35" s="71">
        <v>0</v>
      </c>
      <c r="O35" s="35">
        <f t="shared" si="18"/>
        <v>3.3421133162038239</v>
      </c>
      <c r="P35" s="16">
        <f t="shared" si="9"/>
        <v>3.3441197880766702</v>
      </c>
      <c r="Q35" s="57" t="s">
        <v>489</v>
      </c>
      <c r="R35" s="58" t="s">
        <v>529</v>
      </c>
      <c r="S35" s="58" t="s">
        <v>530</v>
      </c>
      <c r="T35" s="58">
        <f t="shared" si="19"/>
        <v>0</v>
      </c>
      <c r="U35" s="58"/>
      <c r="V35" s="73">
        <v>0</v>
      </c>
      <c r="W35" s="74">
        <v>9.7288428409830416</v>
      </c>
      <c r="X35" s="75">
        <v>1</v>
      </c>
      <c r="Y35" s="76">
        <v>0</v>
      </c>
      <c r="Z35" s="74">
        <v>8.9685169327265495</v>
      </c>
      <c r="AA35" s="73">
        <v>11958.022576969301</v>
      </c>
      <c r="AB35" s="77">
        <v>1.009008306362E-3</v>
      </c>
      <c r="AC35" s="35">
        <f t="shared" si="20"/>
        <v>5.5701888603397069</v>
      </c>
      <c r="AD35" s="15">
        <f t="shared" si="10"/>
        <v>1.9382684906128633</v>
      </c>
      <c r="AE35" s="15">
        <f t="shared" si="21"/>
        <v>5.8945266356883854</v>
      </c>
      <c r="AF35" s="15">
        <f t="shared" si="22"/>
        <v>5.109133403091672</v>
      </c>
      <c r="AG35" s="15">
        <f t="shared" si="11"/>
        <v>11.286454567116108</v>
      </c>
      <c r="AH35" s="15">
        <f t="shared" si="12"/>
        <v>6.2084853538904756</v>
      </c>
      <c r="AI35" s="15" t="e">
        <f t="shared" si="13"/>
        <v>#DIV/0!</v>
      </c>
      <c r="AJ35" s="16">
        <f t="shared" si="23"/>
        <v>11.166075297449275</v>
      </c>
      <c r="AK35" s="32">
        <f t="shared" si="24"/>
        <v>2.6412167827507909</v>
      </c>
      <c r="AL35" s="15">
        <f t="shared" si="25"/>
        <v>0.14606953237959452</v>
      </c>
      <c r="AM35" s="15">
        <f t="shared" si="14"/>
        <v>0.82805709770900005</v>
      </c>
      <c r="AN35" s="16">
        <f t="shared" si="15"/>
        <v>8.5113626691633332E-2</v>
      </c>
    </row>
    <row r="36" spans="1:40" x14ac:dyDescent="0.45">
      <c r="A36" s="19">
        <v>24</v>
      </c>
      <c r="B36" s="57" t="s">
        <v>489</v>
      </c>
      <c r="C36" s="58" t="s">
        <v>513</v>
      </c>
      <c r="D36" s="59" t="s">
        <v>529</v>
      </c>
      <c r="E36" s="60">
        <v>9.0678999999999998</v>
      </c>
      <c r="F36" s="61">
        <v>18.896875959999999</v>
      </c>
      <c r="G36" s="61"/>
      <c r="H36" s="61"/>
      <c r="I36" s="61"/>
      <c r="J36" s="62">
        <v>42.640086906279798</v>
      </c>
      <c r="K36" s="28">
        <f t="shared" si="16"/>
        <v>51.127285531531626</v>
      </c>
      <c r="L36" s="69">
        <v>70.640929846409307</v>
      </c>
      <c r="M36" s="29">
        <f t="shared" si="17"/>
        <v>84.8383472879338</v>
      </c>
      <c r="N36" s="71">
        <v>0</v>
      </c>
      <c r="O36" s="35">
        <f t="shared" si="18"/>
        <v>0.75741101632417274</v>
      </c>
      <c r="P36" s="16">
        <f t="shared" si="9"/>
        <v>0.7578657357656321</v>
      </c>
      <c r="Q36" s="57" t="s">
        <v>489</v>
      </c>
      <c r="R36" s="58" t="s">
        <v>529</v>
      </c>
      <c r="S36" s="58" t="s">
        <v>530</v>
      </c>
      <c r="T36" s="58">
        <f t="shared" si="19"/>
        <v>0</v>
      </c>
      <c r="U36" s="58"/>
      <c r="V36" s="73">
        <v>0</v>
      </c>
      <c r="W36" s="74">
        <v>3.2074065757546752</v>
      </c>
      <c r="X36" s="75">
        <v>1</v>
      </c>
      <c r="Y36" s="76">
        <v>0</v>
      </c>
      <c r="Z36" s="74">
        <v>5.03922526980387</v>
      </c>
      <c r="AA36" s="73">
        <v>6718.9670264058104</v>
      </c>
      <c r="AB36" s="77">
        <v>0.15506187888864401</v>
      </c>
      <c r="AC36" s="35">
        <f t="shared" si="20"/>
        <v>1.2623516938736212</v>
      </c>
      <c r="AD36" s="15">
        <f t="shared" si="10"/>
        <v>1.7565727722421935</v>
      </c>
      <c r="AE36" s="15">
        <f t="shared" si="21"/>
        <v>1.4612407141750434</v>
      </c>
      <c r="AF36" s="15">
        <f t="shared" si="22"/>
        <v>0.47176693092110744</v>
      </c>
      <c r="AG36" s="15">
        <f t="shared" si="11"/>
        <v>0.87657725452816049</v>
      </c>
      <c r="AH36" s="15">
        <f t="shared" si="12"/>
        <v>1.4006909518473889</v>
      </c>
      <c r="AI36" s="15" t="e">
        <f t="shared" si="13"/>
        <v>#DIV/0!</v>
      </c>
      <c r="AJ36" s="16">
        <f t="shared" si="23"/>
        <v>2.1520955441067811</v>
      </c>
      <c r="AK36" s="32">
        <f t="shared" si="24"/>
        <v>1.7570927331584072</v>
      </c>
      <c r="AL36" s="15">
        <f t="shared" si="25"/>
        <v>0.35709122303918917</v>
      </c>
      <c r="AM36" s="15">
        <f t="shared" si="14"/>
        <v>0.35370996325000004</v>
      </c>
      <c r="AN36" s="16">
        <f t="shared" si="15"/>
        <v>0.11027911644371906</v>
      </c>
    </row>
    <row r="37" spans="1:40" x14ac:dyDescent="0.45">
      <c r="A37" s="19">
        <v>25</v>
      </c>
      <c r="B37" s="57" t="s">
        <v>489</v>
      </c>
      <c r="C37" s="58" t="s">
        <v>514</v>
      </c>
      <c r="D37" s="59" t="s">
        <v>529</v>
      </c>
      <c r="E37" s="60">
        <v>1.5640000000000001</v>
      </c>
      <c r="F37" s="61">
        <v>8.7120617500000002</v>
      </c>
      <c r="G37" s="61"/>
      <c r="H37" s="61"/>
      <c r="I37" s="61"/>
      <c r="J37" s="62">
        <v>3.8288901279445002</v>
      </c>
      <c r="K37" s="28">
        <f t="shared" si="16"/>
        <v>52.366488098525437</v>
      </c>
      <c r="L37" s="69">
        <v>71.659613059250304</v>
      </c>
      <c r="M37" s="29">
        <f t="shared" si="17"/>
        <v>85.46577132813556</v>
      </c>
      <c r="N37" s="71">
        <v>0</v>
      </c>
      <c r="O37" s="35">
        <f t="shared" si="18"/>
        <v>1.2383408211977027</v>
      </c>
      <c r="P37" s="16">
        <f t="shared" si="9"/>
        <v>1.2390842717607593</v>
      </c>
      <c r="Q37" s="57" t="s">
        <v>489</v>
      </c>
      <c r="R37" s="58" t="s">
        <v>529</v>
      </c>
      <c r="S37" s="58" t="s">
        <v>530</v>
      </c>
      <c r="T37" s="58">
        <f t="shared" si="19"/>
        <v>0</v>
      </c>
      <c r="U37" s="58"/>
      <c r="V37" s="73">
        <v>0</v>
      </c>
      <c r="W37" s="74">
        <v>1.9861285797447201</v>
      </c>
      <c r="X37" s="75">
        <v>1</v>
      </c>
      <c r="Y37" s="76">
        <v>0</v>
      </c>
      <c r="Z37" s="74">
        <v>2.1387609297206498</v>
      </c>
      <c r="AA37" s="73">
        <v>2851.6812396274099</v>
      </c>
      <c r="AB37" s="77">
        <v>1.45112598173E-3</v>
      </c>
      <c r="AC37" s="35">
        <f t="shared" si="20"/>
        <v>2.063901368662838</v>
      </c>
      <c r="AD37" s="15">
        <f t="shared" si="10"/>
        <v>0.9007900010869786</v>
      </c>
      <c r="AE37" s="15">
        <f t="shared" si="21"/>
        <v>1.8506342103613733</v>
      </c>
      <c r="AF37" s="15">
        <f t="shared" si="22"/>
        <v>1.4730594919653452</v>
      </c>
      <c r="AG37" s="15">
        <f t="shared" si="11"/>
        <v>5.8252901703545845</v>
      </c>
      <c r="AH37" s="15">
        <f t="shared" si="12"/>
        <v>3.3293764772056416</v>
      </c>
      <c r="AI37" s="15" t="e">
        <f t="shared" si="13"/>
        <v>#DIV/0!</v>
      </c>
      <c r="AJ37" s="16">
        <f t="shared" si="23"/>
        <v>3.0323660908557675</v>
      </c>
      <c r="AK37" s="32">
        <f t="shared" si="24"/>
        <v>1.9505657850205751</v>
      </c>
      <c r="AL37" s="15">
        <f t="shared" si="25"/>
        <v>0.34191036361630761</v>
      </c>
      <c r="AM37" s="15">
        <f t="shared" si="14"/>
        <v>1.2699031839800001</v>
      </c>
      <c r="AN37" s="16">
        <f t="shared" si="15"/>
        <v>0.63938618925831203</v>
      </c>
    </row>
    <row r="38" spans="1:40" x14ac:dyDescent="0.45">
      <c r="A38" s="19">
        <v>26</v>
      </c>
      <c r="B38" s="57" t="s">
        <v>489</v>
      </c>
      <c r="C38" s="58" t="s">
        <v>515</v>
      </c>
      <c r="D38" s="59" t="s">
        <v>529</v>
      </c>
      <c r="E38" s="60">
        <v>8.8965999999999994</v>
      </c>
      <c r="F38" s="61">
        <v>28.161130539999998</v>
      </c>
      <c r="G38" s="61"/>
      <c r="H38" s="61"/>
      <c r="I38" s="61"/>
      <c r="J38" s="62">
        <v>2.8587685771266003</v>
      </c>
      <c r="K38" s="28">
        <f t="shared" si="16"/>
        <v>45.209855650923245</v>
      </c>
      <c r="L38" s="69">
        <v>65.491482112436103</v>
      </c>
      <c r="M38" s="29">
        <f t="shared" si="17"/>
        <v>81.527902473173143</v>
      </c>
      <c r="N38" s="71">
        <v>0</v>
      </c>
      <c r="O38" s="35">
        <f t="shared" si="18"/>
        <v>4.956181862091543</v>
      </c>
      <c r="P38" s="16">
        <f t="shared" si="9"/>
        <v>4.9591573565054459</v>
      </c>
      <c r="Q38" s="57" t="s">
        <v>489</v>
      </c>
      <c r="R38" s="58" t="s">
        <v>529</v>
      </c>
      <c r="S38" s="58" t="s">
        <v>530</v>
      </c>
      <c r="T38" s="58">
        <f t="shared" si="19"/>
        <v>0</v>
      </c>
      <c r="U38" s="58"/>
      <c r="V38" s="73">
        <v>0</v>
      </c>
      <c r="W38" s="74">
        <v>4.9772552156460454</v>
      </c>
      <c r="X38" s="75">
        <v>1</v>
      </c>
      <c r="Y38" s="76">
        <v>0</v>
      </c>
      <c r="Z38" s="74">
        <v>8.20978348254474</v>
      </c>
      <c r="AA38" s="73">
        <v>10946.3779767262</v>
      </c>
      <c r="AB38" s="77">
        <v>1.6135397125279999E-3</v>
      </c>
      <c r="AC38" s="35">
        <f t="shared" si="20"/>
        <v>8.2603031034859047</v>
      </c>
      <c r="AD38" s="15">
        <f t="shared" si="10"/>
        <v>1.7438885928215835</v>
      </c>
      <c r="AE38" s="15">
        <f t="shared" si="21"/>
        <v>5.0412149356583029</v>
      </c>
      <c r="AF38" s="15">
        <f t="shared" si="22"/>
        <v>3.983749978965005</v>
      </c>
      <c r="AG38" s="15">
        <f t="shared" si="11"/>
        <v>8.3263700463623316</v>
      </c>
      <c r="AH38" s="15">
        <f t="shared" si="12"/>
        <v>4.9921991198926312</v>
      </c>
      <c r="AI38" s="15" t="e">
        <f t="shared" si="13"/>
        <v>#DIV/0!</v>
      </c>
      <c r="AJ38" s="16">
        <f t="shared" si="23"/>
        <v>8.2381180043564548</v>
      </c>
      <c r="AK38" s="32">
        <f t="shared" si="24"/>
        <v>2.6436020790216106</v>
      </c>
      <c r="AL38" s="15">
        <f t="shared" si="25"/>
        <v>0.13199596564693072</v>
      </c>
      <c r="AM38" s="15">
        <f t="shared" si="14"/>
        <v>0.55945588378100009</v>
      </c>
      <c r="AN38" s="16">
        <f t="shared" si="15"/>
        <v>0.112402490839197</v>
      </c>
    </row>
    <row r="39" spans="1:40" x14ac:dyDescent="0.45">
      <c r="A39" s="19">
        <v>27</v>
      </c>
      <c r="B39" s="57" t="s">
        <v>489</v>
      </c>
      <c r="C39" s="58" t="s">
        <v>516</v>
      </c>
      <c r="D39" s="59" t="s">
        <v>529</v>
      </c>
      <c r="E39" s="60">
        <v>8.3452000000000002</v>
      </c>
      <c r="F39" s="61">
        <v>20.430646580000001</v>
      </c>
      <c r="G39" s="61"/>
      <c r="H39" s="61"/>
      <c r="I39" s="61"/>
      <c r="J39" s="62">
        <v>8.353322944922601</v>
      </c>
      <c r="K39" s="28">
        <f t="shared" si="16"/>
        <v>30.573402452473136</v>
      </c>
      <c r="L39" s="69">
        <v>50.319233386255398</v>
      </c>
      <c r="M39" s="29">
        <f t="shared" si="17"/>
        <v>70.197900921156119</v>
      </c>
      <c r="N39" s="71">
        <v>0</v>
      </c>
      <c r="O39" s="35">
        <f t="shared" si="18"/>
        <v>2.8932649772607038</v>
      </c>
      <c r="P39" s="16">
        <f t="shared" si="9"/>
        <v>2.8950019784477727</v>
      </c>
      <c r="Q39" s="57" t="s">
        <v>489</v>
      </c>
      <c r="R39" s="58" t="s">
        <v>529</v>
      </c>
      <c r="S39" s="58" t="s">
        <v>530</v>
      </c>
      <c r="T39" s="58">
        <f t="shared" si="19"/>
        <v>0</v>
      </c>
      <c r="U39" s="58"/>
      <c r="V39" s="73">
        <v>0</v>
      </c>
      <c r="W39" s="74">
        <v>3.3618975761170251</v>
      </c>
      <c r="X39" s="75">
        <v>1</v>
      </c>
      <c r="Y39" s="76">
        <v>0</v>
      </c>
      <c r="Z39" s="74">
        <v>5.0574495387746499</v>
      </c>
      <c r="AA39" s="73">
        <v>6743.2660517002396</v>
      </c>
      <c r="AB39" s="77">
        <v>1.8825924662730999E-2</v>
      </c>
      <c r="AC39" s="35">
        <f t="shared" si="20"/>
        <v>4.8221082954345063</v>
      </c>
      <c r="AD39" s="15">
        <f t="shared" si="10"/>
        <v>1.7020000050907136</v>
      </c>
      <c r="AE39" s="15">
        <f t="shared" si="21"/>
        <v>2.1872858270649611</v>
      </c>
      <c r="AF39" s="15">
        <f t="shared" si="22"/>
        <v>1.0653638325805228</v>
      </c>
      <c r="AG39" s="15">
        <f t="shared" si="11"/>
        <v>2.4519363962977749</v>
      </c>
      <c r="AH39" s="15">
        <f t="shared" si="12"/>
        <v>2.5120958446797697</v>
      </c>
      <c r="AI39" s="15" t="e">
        <f t="shared" si="13"/>
        <v>#DIV/0!</v>
      </c>
      <c r="AJ39" s="16">
        <f t="shared" si="23"/>
        <v>3.8281729624654708</v>
      </c>
      <c r="AK39" s="32">
        <f t="shared" si="24"/>
        <v>1.9802579607652437</v>
      </c>
      <c r="AL39" s="15">
        <f t="shared" si="25"/>
        <v>0.32626736303234988</v>
      </c>
      <c r="AM39" s="15">
        <f t="shared" si="14"/>
        <v>0.40285404497400001</v>
      </c>
      <c r="AN39" s="16">
        <f t="shared" si="15"/>
        <v>0.11982936298710636</v>
      </c>
    </row>
    <row r="40" spans="1:40" x14ac:dyDescent="0.45">
      <c r="A40" s="19">
        <v>28</v>
      </c>
      <c r="B40" s="57" t="s">
        <v>489</v>
      </c>
      <c r="C40" s="58" t="s">
        <v>517</v>
      </c>
      <c r="D40" s="59" t="s">
        <v>529</v>
      </c>
      <c r="E40" s="60">
        <v>14.805</v>
      </c>
      <c r="F40" s="61">
        <v>34.603119190000001</v>
      </c>
      <c r="G40" s="61"/>
      <c r="H40" s="61"/>
      <c r="I40" s="61"/>
      <c r="J40" s="62">
        <v>5.0139187007645996</v>
      </c>
      <c r="K40" s="28">
        <f t="shared" si="16"/>
        <v>28.703158612715569</v>
      </c>
      <c r="L40" s="69">
        <v>48.077554912500297</v>
      </c>
      <c r="M40" s="29">
        <f t="shared" si="17"/>
        <v>68.287901304577048</v>
      </c>
      <c r="N40" s="71">
        <v>0</v>
      </c>
      <c r="O40" s="35">
        <f t="shared" si="18"/>
        <v>6.8026428418238147</v>
      </c>
      <c r="P40" s="16">
        <f t="shared" si="9"/>
        <v>6.8067268779505854</v>
      </c>
      <c r="Q40" s="57" t="s">
        <v>489</v>
      </c>
      <c r="R40" s="58" t="s">
        <v>529</v>
      </c>
      <c r="S40" s="58" t="s">
        <v>530</v>
      </c>
      <c r="T40" s="58">
        <f t="shared" si="19"/>
        <v>0</v>
      </c>
      <c r="U40" s="58"/>
      <c r="V40" s="73">
        <v>0</v>
      </c>
      <c r="W40" s="74">
        <v>6.1367282793920248</v>
      </c>
      <c r="X40" s="75">
        <v>1</v>
      </c>
      <c r="Y40" s="76">
        <v>0</v>
      </c>
      <c r="Z40" s="74">
        <v>9.9635472529307201</v>
      </c>
      <c r="AA40" s="73">
        <v>13284.729670574699</v>
      </c>
      <c r="AB40" s="77">
        <v>8.6766028174099993E-3</v>
      </c>
      <c r="AC40" s="35">
        <f t="shared" si="20"/>
        <v>11.337738069706358</v>
      </c>
      <c r="AD40" s="15">
        <f t="shared" si="10"/>
        <v>2.1162588569975176</v>
      </c>
      <c r="AE40" s="15">
        <f t="shared" si="21"/>
        <v>4.2425741048068017</v>
      </c>
      <c r="AF40" s="15">
        <f t="shared" si="22"/>
        <v>2.4197247024073443</v>
      </c>
      <c r="AG40" s="15">
        <f t="shared" si="11"/>
        <v>4.0781124527540511</v>
      </c>
      <c r="AH40" s="15">
        <f t="shared" si="12"/>
        <v>3.5500919040113113</v>
      </c>
      <c r="AI40" s="15" t="e">
        <f t="shared" si="13"/>
        <v>#DIV/0!</v>
      </c>
      <c r="AJ40" s="16">
        <f t="shared" si="23"/>
        <v>6.7666903612689202</v>
      </c>
      <c r="AK40" s="32">
        <f t="shared" si="24"/>
        <v>2.5180773939050489</v>
      </c>
      <c r="AL40" s="15">
        <f t="shared" si="25"/>
        <v>0.14913529653478716</v>
      </c>
      <c r="AM40" s="15">
        <f t="shared" si="14"/>
        <v>0.41450376760500002</v>
      </c>
      <c r="AN40" s="16">
        <f t="shared" si="15"/>
        <v>6.7544748395812232E-2</v>
      </c>
    </row>
    <row r="41" spans="1:40" x14ac:dyDescent="0.45">
      <c r="A41" s="19">
        <v>29</v>
      </c>
      <c r="B41" s="57" t="s">
        <v>489</v>
      </c>
      <c r="C41" s="58" t="s">
        <v>518</v>
      </c>
      <c r="D41" s="59" t="s">
        <v>529</v>
      </c>
      <c r="E41" s="60">
        <v>4.9047000000000001</v>
      </c>
      <c r="F41" s="61">
        <v>19.264970470000002</v>
      </c>
      <c r="G41" s="61"/>
      <c r="H41" s="61"/>
      <c r="I41" s="61"/>
      <c r="J41" s="62">
        <v>3.0519338556980999</v>
      </c>
      <c r="K41" s="28">
        <f t="shared" si="16"/>
        <v>62.843259031118066</v>
      </c>
      <c r="L41" s="69">
        <v>79.550076745970799</v>
      </c>
      <c r="M41" s="29">
        <f t="shared" si="17"/>
        <v>90.04628224492069</v>
      </c>
      <c r="N41" s="71">
        <v>0</v>
      </c>
      <c r="O41" s="35">
        <f t="shared" si="18"/>
        <v>2.3057411166621202</v>
      </c>
      <c r="P41" s="16">
        <f t="shared" si="9"/>
        <v>2.3071253918972578</v>
      </c>
      <c r="Q41" s="57" t="s">
        <v>489</v>
      </c>
      <c r="R41" s="58" t="s">
        <v>529</v>
      </c>
      <c r="S41" s="58" t="s">
        <v>530</v>
      </c>
      <c r="T41" s="58">
        <f t="shared" si="19"/>
        <v>0</v>
      </c>
      <c r="U41" s="58"/>
      <c r="V41" s="73">
        <v>0</v>
      </c>
      <c r="W41" s="74">
        <v>5.5456063432868588</v>
      </c>
      <c r="X41" s="75">
        <v>1</v>
      </c>
      <c r="Y41" s="76">
        <v>0</v>
      </c>
      <c r="Z41" s="74">
        <v>5.3772184654145807</v>
      </c>
      <c r="AA41" s="73">
        <v>7169.6246205531397</v>
      </c>
      <c r="AB41" s="77">
        <v>1.365697568E-5</v>
      </c>
      <c r="AC41" s="35">
        <f t="shared" si="20"/>
        <v>3.8429018611035337</v>
      </c>
      <c r="AD41" s="15">
        <f t="shared" si="10"/>
        <v>1.3907412068309086</v>
      </c>
      <c r="AE41" s="15">
        <f t="shared" si="21"/>
        <v>9.0495655607937078</v>
      </c>
      <c r="AF41" s="15">
        <f t="shared" si="22"/>
        <v>18.058004183866057</v>
      </c>
      <c r="AG41" s="15">
        <f t="shared" si="11"/>
        <v>78.061690141003567</v>
      </c>
      <c r="AH41" s="15">
        <f t="shared" si="12"/>
        <v>17.095771948366206</v>
      </c>
      <c r="AI41" s="15" t="e">
        <f t="shared" si="13"/>
        <v>#DIV/0!</v>
      </c>
      <c r="AJ41" s="16">
        <f t="shared" si="23"/>
        <v>23.8201981074039</v>
      </c>
      <c r="AK41" s="32">
        <f t="shared" si="24"/>
        <v>2.435679577580109</v>
      </c>
      <c r="AL41" s="15">
        <f t="shared" si="25"/>
        <v>0.16962782201853541</v>
      </c>
      <c r="AM41" s="15">
        <f t="shared" si="14"/>
        <v>1.1306718745869999</v>
      </c>
      <c r="AN41" s="16">
        <f t="shared" si="15"/>
        <v>0.20388606846494178</v>
      </c>
    </row>
    <row r="42" spans="1:40" x14ac:dyDescent="0.45">
      <c r="A42" s="19">
        <v>30</v>
      </c>
      <c r="B42" s="57" t="s">
        <v>489</v>
      </c>
      <c r="C42" s="58" t="s">
        <v>519</v>
      </c>
      <c r="D42" s="59" t="s">
        <v>529</v>
      </c>
      <c r="E42" s="60">
        <v>6.4057000000000004</v>
      </c>
      <c r="F42" s="61">
        <v>25.891341090000001</v>
      </c>
      <c r="G42" s="61"/>
      <c r="H42" s="61"/>
      <c r="I42" s="61"/>
      <c r="J42" s="62">
        <v>4.2822489701356004</v>
      </c>
      <c r="K42" s="28">
        <f t="shared" si="16"/>
        <v>46.357607744644298</v>
      </c>
      <c r="L42" s="69">
        <v>66.528918322295794</v>
      </c>
      <c r="M42" s="29">
        <f t="shared" si="17"/>
        <v>82.214160555491176</v>
      </c>
      <c r="N42" s="71">
        <v>0</v>
      </c>
      <c r="O42" s="35">
        <f t="shared" si="18"/>
        <v>3.4761785098750408</v>
      </c>
      <c r="P42" s="16">
        <f t="shared" si="9"/>
        <v>3.4782654691565349</v>
      </c>
      <c r="Q42" s="57" t="s">
        <v>489</v>
      </c>
      <c r="R42" s="58" t="s">
        <v>529</v>
      </c>
      <c r="S42" s="58" t="s">
        <v>530</v>
      </c>
      <c r="T42" s="58">
        <f t="shared" si="19"/>
        <v>0</v>
      </c>
      <c r="U42" s="58"/>
      <c r="V42" s="73">
        <v>0</v>
      </c>
      <c r="W42" s="74">
        <v>4.6547320173693638</v>
      </c>
      <c r="X42" s="75">
        <v>1</v>
      </c>
      <c r="Y42" s="76">
        <v>0</v>
      </c>
      <c r="Z42" s="74">
        <v>7.0173363175464898</v>
      </c>
      <c r="AA42" s="73">
        <v>9356.4484233959793</v>
      </c>
      <c r="AB42" s="77">
        <v>8.5764116578160004E-3</v>
      </c>
      <c r="AC42" s="35">
        <f t="shared" si="20"/>
        <v>5.793630849791735</v>
      </c>
      <c r="AD42" s="15">
        <f t="shared" si="10"/>
        <v>1.5392490652244881</v>
      </c>
      <c r="AE42" s="15">
        <f t="shared" si="21"/>
        <v>3.2574977814755828</v>
      </c>
      <c r="AF42" s="15">
        <f t="shared" si="22"/>
        <v>1.8555891833380176</v>
      </c>
      <c r="AG42" s="15">
        <f t="shared" si="11"/>
        <v>3.3270270852548545</v>
      </c>
      <c r="AH42" s="15">
        <f t="shared" si="12"/>
        <v>2.8058793773751205</v>
      </c>
      <c r="AI42" s="15" t="e">
        <f t="shared" si="13"/>
        <v>#DIV/0!</v>
      </c>
      <c r="AJ42" s="16">
        <f t="shared" si="23"/>
        <v>4.1315563667885042</v>
      </c>
      <c r="AK42" s="32">
        <f t="shared" si="24"/>
        <v>2.864371076860174</v>
      </c>
      <c r="AL42" s="15">
        <f t="shared" si="25"/>
        <v>0.13008343988155024</v>
      </c>
      <c r="AM42" s="15">
        <f t="shared" si="14"/>
        <v>0.72665470087099981</v>
      </c>
      <c r="AN42" s="16">
        <f t="shared" si="15"/>
        <v>0.15611096367297875</v>
      </c>
    </row>
    <row r="43" spans="1:40" x14ac:dyDescent="0.45">
      <c r="A43" s="19">
        <v>31</v>
      </c>
      <c r="B43" s="57" t="s">
        <v>489</v>
      </c>
      <c r="C43" s="58" t="s">
        <v>520</v>
      </c>
      <c r="D43" s="59" t="s">
        <v>529</v>
      </c>
      <c r="E43" s="60">
        <v>0.31519999999999998</v>
      </c>
      <c r="F43" s="61">
        <v>3.4358286379999998</v>
      </c>
      <c r="G43" s="61"/>
      <c r="H43" s="61"/>
      <c r="I43" s="61"/>
      <c r="J43" s="62">
        <v>5.54864617462</v>
      </c>
      <c r="K43" s="28">
        <f t="shared" si="16"/>
        <v>66.450567260940048</v>
      </c>
      <c r="L43" s="69">
        <v>82</v>
      </c>
      <c r="M43" s="29">
        <f t="shared" si="17"/>
        <v>91.375083574771566</v>
      </c>
      <c r="N43" s="71">
        <v>0</v>
      </c>
      <c r="O43" s="35">
        <f t="shared" si="18"/>
        <v>0.39194501774808949</v>
      </c>
      <c r="P43" s="16">
        <f t="shared" si="9"/>
        <v>0.39218032594365565</v>
      </c>
      <c r="Q43" s="57" t="s">
        <v>489</v>
      </c>
      <c r="R43" s="58" t="s">
        <v>529</v>
      </c>
      <c r="S43" s="58" t="s">
        <v>530</v>
      </c>
      <c r="T43" s="58">
        <f t="shared" si="19"/>
        <v>0</v>
      </c>
      <c r="U43" s="58"/>
      <c r="V43" s="73">
        <v>0</v>
      </c>
      <c r="W43" s="74">
        <v>1.0308337296472159</v>
      </c>
      <c r="X43" s="75">
        <v>1</v>
      </c>
      <c r="Y43" s="76">
        <v>0</v>
      </c>
      <c r="Z43" s="74">
        <v>0.93986584366218406</v>
      </c>
      <c r="AA43" s="73">
        <v>1253.1544582163101</v>
      </c>
      <c r="AB43" s="77">
        <v>9.4759147970500002E-4</v>
      </c>
      <c r="AC43" s="35">
        <f t="shared" si="20"/>
        <v>0.65324169624681583</v>
      </c>
      <c r="AD43" s="15">
        <f t="shared" si="10"/>
        <v>0.49009057614662682</v>
      </c>
      <c r="AE43" s="15">
        <f t="shared" si="21"/>
        <v>1.0742201526682724</v>
      </c>
      <c r="AF43" s="15">
        <f t="shared" si="22"/>
        <v>0.92153833671108831</v>
      </c>
      <c r="AG43" s="15">
        <f t="shared" si="11"/>
        <v>4.8415391374870946</v>
      </c>
      <c r="AH43" s="15">
        <f t="shared" si="12"/>
        <v>2.4223231789954318</v>
      </c>
      <c r="AI43" s="15" t="e">
        <f t="shared" si="13"/>
        <v>#DIV/0!</v>
      </c>
      <c r="AJ43" s="16">
        <f t="shared" si="23"/>
        <v>1.3308780389476893</v>
      </c>
      <c r="AK43" s="32">
        <f t="shared" si="24"/>
        <v>1.7135485830503427</v>
      </c>
      <c r="AL43" s="15">
        <f t="shared" si="25"/>
        <v>0.35682434318979139</v>
      </c>
      <c r="AM43" s="15">
        <f t="shared" si="14"/>
        <v>3.2704115788299997</v>
      </c>
      <c r="AN43" s="16">
        <f t="shared" si="15"/>
        <v>3.1725888324873099</v>
      </c>
    </row>
    <row r="44" spans="1:40" x14ac:dyDescent="0.45">
      <c r="A44" s="19">
        <v>32</v>
      </c>
      <c r="B44" s="57" t="s">
        <v>489</v>
      </c>
      <c r="C44" s="58" t="s">
        <v>521</v>
      </c>
      <c r="D44" s="59" t="s">
        <v>529</v>
      </c>
      <c r="E44" s="60">
        <v>8.3169000000000004</v>
      </c>
      <c r="F44" s="61">
        <v>22.025911900000001</v>
      </c>
      <c r="G44" s="61"/>
      <c r="H44" s="61"/>
      <c r="I44" s="61"/>
      <c r="J44" s="62">
        <v>8.0656670093616007</v>
      </c>
      <c r="K44" s="28">
        <f t="shared" si="16"/>
        <v>31.79587673576253</v>
      </c>
      <c r="L44" s="69">
        <v>51.742811683145803</v>
      </c>
      <c r="M44" s="29">
        <f t="shared" si="17"/>
        <v>71.375890474140121</v>
      </c>
      <c r="N44" s="71">
        <v>0</v>
      </c>
      <c r="O44" s="35">
        <f t="shared" si="18"/>
        <v>2.9262127077044475</v>
      </c>
      <c r="P44" s="16">
        <f t="shared" si="9"/>
        <v>2.9279694893980865</v>
      </c>
      <c r="Q44" s="57" t="s">
        <v>489</v>
      </c>
      <c r="R44" s="58" t="s">
        <v>529</v>
      </c>
      <c r="S44" s="58" t="s">
        <v>530</v>
      </c>
      <c r="T44" s="58">
        <f t="shared" si="19"/>
        <v>0</v>
      </c>
      <c r="U44" s="58"/>
      <c r="V44" s="73">
        <v>0</v>
      </c>
      <c r="W44" s="74">
        <v>4.5395545610689085</v>
      </c>
      <c r="X44" s="75">
        <v>1</v>
      </c>
      <c r="Y44" s="76">
        <v>0</v>
      </c>
      <c r="Z44" s="74">
        <v>5.2501641693609296</v>
      </c>
      <c r="AA44" s="73">
        <v>7000.21889248138</v>
      </c>
      <c r="AB44" s="77">
        <v>8.4573179067899996E-3</v>
      </c>
      <c r="AC44" s="35">
        <f t="shared" si="20"/>
        <v>4.8770211795074125</v>
      </c>
      <c r="AD44" s="15">
        <f t="shared" si="10"/>
        <v>1.6998044214067289</v>
      </c>
      <c r="AE44" s="15">
        <f t="shared" si="21"/>
        <v>2.6198621573646301</v>
      </c>
      <c r="AF44" s="15">
        <f t="shared" si="22"/>
        <v>1.4921084128651398</v>
      </c>
      <c r="AG44" s="15">
        <f t="shared" si="11"/>
        <v>3.641006894889395</v>
      </c>
      <c r="AH44" s="15">
        <f t="shared" si="12"/>
        <v>3.1534027120885813</v>
      </c>
      <c r="AI44" s="15" t="e">
        <f t="shared" si="13"/>
        <v>#DIV/0!</v>
      </c>
      <c r="AJ44" s="16">
        <f t="shared" si="23"/>
        <v>4.8434796796329538</v>
      </c>
      <c r="AK44" s="32">
        <f t="shared" si="24"/>
        <v>2.1385095265994809</v>
      </c>
      <c r="AL44" s="15">
        <f t="shared" si="25"/>
        <v>0.30172806819318237</v>
      </c>
      <c r="AM44" s="15">
        <f t="shared" si="14"/>
        <v>0.54582291010700001</v>
      </c>
      <c r="AN44" s="16">
        <f t="shared" si="15"/>
        <v>0.12023710757614015</v>
      </c>
    </row>
    <row r="45" spans="1:40" x14ac:dyDescent="0.45">
      <c r="A45" s="19">
        <v>33</v>
      </c>
      <c r="B45" s="57" t="s">
        <v>489</v>
      </c>
      <c r="C45" s="58" t="s">
        <v>522</v>
      </c>
      <c r="D45" s="59" t="s">
        <v>529</v>
      </c>
      <c r="E45" s="60">
        <v>5.3600000000000002E-2</v>
      </c>
      <c r="F45" s="61">
        <v>1.2884272290000001</v>
      </c>
      <c r="G45" s="61"/>
      <c r="H45" s="61"/>
      <c r="I45" s="61"/>
      <c r="J45" s="62">
        <v>5.7175814319586999</v>
      </c>
      <c r="K45" s="28">
        <f t="shared" si="16"/>
        <v>55.645383917655828</v>
      </c>
      <c r="L45" s="69">
        <v>74.263157894736807</v>
      </c>
      <c r="M45" s="29">
        <f t="shared" si="17"/>
        <v>87.030537788277073</v>
      </c>
      <c r="N45" s="71">
        <v>0</v>
      </c>
      <c r="O45" s="35">
        <f t="shared" si="18"/>
        <v>0.24852836727155503</v>
      </c>
      <c r="P45" s="16">
        <f t="shared" ref="P45:P76" si="26">((AA45/0.3048)^0.8*(((1000/L45)-10)+1)^0.7)/(1900*J45^0.5)</f>
        <v>0.24867757381584452</v>
      </c>
      <c r="Q45" s="57" t="s">
        <v>489</v>
      </c>
      <c r="R45" s="58" t="s">
        <v>529</v>
      </c>
      <c r="S45" s="58" t="s">
        <v>530</v>
      </c>
      <c r="T45" s="58">
        <f t="shared" si="19"/>
        <v>0</v>
      </c>
      <c r="U45" s="58"/>
      <c r="V45" s="73">
        <v>0</v>
      </c>
      <c r="W45" s="74">
        <v>0.46463157236384001</v>
      </c>
      <c r="X45" s="75">
        <v>1</v>
      </c>
      <c r="Y45" s="76">
        <v>0</v>
      </c>
      <c r="Z45" s="74">
        <v>0.40427284503945399</v>
      </c>
      <c r="AA45" s="73">
        <v>539.03046005267902</v>
      </c>
      <c r="AB45" s="77">
        <v>3.7894065319950001E-3</v>
      </c>
      <c r="AC45" s="35">
        <f t="shared" si="20"/>
        <v>0.41421394545259171</v>
      </c>
      <c r="AD45" s="15">
        <f t="shared" ref="AD45:AD76" si="27" xml:space="preserve"> 0.76 * (E45 ) ^ 0.38</f>
        <v>0.24997479008968598</v>
      </c>
      <c r="AE45" s="15">
        <f t="shared" ref="AE45:AE136" si="28" xml:space="preserve"> 0.3 * ( Z45/ ( AB45^0.25 ) ) ^ 0.76</f>
        <v>0.43477583780858159</v>
      </c>
      <c r="AF45" s="15">
        <f t="shared" ref="AF45:AF136" si="29">0.00013*(((Z45*1000)/0.3048)^0.77)/(AB45^0.385)</f>
        <v>0.28225480167015388</v>
      </c>
      <c r="AG45" s="15">
        <f t="shared" ref="AG45:AG76" si="30" xml:space="preserve"> ( 4 * E45 ^ 0.5 + 1.5 * Z45 ) / ( 25.3 * ( AB45 *Z45 ) ^ 0.5)</f>
        <v>1.5475701267305471</v>
      </c>
      <c r="AH45" s="15">
        <f t="shared" ref="AH45:AH76" si="31" xml:space="preserve"> 1.7694 * E45 ^ 0.325 * Z45 ^ -0.096 *( AB45*100) ^ -0.29</f>
        <v>0.98804829475965217</v>
      </c>
      <c r="AI45" s="15" t="e">
        <f t="shared" ref="AI45:AI76" si="32" xml:space="preserve"> (0.007*(0.035^0.8) * ((Z45*1000)/0.3048)^0.8)/((AB45^0.4)*(N45/25.4)^0.5)</f>
        <v>#DIV/0!</v>
      </c>
      <c r="AJ45" s="16">
        <f t="shared" ref="AJ45:AJ76" si="33">0.335 * (E45 / AB45 ^ 0.5) ^ 0.593</f>
        <v>0.30859804234748495</v>
      </c>
      <c r="AK45" s="32">
        <f t="shared" ref="AK45:AK76" si="34" xml:space="preserve"> 0.28 * F45 /E45^0.5</f>
        <v>1.5582442425093386</v>
      </c>
      <c r="AL45" s="15">
        <f t="shared" ref="AL45:AL76" si="35" xml:space="preserve"> E45 / Z45 ^ 2</f>
        <v>0.32795605082069279</v>
      </c>
      <c r="AM45" s="15">
        <f t="shared" ref="AM45:AM76" si="36">W45/E45</f>
        <v>8.6684994843999998</v>
      </c>
      <c r="AN45" s="16">
        <f t="shared" ref="AN45:AN76" si="37">X45/E45</f>
        <v>18.656716417910449</v>
      </c>
    </row>
    <row r="46" spans="1:40" x14ac:dyDescent="0.45">
      <c r="A46" s="19">
        <v>34</v>
      </c>
      <c r="B46" s="57" t="s">
        <v>489</v>
      </c>
      <c r="C46" s="58" t="s">
        <v>523</v>
      </c>
      <c r="D46" s="59" t="s">
        <v>529</v>
      </c>
      <c r="E46" s="60">
        <v>8.6256000000000004</v>
      </c>
      <c r="F46" s="61">
        <v>20.001397770000001</v>
      </c>
      <c r="G46" s="61"/>
      <c r="H46" s="61"/>
      <c r="I46" s="61"/>
      <c r="J46" s="62">
        <v>18.569258599519102</v>
      </c>
      <c r="K46" s="28">
        <f t="shared" si="16"/>
        <v>33.589650904231455</v>
      </c>
      <c r="L46" s="69">
        <v>53.774660236738299</v>
      </c>
      <c r="M46" s="29">
        <f t="shared" si="17"/>
        <v>73.012252439297356</v>
      </c>
      <c r="N46" s="71">
        <v>0</v>
      </c>
      <c r="O46" s="35">
        <f t="shared" si="18"/>
        <v>2.0997619660437032</v>
      </c>
      <c r="P46" s="16">
        <f t="shared" si="26"/>
        <v>2.1010225795914583</v>
      </c>
      <c r="Q46" s="57" t="s">
        <v>489</v>
      </c>
      <c r="R46" s="58" t="s">
        <v>529</v>
      </c>
      <c r="S46" s="58" t="s">
        <v>530</v>
      </c>
      <c r="T46" s="58">
        <f t="shared" si="19"/>
        <v>0</v>
      </c>
      <c r="U46" s="58"/>
      <c r="V46" s="73">
        <v>0</v>
      </c>
      <c r="W46" s="74">
        <v>4.394351105065728</v>
      </c>
      <c r="X46" s="75">
        <v>1</v>
      </c>
      <c r="Y46" s="76">
        <v>0</v>
      </c>
      <c r="Z46" s="74">
        <v>6.2261494889857607</v>
      </c>
      <c r="AA46" s="73">
        <v>8301.5326519810296</v>
      </c>
      <c r="AB46" s="77">
        <v>1.8109209867969999E-2</v>
      </c>
      <c r="AC46" s="35">
        <f t="shared" si="20"/>
        <v>3.4996032767395056</v>
      </c>
      <c r="AD46" s="15">
        <f t="shared" si="27"/>
        <v>1.7235089055116852</v>
      </c>
      <c r="AE46" s="15">
        <f t="shared" si="28"/>
        <v>2.5806386815173279</v>
      </c>
      <c r="AF46" s="15">
        <f t="shared" si="29"/>
        <v>1.2691401152537203</v>
      </c>
      <c r="AG46" s="15">
        <f t="shared" si="30"/>
        <v>2.4821852869425993</v>
      </c>
      <c r="AH46" s="15">
        <f t="shared" si="31"/>
        <v>2.5172225777339268</v>
      </c>
      <c r="AI46" s="15" t="e">
        <f t="shared" si="32"/>
        <v>#DIV/0!</v>
      </c>
      <c r="AJ46" s="16">
        <f t="shared" si="33"/>
        <v>3.9491230699239654</v>
      </c>
      <c r="AK46" s="32">
        <f t="shared" si="34"/>
        <v>1.9068815681518361</v>
      </c>
      <c r="AL46" s="15">
        <f t="shared" si="35"/>
        <v>0.2225103551135339</v>
      </c>
      <c r="AM46" s="15">
        <f t="shared" si="36"/>
        <v>0.50945454288000003</v>
      </c>
      <c r="AN46" s="16">
        <f t="shared" si="37"/>
        <v>0.11593396401409757</v>
      </c>
    </row>
    <row r="47" spans="1:40" x14ac:dyDescent="0.45">
      <c r="A47" s="19">
        <v>35</v>
      </c>
      <c r="B47" s="57" t="s">
        <v>489</v>
      </c>
      <c r="C47" s="58" t="s">
        <v>524</v>
      </c>
      <c r="D47" s="59" t="s">
        <v>529</v>
      </c>
      <c r="E47" s="60">
        <v>15.766999999999999</v>
      </c>
      <c r="F47" s="61">
        <v>37.977963709999997</v>
      </c>
      <c r="G47" s="61"/>
      <c r="H47" s="61"/>
      <c r="I47" s="61"/>
      <c r="J47" s="62">
        <v>3.1127871817333999</v>
      </c>
      <c r="K47" s="28">
        <f t="shared" si="16"/>
        <v>39.960843020441935</v>
      </c>
      <c r="L47" s="69">
        <v>60.487322011727898</v>
      </c>
      <c r="M47" s="29">
        <f t="shared" si="17"/>
        <v>78.070547516805888</v>
      </c>
      <c r="N47" s="71">
        <v>0</v>
      </c>
      <c r="O47" s="35">
        <f t="shared" si="18"/>
        <v>6.0021459648759192</v>
      </c>
      <c r="P47" s="16">
        <f t="shared" si="26"/>
        <v>6.005749414524634</v>
      </c>
      <c r="Q47" s="57" t="s">
        <v>489</v>
      </c>
      <c r="R47" s="58" t="s">
        <v>529</v>
      </c>
      <c r="S47" s="58" t="s">
        <v>530</v>
      </c>
      <c r="T47" s="58">
        <f t="shared" si="19"/>
        <v>0</v>
      </c>
      <c r="U47" s="58"/>
      <c r="V47" s="73">
        <v>0</v>
      </c>
      <c r="W47" s="74">
        <v>8.0507492960344997</v>
      </c>
      <c r="X47" s="75">
        <v>1</v>
      </c>
      <c r="Y47" s="76">
        <v>0</v>
      </c>
      <c r="Z47" s="74">
        <v>9.3676235504052094</v>
      </c>
      <c r="AA47" s="73">
        <v>12490.1647338732</v>
      </c>
      <c r="AB47" s="77">
        <v>3.3611117165360002E-3</v>
      </c>
      <c r="AC47" s="35">
        <f t="shared" si="20"/>
        <v>10.003576608126533</v>
      </c>
      <c r="AD47" s="15">
        <f t="shared" si="27"/>
        <v>2.1674956670910066</v>
      </c>
      <c r="AE47" s="15">
        <f t="shared" si="28"/>
        <v>4.8476121046728062</v>
      </c>
      <c r="AF47" s="15">
        <f t="shared" si="29"/>
        <v>3.3243792054908621</v>
      </c>
      <c r="AG47" s="15">
        <f t="shared" si="30"/>
        <v>6.6679973060098607</v>
      </c>
      <c r="AH47" s="15">
        <f t="shared" si="31"/>
        <v>4.7988590012716994</v>
      </c>
      <c r="AI47" s="15" t="e">
        <f t="shared" si="32"/>
        <v>#DIV/0!</v>
      </c>
      <c r="AJ47" s="16">
        <f t="shared" si="33"/>
        <v>9.3048164416816004</v>
      </c>
      <c r="AK47" s="32">
        <f t="shared" si="34"/>
        <v>2.6780283653655768</v>
      </c>
      <c r="AL47" s="15">
        <f t="shared" si="35"/>
        <v>0.17967605688073168</v>
      </c>
      <c r="AM47" s="15">
        <f t="shared" si="36"/>
        <v>0.51060755349999998</v>
      </c>
      <c r="AN47" s="16">
        <f t="shared" si="37"/>
        <v>6.3423606266252305E-2</v>
      </c>
    </row>
    <row r="48" spans="1:40" x14ac:dyDescent="0.45">
      <c r="A48" s="19">
        <v>36</v>
      </c>
      <c r="B48" s="57" t="s">
        <v>489</v>
      </c>
      <c r="C48" s="58" t="s">
        <v>525</v>
      </c>
      <c r="D48" s="59" t="s">
        <v>529</v>
      </c>
      <c r="E48" s="60">
        <v>6.9222999999999999</v>
      </c>
      <c r="F48" s="61">
        <v>29.081712880000001</v>
      </c>
      <c r="G48" s="61"/>
      <c r="H48" s="61"/>
      <c r="I48" s="61"/>
      <c r="J48" s="62">
        <v>3.1750171132859002</v>
      </c>
      <c r="K48" s="28">
        <f t="shared" si="16"/>
        <v>46.741650917931061</v>
      </c>
      <c r="L48" s="69">
        <v>66.871749489448604</v>
      </c>
      <c r="M48" s="29">
        <f t="shared" si="17"/>
        <v>82.438741853208981</v>
      </c>
      <c r="N48" s="71">
        <v>0</v>
      </c>
      <c r="O48" s="35">
        <f t="shared" si="18"/>
        <v>4.0254419068466749</v>
      </c>
      <c r="P48" s="16">
        <f t="shared" si="26"/>
        <v>4.0278586220198864</v>
      </c>
      <c r="Q48" s="57" t="s">
        <v>489</v>
      </c>
      <c r="R48" s="58" t="s">
        <v>529</v>
      </c>
      <c r="S48" s="58" t="s">
        <v>530</v>
      </c>
      <c r="T48" s="58">
        <f t="shared" si="19"/>
        <v>0</v>
      </c>
      <c r="U48" s="58"/>
      <c r="V48" s="73">
        <v>0</v>
      </c>
      <c r="W48" s="74">
        <v>8.4834974906507661</v>
      </c>
      <c r="X48" s="75">
        <v>1</v>
      </c>
      <c r="Y48" s="76">
        <v>0</v>
      </c>
      <c r="Z48" s="74">
        <v>7.0712257627895996</v>
      </c>
      <c r="AA48" s="73">
        <v>9428.3010170527396</v>
      </c>
      <c r="AB48" s="77">
        <v>2.207020930602E-3</v>
      </c>
      <c r="AC48" s="35">
        <f t="shared" si="20"/>
        <v>6.7090698447444579</v>
      </c>
      <c r="AD48" s="15">
        <f t="shared" si="27"/>
        <v>1.5852901116965039</v>
      </c>
      <c r="AE48" s="15">
        <f t="shared" si="28"/>
        <v>4.2404700802092616</v>
      </c>
      <c r="AF48" s="15">
        <f t="shared" si="29"/>
        <v>3.1477285165262461</v>
      </c>
      <c r="AG48" s="15">
        <f t="shared" si="30"/>
        <v>6.6857141876223203</v>
      </c>
      <c r="AH48" s="15">
        <f t="shared" si="31"/>
        <v>4.2623788274158461</v>
      </c>
      <c r="AI48" s="15" t="e">
        <f t="shared" si="32"/>
        <v>#DIV/0!</v>
      </c>
      <c r="AJ48" s="16">
        <f t="shared" si="33"/>
        <v>6.4695592004361817</v>
      </c>
      <c r="AK48" s="32">
        <f t="shared" si="34"/>
        <v>3.0949440712091589</v>
      </c>
      <c r="AL48" s="15">
        <f t="shared" si="35"/>
        <v>0.13843981509510678</v>
      </c>
      <c r="AM48" s="15">
        <f t="shared" si="36"/>
        <v>1.2255316138639998</v>
      </c>
      <c r="AN48" s="16">
        <f t="shared" si="37"/>
        <v>0.14446065614030018</v>
      </c>
    </row>
    <row r="49" spans="1:40" x14ac:dyDescent="0.45">
      <c r="A49" s="19">
        <v>37</v>
      </c>
      <c r="B49" s="57" t="s">
        <v>489</v>
      </c>
      <c r="C49" s="58" t="s">
        <v>526</v>
      </c>
      <c r="D49" s="59" t="s">
        <v>529</v>
      </c>
      <c r="E49" s="60">
        <v>7.2008999999999999</v>
      </c>
      <c r="F49" s="61">
        <v>22.455342259999998</v>
      </c>
      <c r="G49" s="61"/>
      <c r="H49" s="61"/>
      <c r="I49" s="61"/>
      <c r="J49" s="62">
        <v>26.945810391650799</v>
      </c>
      <c r="K49" s="28">
        <f t="shared" si="16"/>
        <v>45.591991267656034</v>
      </c>
      <c r="L49" s="69">
        <v>65.839047369798493</v>
      </c>
      <c r="M49" s="29">
        <f t="shared" si="17"/>
        <v>81.75893757287777</v>
      </c>
      <c r="N49" s="71">
        <v>0</v>
      </c>
      <c r="O49" s="35">
        <f t="shared" si="18"/>
        <v>1.2216138061630368</v>
      </c>
      <c r="P49" s="16">
        <f t="shared" si="26"/>
        <v>1.222347214491732</v>
      </c>
      <c r="Q49" s="57" t="s">
        <v>489</v>
      </c>
      <c r="R49" s="58" t="s">
        <v>529</v>
      </c>
      <c r="S49" s="58" t="s">
        <v>530</v>
      </c>
      <c r="T49" s="58">
        <f t="shared" si="19"/>
        <v>0</v>
      </c>
      <c r="U49" s="58"/>
      <c r="V49" s="73">
        <v>0</v>
      </c>
      <c r="W49" s="74">
        <v>4.0179294178033249</v>
      </c>
      <c r="X49" s="75">
        <v>1</v>
      </c>
      <c r="Y49" s="76">
        <v>0</v>
      </c>
      <c r="Z49" s="74">
        <v>5.8604084604046003</v>
      </c>
      <c r="AA49" s="73">
        <v>7813.8779472057104</v>
      </c>
      <c r="AB49" s="77">
        <v>7.0691908980727997E-2</v>
      </c>
      <c r="AC49" s="35">
        <f t="shared" si="20"/>
        <v>2.0360230102717281</v>
      </c>
      <c r="AD49" s="15">
        <f t="shared" si="27"/>
        <v>1.6092390720508489</v>
      </c>
      <c r="AE49" s="15">
        <f t="shared" si="28"/>
        <v>1.9026819742417436</v>
      </c>
      <c r="AF49" s="15">
        <f t="shared" si="29"/>
        <v>0.71704921646153541</v>
      </c>
      <c r="AG49" s="15">
        <f t="shared" si="30"/>
        <v>1.1989707682663844</v>
      </c>
      <c r="AH49" s="15">
        <f t="shared" si="31"/>
        <v>1.6085643281895838</v>
      </c>
      <c r="AI49" s="15" t="e">
        <f t="shared" si="32"/>
        <v>#DIV/0!</v>
      </c>
      <c r="AJ49" s="16">
        <f t="shared" si="33"/>
        <v>2.3693927136893</v>
      </c>
      <c r="AK49" s="32">
        <f t="shared" si="34"/>
        <v>2.3430649114169579</v>
      </c>
      <c r="AL49" s="15">
        <f t="shared" si="35"/>
        <v>0.20966744674531998</v>
      </c>
      <c r="AM49" s="15">
        <f t="shared" si="36"/>
        <v>0.55797600547199999</v>
      </c>
      <c r="AN49" s="16">
        <f t="shared" si="37"/>
        <v>0.13887152994764543</v>
      </c>
    </row>
    <row r="50" spans="1:40" x14ac:dyDescent="0.45">
      <c r="A50" s="19">
        <v>38</v>
      </c>
      <c r="B50" s="57" t="s">
        <v>489</v>
      </c>
      <c r="C50" s="58" t="s">
        <v>527</v>
      </c>
      <c r="D50" s="59" t="s">
        <v>529</v>
      </c>
      <c r="E50" s="60">
        <v>16.713999999999999</v>
      </c>
      <c r="F50" s="61">
        <v>44.726234480000002</v>
      </c>
      <c r="G50" s="61"/>
      <c r="H50" s="61"/>
      <c r="I50" s="61"/>
      <c r="J50" s="62">
        <v>3.0927760468967</v>
      </c>
      <c r="K50" s="28">
        <f t="shared" si="16"/>
        <v>65.560480245354043</v>
      </c>
      <c r="L50" s="69">
        <v>81.407020712229794</v>
      </c>
      <c r="M50" s="29">
        <f t="shared" si="17"/>
        <v>91.05726836956886</v>
      </c>
      <c r="N50" s="71">
        <v>0</v>
      </c>
      <c r="O50" s="35">
        <f t="shared" si="18"/>
        <v>4.4101312715929888</v>
      </c>
      <c r="P50" s="16">
        <f t="shared" si="26"/>
        <v>4.4127789389563628</v>
      </c>
      <c r="Q50" s="57" t="s">
        <v>489</v>
      </c>
      <c r="R50" s="58" t="s">
        <v>529</v>
      </c>
      <c r="S50" s="58" t="s">
        <v>530</v>
      </c>
      <c r="T50" s="58">
        <f t="shared" si="19"/>
        <v>0</v>
      </c>
      <c r="U50" s="58"/>
      <c r="V50" s="73">
        <v>0</v>
      </c>
      <c r="W50" s="74">
        <v>11.150396489433113</v>
      </c>
      <c r="X50" s="75">
        <v>1</v>
      </c>
      <c r="Y50" s="76">
        <v>0</v>
      </c>
      <c r="Z50" s="74">
        <v>13.122873564756601</v>
      </c>
      <c r="AA50" s="73">
        <v>17497.164753009001</v>
      </c>
      <c r="AB50" s="77">
        <v>1.121182927018E-3</v>
      </c>
      <c r="AC50" s="35">
        <f t="shared" si="20"/>
        <v>7.3502187859883144</v>
      </c>
      <c r="AD50" s="15">
        <f t="shared" si="27"/>
        <v>2.2160734133367259</v>
      </c>
      <c r="AE50" s="15">
        <f t="shared" si="28"/>
        <v>7.715866807181154</v>
      </c>
      <c r="AF50" s="15">
        <f t="shared" si="29"/>
        <v>6.5767097437469921</v>
      </c>
      <c r="AG50" s="15">
        <f t="shared" si="30"/>
        <v>11.743035883218845</v>
      </c>
      <c r="AH50" s="15">
        <f t="shared" si="31"/>
        <v>6.5101380126488566</v>
      </c>
      <c r="AI50" s="15" t="e">
        <f t="shared" si="32"/>
        <v>#DIV/0!</v>
      </c>
      <c r="AJ50" s="16">
        <f t="shared" si="33"/>
        <v>13.33835917343565</v>
      </c>
      <c r="AK50" s="32">
        <f t="shared" si="34"/>
        <v>3.0632339643235609</v>
      </c>
      <c r="AL50" s="15">
        <f t="shared" si="35"/>
        <v>9.7056026843636692E-2</v>
      </c>
      <c r="AM50" s="15">
        <f t="shared" si="36"/>
        <v>0.66712914260099998</v>
      </c>
      <c r="AN50" s="16">
        <f t="shared" si="37"/>
        <v>5.9830082565513948E-2</v>
      </c>
    </row>
    <row r="51" spans="1:40" x14ac:dyDescent="0.45">
      <c r="A51" s="19">
        <v>39</v>
      </c>
      <c r="B51" s="57" t="s">
        <v>489</v>
      </c>
      <c r="C51" s="58" t="s">
        <v>528</v>
      </c>
      <c r="D51" s="59" t="s">
        <v>529</v>
      </c>
      <c r="E51" s="60">
        <v>5.6471999999999998</v>
      </c>
      <c r="F51" s="61">
        <v>22.823323309999999</v>
      </c>
      <c r="G51" s="61"/>
      <c r="H51" s="61"/>
      <c r="I51" s="61"/>
      <c r="J51" s="62">
        <v>3.1656471658476999</v>
      </c>
      <c r="K51" s="28">
        <f t="shared" si="16"/>
        <v>54.574340830516476</v>
      </c>
      <c r="L51" s="69">
        <v>73.426995493375998</v>
      </c>
      <c r="M51" s="29">
        <f t="shared" si="17"/>
        <v>86.533959004159158</v>
      </c>
      <c r="N51" s="71">
        <v>0</v>
      </c>
      <c r="O51" s="35">
        <f t="shared" si="18"/>
        <v>2.8542965248404308</v>
      </c>
      <c r="P51" s="16">
        <f t="shared" si="26"/>
        <v>2.8560101309189818</v>
      </c>
      <c r="Q51" s="57" t="s">
        <v>489</v>
      </c>
      <c r="R51" s="58" t="s">
        <v>529</v>
      </c>
      <c r="S51" s="58" t="s">
        <v>530</v>
      </c>
      <c r="T51" s="58">
        <f t="shared" si="19"/>
        <v>0</v>
      </c>
      <c r="U51" s="58"/>
      <c r="V51" s="73">
        <v>0</v>
      </c>
      <c r="W51" s="74">
        <v>6.7759340369941894</v>
      </c>
      <c r="X51" s="75">
        <v>1</v>
      </c>
      <c r="Y51" s="76">
        <v>0</v>
      </c>
      <c r="Z51" s="74">
        <v>5.7349552065653393</v>
      </c>
      <c r="AA51" s="73">
        <v>7646.6069420867098</v>
      </c>
      <c r="AB51" s="77">
        <v>2.5261761147000002E-4</v>
      </c>
      <c r="AC51" s="35">
        <f t="shared" si="20"/>
        <v>4.7571608747340512</v>
      </c>
      <c r="AD51" s="15">
        <f t="shared" si="27"/>
        <v>1.4672705353926325</v>
      </c>
      <c r="AE51" s="15">
        <f t="shared" si="28"/>
        <v>5.459287789285943</v>
      </c>
      <c r="AF51" s="15">
        <f t="shared" si="29"/>
        <v>6.1712261076790025</v>
      </c>
      <c r="AG51" s="15">
        <f t="shared" si="30"/>
        <v>18.804092149564148</v>
      </c>
      <c r="AH51" s="15">
        <f t="shared" si="31"/>
        <v>7.6320018825243761</v>
      </c>
      <c r="AI51" s="15" t="e">
        <f t="shared" si="32"/>
        <v>#DIV/0!</v>
      </c>
      <c r="AJ51" s="16">
        <f t="shared" si="33"/>
        <v>10.903135554056783</v>
      </c>
      <c r="AK51" s="32">
        <f t="shared" si="34"/>
        <v>2.6891828276818361</v>
      </c>
      <c r="AL51" s="15">
        <f t="shared" si="35"/>
        <v>0.17170111230228421</v>
      </c>
      <c r="AM51" s="15">
        <f t="shared" si="36"/>
        <v>1.199874988843</v>
      </c>
      <c r="AN51" s="16">
        <f t="shared" si="37"/>
        <v>0.17707890636067433</v>
      </c>
    </row>
    <row r="52" spans="1:40" x14ac:dyDescent="0.45">
      <c r="A52" s="19">
        <v>40</v>
      </c>
      <c r="B52" s="57"/>
      <c r="C52" s="58"/>
      <c r="D52" s="59"/>
      <c r="E52" s="60"/>
      <c r="F52" s="61"/>
      <c r="G52" s="61"/>
      <c r="H52" s="61"/>
      <c r="I52" s="61"/>
      <c r="J52" s="62"/>
      <c r="K52" s="28"/>
      <c r="L52" s="69"/>
      <c r="M52" s="29"/>
      <c r="N52" s="71"/>
      <c r="O52" s="35"/>
      <c r="P52" s="16"/>
      <c r="Q52" s="57"/>
      <c r="R52" s="58"/>
      <c r="S52" s="58"/>
      <c r="T52" s="58"/>
      <c r="U52" s="58"/>
      <c r="V52" s="73"/>
      <c r="W52" s="74"/>
      <c r="X52" s="75"/>
      <c r="Y52" s="76"/>
      <c r="Z52" s="74"/>
      <c r="AA52" s="73"/>
      <c r="AB52" s="77"/>
      <c r="AC52" s="35"/>
      <c r="AD52" s="15"/>
      <c r="AE52" s="15"/>
      <c r="AF52" s="15"/>
      <c r="AG52" s="15"/>
      <c r="AH52" s="15"/>
      <c r="AI52" s="15"/>
      <c r="AJ52" s="16"/>
      <c r="AK52" s="32"/>
      <c r="AL52" s="15"/>
      <c r="AM52" s="15"/>
      <c r="AN52" s="16"/>
    </row>
    <row r="53" spans="1:40" x14ac:dyDescent="0.45">
      <c r="A53" s="19">
        <v>41</v>
      </c>
      <c r="B53" s="57"/>
      <c r="C53" s="58"/>
      <c r="D53" s="59"/>
      <c r="E53" s="60"/>
      <c r="F53" s="61"/>
      <c r="G53" s="61"/>
      <c r="H53" s="61"/>
      <c r="I53" s="61"/>
      <c r="J53" s="62"/>
      <c r="K53" s="28"/>
      <c r="L53" s="69"/>
      <c r="M53" s="29"/>
      <c r="N53" s="71"/>
      <c r="O53" s="35"/>
      <c r="P53" s="16"/>
      <c r="Q53" s="57"/>
      <c r="R53" s="58"/>
      <c r="S53" s="58"/>
      <c r="T53" s="58"/>
      <c r="U53" s="58"/>
      <c r="V53" s="73"/>
      <c r="W53" s="74"/>
      <c r="X53" s="75"/>
      <c r="Y53" s="76"/>
      <c r="Z53" s="74"/>
      <c r="AA53" s="73"/>
      <c r="AB53" s="77"/>
      <c r="AC53" s="35"/>
      <c r="AD53" s="15"/>
      <c r="AE53" s="15"/>
      <c r="AF53" s="15"/>
      <c r="AG53" s="15"/>
      <c r="AH53" s="15"/>
      <c r="AI53" s="15"/>
      <c r="AJ53" s="16"/>
      <c r="AK53" s="32"/>
      <c r="AL53" s="15"/>
      <c r="AM53" s="15"/>
      <c r="AN53" s="16"/>
    </row>
    <row r="54" spans="1:40" x14ac:dyDescent="0.45">
      <c r="A54" s="19">
        <v>42</v>
      </c>
      <c r="B54" s="57"/>
      <c r="C54" s="58"/>
      <c r="D54" s="59"/>
      <c r="E54" s="60"/>
      <c r="F54" s="61"/>
      <c r="G54" s="61"/>
      <c r="H54" s="61"/>
      <c r="I54" s="61"/>
      <c r="J54" s="62"/>
      <c r="K54" s="28"/>
      <c r="L54" s="69"/>
      <c r="M54" s="29"/>
      <c r="N54" s="71"/>
      <c r="O54" s="35"/>
      <c r="P54" s="16"/>
      <c r="Q54" s="57"/>
      <c r="R54" s="58"/>
      <c r="S54" s="58"/>
      <c r="T54" s="58"/>
      <c r="U54" s="58"/>
      <c r="V54" s="73"/>
      <c r="W54" s="74"/>
      <c r="X54" s="75"/>
      <c r="Y54" s="76"/>
      <c r="Z54" s="74"/>
      <c r="AA54" s="73"/>
      <c r="AB54" s="77"/>
      <c r="AC54" s="35"/>
      <c r="AD54" s="15"/>
      <c r="AE54" s="15"/>
      <c r="AF54" s="15"/>
      <c r="AG54" s="15"/>
      <c r="AH54" s="15"/>
      <c r="AI54" s="15"/>
      <c r="AJ54" s="16"/>
      <c r="AK54" s="32"/>
      <c r="AL54" s="15"/>
      <c r="AM54" s="15"/>
      <c r="AN54" s="16"/>
    </row>
    <row r="55" spans="1:40" x14ac:dyDescent="0.45">
      <c r="A55" s="19">
        <v>43</v>
      </c>
      <c r="B55" s="57"/>
      <c r="C55" s="58"/>
      <c r="D55" s="59"/>
      <c r="E55" s="60"/>
      <c r="F55" s="61"/>
      <c r="G55" s="61"/>
      <c r="H55" s="61"/>
      <c r="I55" s="61"/>
      <c r="J55" s="62"/>
      <c r="K55" s="28"/>
      <c r="L55" s="69"/>
      <c r="M55" s="29"/>
      <c r="N55" s="71"/>
      <c r="O55" s="35"/>
      <c r="P55" s="16"/>
      <c r="Q55" s="57"/>
      <c r="R55" s="58"/>
      <c r="S55" s="58"/>
      <c r="T55" s="58"/>
      <c r="U55" s="58"/>
      <c r="V55" s="73"/>
      <c r="W55" s="74"/>
      <c r="X55" s="75"/>
      <c r="Y55" s="76"/>
      <c r="Z55" s="74"/>
      <c r="AA55" s="73"/>
      <c r="AB55" s="77"/>
      <c r="AC55" s="35"/>
      <c r="AD55" s="15"/>
      <c r="AE55" s="15"/>
      <c r="AF55" s="15"/>
      <c r="AG55" s="15"/>
      <c r="AH55" s="15"/>
      <c r="AI55" s="15"/>
      <c r="AJ55" s="16"/>
      <c r="AK55" s="32"/>
      <c r="AL55" s="15"/>
      <c r="AM55" s="15"/>
      <c r="AN55" s="16"/>
    </row>
    <row r="56" spans="1:40" x14ac:dyDescent="0.45">
      <c r="A56" s="19">
        <v>44</v>
      </c>
      <c r="B56" s="57"/>
      <c r="C56" s="58"/>
      <c r="D56" s="59"/>
      <c r="E56" s="60"/>
      <c r="F56" s="61"/>
      <c r="G56" s="61"/>
      <c r="H56" s="61"/>
      <c r="I56" s="61"/>
      <c r="J56" s="62"/>
      <c r="K56" s="28"/>
      <c r="L56" s="69"/>
      <c r="M56" s="29"/>
      <c r="N56" s="71"/>
      <c r="O56" s="35"/>
      <c r="P56" s="16"/>
      <c r="Q56" s="57"/>
      <c r="R56" s="58"/>
      <c r="S56" s="58"/>
      <c r="T56" s="58"/>
      <c r="U56" s="58"/>
      <c r="V56" s="73"/>
      <c r="W56" s="74"/>
      <c r="X56" s="75"/>
      <c r="Y56" s="76"/>
      <c r="Z56" s="74"/>
      <c r="AA56" s="73"/>
      <c r="AB56" s="77"/>
      <c r="AC56" s="35"/>
      <c r="AD56" s="15"/>
      <c r="AE56" s="15"/>
      <c r="AF56" s="15"/>
      <c r="AG56" s="15"/>
      <c r="AH56" s="15"/>
      <c r="AI56" s="15"/>
      <c r="AJ56" s="16"/>
      <c r="AK56" s="32"/>
      <c r="AL56" s="15"/>
      <c r="AM56" s="15"/>
      <c r="AN56" s="16"/>
    </row>
    <row r="57" spans="1:40" x14ac:dyDescent="0.45">
      <c r="A57" s="19">
        <v>45</v>
      </c>
      <c r="B57" s="57"/>
      <c r="C57" s="58"/>
      <c r="D57" s="59"/>
      <c r="E57" s="60"/>
      <c r="F57" s="61"/>
      <c r="G57" s="61"/>
      <c r="H57" s="61"/>
      <c r="I57" s="61"/>
      <c r="J57" s="62"/>
      <c r="K57" s="28"/>
      <c r="L57" s="69"/>
      <c r="M57" s="29"/>
      <c r="N57" s="71"/>
      <c r="O57" s="35"/>
      <c r="P57" s="16"/>
      <c r="Q57" s="57"/>
      <c r="R57" s="58"/>
      <c r="S57" s="58"/>
      <c r="T57" s="58"/>
      <c r="U57" s="58"/>
      <c r="V57" s="73"/>
      <c r="W57" s="74"/>
      <c r="X57" s="75"/>
      <c r="Y57" s="76"/>
      <c r="Z57" s="74"/>
      <c r="AA57" s="73"/>
      <c r="AB57" s="77"/>
      <c r="AC57" s="35"/>
      <c r="AD57" s="15"/>
      <c r="AE57" s="15"/>
      <c r="AF57" s="15"/>
      <c r="AG57" s="15"/>
      <c r="AH57" s="15"/>
      <c r="AI57" s="15"/>
      <c r="AJ57" s="16"/>
      <c r="AK57" s="32"/>
      <c r="AL57" s="15"/>
      <c r="AM57" s="15"/>
      <c r="AN57" s="16"/>
    </row>
    <row r="58" spans="1:40" x14ac:dyDescent="0.45">
      <c r="A58" s="19">
        <v>46</v>
      </c>
      <c r="B58" s="57"/>
      <c r="C58" s="58"/>
      <c r="D58" s="59"/>
      <c r="E58" s="60"/>
      <c r="F58" s="61"/>
      <c r="G58" s="61"/>
      <c r="H58" s="61"/>
      <c r="I58" s="61"/>
      <c r="J58" s="62"/>
      <c r="K58" s="28"/>
      <c r="L58" s="69"/>
      <c r="M58" s="29"/>
      <c r="N58" s="71"/>
      <c r="O58" s="35"/>
      <c r="P58" s="16"/>
      <c r="Q58" s="57"/>
      <c r="R58" s="58"/>
      <c r="S58" s="58"/>
      <c r="T58" s="58"/>
      <c r="U58" s="58"/>
      <c r="V58" s="73"/>
      <c r="W58" s="74"/>
      <c r="X58" s="75"/>
      <c r="Y58" s="76"/>
      <c r="Z58" s="74"/>
      <c r="AA58" s="73"/>
      <c r="AB58" s="77"/>
      <c r="AC58" s="35"/>
      <c r="AD58" s="15"/>
      <c r="AE58" s="15"/>
      <c r="AF58" s="15"/>
      <c r="AG58" s="15"/>
      <c r="AH58" s="15"/>
      <c r="AI58" s="15"/>
      <c r="AJ58" s="16"/>
      <c r="AK58" s="32"/>
      <c r="AL58" s="15"/>
      <c r="AM58" s="15"/>
      <c r="AN58" s="16"/>
    </row>
    <row r="59" spans="1:40" x14ac:dyDescent="0.45">
      <c r="A59" s="19">
        <v>47</v>
      </c>
      <c r="B59" s="57"/>
      <c r="C59" s="58"/>
      <c r="D59" s="59"/>
      <c r="E59" s="60"/>
      <c r="F59" s="61"/>
      <c r="G59" s="61"/>
      <c r="H59" s="61"/>
      <c r="I59" s="61"/>
      <c r="J59" s="62"/>
      <c r="K59" s="28"/>
      <c r="L59" s="69"/>
      <c r="M59" s="29"/>
      <c r="N59" s="71"/>
      <c r="O59" s="35"/>
      <c r="P59" s="16"/>
      <c r="Q59" s="57"/>
      <c r="R59" s="58"/>
      <c r="S59" s="58"/>
      <c r="T59" s="58"/>
      <c r="U59" s="58"/>
      <c r="V59" s="73"/>
      <c r="W59" s="74"/>
      <c r="X59" s="75"/>
      <c r="Y59" s="76"/>
      <c r="Z59" s="74"/>
      <c r="AA59" s="73"/>
      <c r="AB59" s="77"/>
      <c r="AC59" s="35"/>
      <c r="AD59" s="15"/>
      <c r="AE59" s="15"/>
      <c r="AF59" s="15"/>
      <c r="AG59" s="15"/>
      <c r="AH59" s="15"/>
      <c r="AI59" s="15"/>
      <c r="AJ59" s="16"/>
      <c r="AK59" s="32"/>
      <c r="AL59" s="15"/>
      <c r="AM59" s="15"/>
      <c r="AN59" s="16"/>
    </row>
    <row r="60" spans="1:40" x14ac:dyDescent="0.45">
      <c r="A60" s="19">
        <v>48</v>
      </c>
      <c r="B60" s="57"/>
      <c r="C60" s="58"/>
      <c r="D60" s="59"/>
      <c r="E60" s="60"/>
      <c r="F60" s="61"/>
      <c r="G60" s="61"/>
      <c r="H60" s="61"/>
      <c r="I60" s="61"/>
      <c r="J60" s="62"/>
      <c r="K60" s="28"/>
      <c r="L60" s="69"/>
      <c r="M60" s="29"/>
      <c r="N60" s="71"/>
      <c r="O60" s="35"/>
      <c r="P60" s="16"/>
      <c r="Q60" s="57"/>
      <c r="R60" s="58"/>
      <c r="S60" s="58"/>
      <c r="T60" s="58"/>
      <c r="U60" s="58"/>
      <c r="V60" s="73"/>
      <c r="W60" s="74"/>
      <c r="X60" s="75"/>
      <c r="Y60" s="76"/>
      <c r="Z60" s="74"/>
      <c r="AA60" s="73"/>
      <c r="AB60" s="77"/>
      <c r="AC60" s="35"/>
      <c r="AD60" s="15"/>
      <c r="AE60" s="15"/>
      <c r="AF60" s="15"/>
      <c r="AG60" s="15"/>
      <c r="AH60" s="15"/>
      <c r="AI60" s="15"/>
      <c r="AJ60" s="16"/>
      <c r="AK60" s="32"/>
      <c r="AL60" s="15"/>
      <c r="AM60" s="15"/>
      <c r="AN60" s="16"/>
    </row>
    <row r="61" spans="1:40" x14ac:dyDescent="0.45">
      <c r="A61" s="19">
        <v>49</v>
      </c>
      <c r="B61" s="57"/>
      <c r="C61" s="58"/>
      <c r="D61" s="59"/>
      <c r="E61" s="60"/>
      <c r="F61" s="61"/>
      <c r="G61" s="61"/>
      <c r="H61" s="61"/>
      <c r="I61" s="61"/>
      <c r="J61" s="62"/>
      <c r="K61" s="28"/>
      <c r="L61" s="69"/>
      <c r="M61" s="29"/>
      <c r="N61" s="71"/>
      <c r="O61" s="35"/>
      <c r="P61" s="16"/>
      <c r="Q61" s="57"/>
      <c r="R61" s="58"/>
      <c r="S61" s="58"/>
      <c r="T61" s="58"/>
      <c r="U61" s="58"/>
      <c r="V61" s="73"/>
      <c r="W61" s="74"/>
      <c r="X61" s="75"/>
      <c r="Y61" s="76"/>
      <c r="Z61" s="74"/>
      <c r="AA61" s="73"/>
      <c r="AB61" s="77"/>
      <c r="AC61" s="35"/>
      <c r="AD61" s="15"/>
      <c r="AE61" s="15"/>
      <c r="AF61" s="15"/>
      <c r="AG61" s="15"/>
      <c r="AH61" s="15"/>
      <c r="AI61" s="15"/>
      <c r="AJ61" s="16"/>
      <c r="AK61" s="32"/>
      <c r="AL61" s="15"/>
      <c r="AM61" s="15"/>
      <c r="AN61" s="16"/>
    </row>
    <row r="62" spans="1:40" x14ac:dyDescent="0.45">
      <c r="A62" s="19">
        <v>50</v>
      </c>
      <c r="B62" s="57"/>
      <c r="C62" s="58"/>
      <c r="D62" s="59"/>
      <c r="E62" s="60"/>
      <c r="F62" s="61"/>
      <c r="G62" s="61"/>
      <c r="H62" s="61"/>
      <c r="I62" s="61"/>
      <c r="J62" s="62"/>
      <c r="K62" s="28"/>
      <c r="L62" s="69"/>
      <c r="M62" s="29"/>
      <c r="N62" s="71"/>
      <c r="O62" s="35"/>
      <c r="P62" s="16"/>
      <c r="Q62" s="57"/>
      <c r="R62" s="58"/>
      <c r="S62" s="58"/>
      <c r="T62" s="58"/>
      <c r="U62" s="58"/>
      <c r="V62" s="73"/>
      <c r="W62" s="74"/>
      <c r="X62" s="75"/>
      <c r="Y62" s="76"/>
      <c r="Z62" s="74"/>
      <c r="AA62" s="73"/>
      <c r="AB62" s="77"/>
      <c r="AC62" s="35"/>
      <c r="AD62" s="15"/>
      <c r="AE62" s="15"/>
      <c r="AF62" s="15"/>
      <c r="AG62" s="15"/>
      <c r="AH62" s="15"/>
      <c r="AI62" s="15"/>
      <c r="AJ62" s="16"/>
      <c r="AK62" s="32"/>
      <c r="AL62" s="15"/>
      <c r="AM62" s="15"/>
      <c r="AN62" s="16"/>
    </row>
    <row r="63" spans="1:40" x14ac:dyDescent="0.45">
      <c r="A63" s="19">
        <v>51</v>
      </c>
      <c r="B63" s="57"/>
      <c r="C63" s="58"/>
      <c r="D63" s="59"/>
      <c r="E63" s="60"/>
      <c r="F63" s="61"/>
      <c r="G63" s="61"/>
      <c r="H63" s="61"/>
      <c r="I63" s="61"/>
      <c r="J63" s="62"/>
      <c r="K63" s="28"/>
      <c r="L63" s="69"/>
      <c r="M63" s="29"/>
      <c r="N63" s="71"/>
      <c r="O63" s="35"/>
      <c r="P63" s="16"/>
      <c r="Q63" s="57"/>
      <c r="R63" s="58"/>
      <c r="S63" s="58"/>
      <c r="T63" s="58"/>
      <c r="U63" s="58"/>
      <c r="V63" s="73"/>
      <c r="W63" s="74"/>
      <c r="X63" s="75"/>
      <c r="Y63" s="76"/>
      <c r="Z63" s="74"/>
      <c r="AA63" s="73"/>
      <c r="AB63" s="77"/>
      <c r="AC63" s="35"/>
      <c r="AD63" s="15"/>
      <c r="AE63" s="15"/>
      <c r="AF63" s="15"/>
      <c r="AG63" s="15"/>
      <c r="AH63" s="15"/>
      <c r="AI63" s="15"/>
      <c r="AJ63" s="16"/>
      <c r="AK63" s="32"/>
      <c r="AL63" s="15"/>
      <c r="AM63" s="15"/>
      <c r="AN63" s="16"/>
    </row>
    <row r="64" spans="1:40" x14ac:dyDescent="0.45">
      <c r="A64" s="19">
        <v>52</v>
      </c>
      <c r="B64" s="57"/>
      <c r="C64" s="58"/>
      <c r="D64" s="59"/>
      <c r="E64" s="60"/>
      <c r="F64" s="61"/>
      <c r="G64" s="61"/>
      <c r="H64" s="61"/>
      <c r="I64" s="61"/>
      <c r="J64" s="62"/>
      <c r="K64" s="28"/>
      <c r="L64" s="69"/>
      <c r="M64" s="29"/>
      <c r="N64" s="71"/>
      <c r="O64" s="35"/>
      <c r="P64" s="16"/>
      <c r="Q64" s="57"/>
      <c r="R64" s="58"/>
      <c r="S64" s="58"/>
      <c r="T64" s="58"/>
      <c r="U64" s="58"/>
      <c r="V64" s="73"/>
      <c r="W64" s="74"/>
      <c r="X64" s="75"/>
      <c r="Y64" s="76"/>
      <c r="Z64" s="74"/>
      <c r="AA64" s="73"/>
      <c r="AB64" s="77"/>
      <c r="AC64" s="35"/>
      <c r="AD64" s="15"/>
      <c r="AE64" s="15"/>
      <c r="AF64" s="15"/>
      <c r="AG64" s="15"/>
      <c r="AH64" s="15"/>
      <c r="AI64" s="15"/>
      <c r="AJ64" s="16"/>
      <c r="AK64" s="32"/>
      <c r="AL64" s="15"/>
      <c r="AM64" s="15"/>
      <c r="AN64" s="16"/>
    </row>
    <row r="65" spans="1:40" x14ac:dyDescent="0.45">
      <c r="A65" s="19">
        <v>53</v>
      </c>
      <c r="B65" s="57"/>
      <c r="C65" s="58"/>
      <c r="D65" s="59"/>
      <c r="E65" s="60"/>
      <c r="F65" s="61"/>
      <c r="G65" s="61"/>
      <c r="H65" s="61"/>
      <c r="I65" s="61"/>
      <c r="J65" s="62"/>
      <c r="K65" s="28"/>
      <c r="L65" s="69"/>
      <c r="M65" s="29"/>
      <c r="N65" s="71"/>
      <c r="O65" s="35"/>
      <c r="P65" s="16"/>
      <c r="Q65" s="57"/>
      <c r="R65" s="58"/>
      <c r="S65" s="58"/>
      <c r="T65" s="58"/>
      <c r="U65" s="58"/>
      <c r="V65" s="73"/>
      <c r="W65" s="74"/>
      <c r="X65" s="75"/>
      <c r="Y65" s="76"/>
      <c r="Z65" s="74"/>
      <c r="AA65" s="73"/>
      <c r="AB65" s="77"/>
      <c r="AC65" s="35"/>
      <c r="AD65" s="15"/>
      <c r="AE65" s="15"/>
      <c r="AF65" s="15"/>
      <c r="AG65" s="15"/>
      <c r="AH65" s="15"/>
      <c r="AI65" s="15"/>
      <c r="AJ65" s="16"/>
      <c r="AK65" s="32"/>
      <c r="AL65" s="15"/>
      <c r="AM65" s="15"/>
      <c r="AN65" s="16"/>
    </row>
    <row r="66" spans="1:40" x14ac:dyDescent="0.45">
      <c r="A66" s="19">
        <v>54</v>
      </c>
      <c r="B66" s="57"/>
      <c r="C66" s="58"/>
      <c r="D66" s="59"/>
      <c r="E66" s="60"/>
      <c r="F66" s="61"/>
      <c r="G66" s="61"/>
      <c r="H66" s="61"/>
      <c r="I66" s="61"/>
      <c r="J66" s="62"/>
      <c r="K66" s="28"/>
      <c r="L66" s="69"/>
      <c r="M66" s="29"/>
      <c r="N66" s="71"/>
      <c r="O66" s="35"/>
      <c r="P66" s="16"/>
      <c r="Q66" s="57"/>
      <c r="R66" s="58"/>
      <c r="S66" s="58"/>
      <c r="T66" s="58"/>
      <c r="U66" s="58"/>
      <c r="V66" s="73"/>
      <c r="W66" s="74"/>
      <c r="X66" s="75"/>
      <c r="Y66" s="76"/>
      <c r="Z66" s="74"/>
      <c r="AA66" s="73"/>
      <c r="AB66" s="77"/>
      <c r="AC66" s="35"/>
      <c r="AD66" s="15"/>
      <c r="AE66" s="15"/>
      <c r="AF66" s="15"/>
      <c r="AG66" s="15"/>
      <c r="AH66" s="15"/>
      <c r="AI66" s="15"/>
      <c r="AJ66" s="16"/>
      <c r="AK66" s="32"/>
      <c r="AL66" s="15"/>
      <c r="AM66" s="15"/>
      <c r="AN66" s="16"/>
    </row>
    <row r="67" spans="1:40" x14ac:dyDescent="0.45">
      <c r="A67" s="19">
        <v>55</v>
      </c>
      <c r="B67" s="57"/>
      <c r="C67" s="58"/>
      <c r="D67" s="59"/>
      <c r="E67" s="60"/>
      <c r="F67" s="61"/>
      <c r="G67" s="61"/>
      <c r="H67" s="61"/>
      <c r="I67" s="61"/>
      <c r="J67" s="62"/>
      <c r="K67" s="28"/>
      <c r="L67" s="69"/>
      <c r="M67" s="29"/>
      <c r="N67" s="71"/>
      <c r="O67" s="35"/>
      <c r="P67" s="16"/>
      <c r="Q67" s="57"/>
      <c r="R67" s="58"/>
      <c r="S67" s="58"/>
      <c r="T67" s="58"/>
      <c r="U67" s="58"/>
      <c r="V67" s="73"/>
      <c r="W67" s="74"/>
      <c r="X67" s="75"/>
      <c r="Y67" s="76"/>
      <c r="Z67" s="74"/>
      <c r="AA67" s="73"/>
      <c r="AB67" s="77"/>
      <c r="AC67" s="35"/>
      <c r="AD67" s="15"/>
      <c r="AE67" s="15"/>
      <c r="AF67" s="15"/>
      <c r="AG67" s="15"/>
      <c r="AH67" s="15"/>
      <c r="AI67" s="15"/>
      <c r="AJ67" s="16"/>
      <c r="AK67" s="32"/>
      <c r="AL67" s="15"/>
      <c r="AM67" s="15"/>
      <c r="AN67" s="16"/>
    </row>
    <row r="68" spans="1:40" x14ac:dyDescent="0.45">
      <c r="A68" s="19">
        <v>56</v>
      </c>
      <c r="B68" s="57"/>
      <c r="C68" s="58"/>
      <c r="D68" s="59"/>
      <c r="E68" s="60"/>
      <c r="F68" s="61"/>
      <c r="G68" s="61"/>
      <c r="H68" s="61"/>
      <c r="I68" s="61"/>
      <c r="J68" s="62"/>
      <c r="K68" s="28"/>
      <c r="L68" s="69"/>
      <c r="M68" s="29"/>
      <c r="N68" s="71"/>
      <c r="O68" s="35"/>
      <c r="P68" s="16"/>
      <c r="Q68" s="57"/>
      <c r="R68" s="58"/>
      <c r="S68" s="58"/>
      <c r="T68" s="58"/>
      <c r="U68" s="58"/>
      <c r="V68" s="73"/>
      <c r="W68" s="74"/>
      <c r="X68" s="75"/>
      <c r="Y68" s="76"/>
      <c r="Z68" s="74"/>
      <c r="AA68" s="73"/>
      <c r="AB68" s="77"/>
      <c r="AC68" s="35"/>
      <c r="AD68" s="15"/>
      <c r="AE68" s="15"/>
      <c r="AF68" s="15"/>
      <c r="AG68" s="15"/>
      <c r="AH68" s="15"/>
      <c r="AI68" s="15"/>
      <c r="AJ68" s="16"/>
      <c r="AK68" s="32"/>
      <c r="AL68" s="15"/>
      <c r="AM68" s="15"/>
      <c r="AN68" s="16"/>
    </row>
    <row r="69" spans="1:40" x14ac:dyDescent="0.45">
      <c r="A69" s="19">
        <v>57</v>
      </c>
      <c r="B69" s="57"/>
      <c r="C69" s="58"/>
      <c r="D69" s="59"/>
      <c r="E69" s="60"/>
      <c r="F69" s="61"/>
      <c r="G69" s="61"/>
      <c r="H69" s="61"/>
      <c r="I69" s="61"/>
      <c r="J69" s="62"/>
      <c r="K69" s="28"/>
      <c r="L69" s="69"/>
      <c r="M69" s="29"/>
      <c r="N69" s="71"/>
      <c r="O69" s="35"/>
      <c r="P69" s="16"/>
      <c r="Q69" s="57"/>
      <c r="R69" s="58"/>
      <c r="S69" s="58"/>
      <c r="T69" s="58"/>
      <c r="U69" s="58"/>
      <c r="V69" s="73"/>
      <c r="W69" s="74"/>
      <c r="X69" s="75"/>
      <c r="Y69" s="76"/>
      <c r="Z69" s="74"/>
      <c r="AA69" s="73"/>
      <c r="AB69" s="77"/>
      <c r="AC69" s="35"/>
      <c r="AD69" s="15"/>
      <c r="AE69" s="15"/>
      <c r="AF69" s="15"/>
      <c r="AG69" s="15"/>
      <c r="AH69" s="15"/>
      <c r="AI69" s="15"/>
      <c r="AJ69" s="16"/>
      <c r="AK69" s="32"/>
      <c r="AL69" s="15"/>
      <c r="AM69" s="15"/>
      <c r="AN69" s="16"/>
    </row>
    <row r="70" spans="1:40" x14ac:dyDescent="0.45">
      <c r="A70" s="19">
        <v>58</v>
      </c>
      <c r="B70" s="57"/>
      <c r="C70" s="58"/>
      <c r="D70" s="59"/>
      <c r="E70" s="60"/>
      <c r="F70" s="61"/>
      <c r="G70" s="61"/>
      <c r="H70" s="61"/>
      <c r="I70" s="61"/>
      <c r="J70" s="62"/>
      <c r="K70" s="28"/>
      <c r="L70" s="69"/>
      <c r="M70" s="29"/>
      <c r="N70" s="71"/>
      <c r="O70" s="35"/>
      <c r="P70" s="16"/>
      <c r="Q70" s="57"/>
      <c r="R70" s="58"/>
      <c r="S70" s="58"/>
      <c r="T70" s="58"/>
      <c r="U70" s="58"/>
      <c r="V70" s="73"/>
      <c r="W70" s="74"/>
      <c r="X70" s="75"/>
      <c r="Y70" s="76"/>
      <c r="Z70" s="74"/>
      <c r="AA70" s="73"/>
      <c r="AB70" s="77"/>
      <c r="AC70" s="35"/>
      <c r="AD70" s="15"/>
      <c r="AE70" s="15"/>
      <c r="AF70" s="15"/>
      <c r="AG70" s="15"/>
      <c r="AH70" s="15"/>
      <c r="AI70" s="15"/>
      <c r="AJ70" s="16"/>
      <c r="AK70" s="32"/>
      <c r="AL70" s="15"/>
      <c r="AM70" s="15"/>
      <c r="AN70" s="16"/>
    </row>
    <row r="71" spans="1:40" x14ac:dyDescent="0.45">
      <c r="A71" s="19">
        <v>59</v>
      </c>
      <c r="B71" s="57"/>
      <c r="C71" s="58"/>
      <c r="D71" s="59"/>
      <c r="E71" s="60"/>
      <c r="F71" s="61"/>
      <c r="G71" s="61"/>
      <c r="H71" s="61"/>
      <c r="I71" s="61"/>
      <c r="J71" s="62"/>
      <c r="K71" s="28"/>
      <c r="L71" s="69"/>
      <c r="M71" s="29"/>
      <c r="N71" s="71"/>
      <c r="O71" s="35"/>
      <c r="P71" s="16"/>
      <c r="Q71" s="57"/>
      <c r="R71" s="58"/>
      <c r="S71" s="58"/>
      <c r="T71" s="58"/>
      <c r="U71" s="58"/>
      <c r="V71" s="73"/>
      <c r="W71" s="74"/>
      <c r="X71" s="75"/>
      <c r="Y71" s="76"/>
      <c r="Z71" s="74"/>
      <c r="AA71" s="73"/>
      <c r="AB71" s="77"/>
      <c r="AC71" s="35"/>
      <c r="AD71" s="15"/>
      <c r="AE71" s="15"/>
      <c r="AF71" s="15"/>
      <c r="AG71" s="15"/>
      <c r="AH71" s="15"/>
      <c r="AI71" s="15"/>
      <c r="AJ71" s="16"/>
      <c r="AK71" s="32"/>
      <c r="AL71" s="15"/>
      <c r="AM71" s="15"/>
      <c r="AN71" s="16"/>
    </row>
    <row r="72" spans="1:40" x14ac:dyDescent="0.45">
      <c r="A72" s="19">
        <v>60</v>
      </c>
      <c r="B72" s="57"/>
      <c r="C72" s="58"/>
      <c r="D72" s="59"/>
      <c r="E72" s="60"/>
      <c r="F72" s="61"/>
      <c r="G72" s="61"/>
      <c r="H72" s="61"/>
      <c r="I72" s="61"/>
      <c r="J72" s="62"/>
      <c r="K72" s="28"/>
      <c r="L72" s="69"/>
      <c r="M72" s="29"/>
      <c r="N72" s="71"/>
      <c r="O72" s="35"/>
      <c r="P72" s="16"/>
      <c r="Q72" s="57"/>
      <c r="R72" s="58"/>
      <c r="S72" s="58"/>
      <c r="T72" s="58"/>
      <c r="U72" s="58"/>
      <c r="V72" s="73"/>
      <c r="W72" s="74"/>
      <c r="X72" s="75"/>
      <c r="Y72" s="76"/>
      <c r="Z72" s="74"/>
      <c r="AA72" s="73"/>
      <c r="AB72" s="77"/>
      <c r="AC72" s="35"/>
      <c r="AD72" s="15"/>
      <c r="AE72" s="15"/>
      <c r="AF72" s="15"/>
      <c r="AG72" s="15"/>
      <c r="AH72" s="15"/>
      <c r="AI72" s="15"/>
      <c r="AJ72" s="16"/>
      <c r="AK72" s="32"/>
      <c r="AL72" s="15"/>
      <c r="AM72" s="15"/>
      <c r="AN72" s="16"/>
    </row>
    <row r="73" spans="1:40" x14ac:dyDescent="0.45">
      <c r="A73" s="19">
        <v>61</v>
      </c>
      <c r="B73" s="57"/>
      <c r="C73" s="58"/>
      <c r="D73" s="59"/>
      <c r="E73" s="60"/>
      <c r="F73" s="61"/>
      <c r="G73" s="61"/>
      <c r="H73" s="61"/>
      <c r="I73" s="61"/>
      <c r="J73" s="62"/>
      <c r="K73" s="28"/>
      <c r="L73" s="69"/>
      <c r="M73" s="29"/>
      <c r="N73" s="71"/>
      <c r="O73" s="35"/>
      <c r="P73" s="16"/>
      <c r="Q73" s="57"/>
      <c r="R73" s="58"/>
      <c r="S73" s="58"/>
      <c r="T73" s="58"/>
      <c r="U73" s="58"/>
      <c r="V73" s="73"/>
      <c r="W73" s="74"/>
      <c r="X73" s="75"/>
      <c r="Y73" s="76"/>
      <c r="Z73" s="74"/>
      <c r="AA73" s="73"/>
      <c r="AB73" s="77"/>
      <c r="AC73" s="35"/>
      <c r="AD73" s="15"/>
      <c r="AE73" s="15"/>
      <c r="AF73" s="15"/>
      <c r="AG73" s="15"/>
      <c r="AH73" s="15"/>
      <c r="AI73" s="15"/>
      <c r="AJ73" s="16"/>
      <c r="AK73" s="32"/>
      <c r="AL73" s="15"/>
      <c r="AM73" s="15"/>
      <c r="AN73" s="16"/>
    </row>
    <row r="74" spans="1:40" x14ac:dyDescent="0.45">
      <c r="A74" s="19">
        <v>62</v>
      </c>
      <c r="B74" s="57"/>
      <c r="C74" s="58"/>
      <c r="D74" s="59"/>
      <c r="E74" s="60"/>
      <c r="F74" s="61"/>
      <c r="G74" s="61"/>
      <c r="H74" s="61"/>
      <c r="I74" s="61"/>
      <c r="J74" s="62"/>
      <c r="K74" s="28"/>
      <c r="L74" s="69"/>
      <c r="M74" s="29"/>
      <c r="N74" s="71"/>
      <c r="O74" s="35"/>
      <c r="P74" s="16"/>
      <c r="Q74" s="57"/>
      <c r="R74" s="58"/>
      <c r="S74" s="58"/>
      <c r="T74" s="58"/>
      <c r="U74" s="58"/>
      <c r="V74" s="73"/>
      <c r="W74" s="74"/>
      <c r="X74" s="75"/>
      <c r="Y74" s="76"/>
      <c r="Z74" s="74"/>
      <c r="AA74" s="73"/>
      <c r="AB74" s="77"/>
      <c r="AC74" s="35"/>
      <c r="AD74" s="15"/>
      <c r="AE74" s="15"/>
      <c r="AF74" s="15"/>
      <c r="AG74" s="15"/>
      <c r="AH74" s="15"/>
      <c r="AI74" s="15"/>
      <c r="AJ74" s="16"/>
      <c r="AK74" s="32"/>
      <c r="AL74" s="15"/>
      <c r="AM74" s="15"/>
      <c r="AN74" s="16"/>
    </row>
    <row r="75" spans="1:40" x14ac:dyDescent="0.45">
      <c r="A75" s="19">
        <v>63</v>
      </c>
      <c r="B75" s="57"/>
      <c r="C75" s="58"/>
      <c r="D75" s="59"/>
      <c r="E75" s="60"/>
      <c r="F75" s="61"/>
      <c r="G75" s="61"/>
      <c r="H75" s="61"/>
      <c r="I75" s="61"/>
      <c r="J75" s="62"/>
      <c r="K75" s="28"/>
      <c r="L75" s="69"/>
      <c r="M75" s="29"/>
      <c r="N75" s="71"/>
      <c r="O75" s="35"/>
      <c r="P75" s="16"/>
      <c r="Q75" s="57"/>
      <c r="R75" s="58"/>
      <c r="S75" s="58"/>
      <c r="T75" s="58"/>
      <c r="U75" s="58"/>
      <c r="V75" s="73"/>
      <c r="W75" s="74"/>
      <c r="X75" s="75"/>
      <c r="Y75" s="76"/>
      <c r="Z75" s="74"/>
      <c r="AA75" s="73"/>
      <c r="AB75" s="77"/>
      <c r="AC75" s="35"/>
      <c r="AD75" s="15"/>
      <c r="AE75" s="15"/>
      <c r="AF75" s="15"/>
      <c r="AG75" s="15"/>
      <c r="AH75" s="15"/>
      <c r="AI75" s="15"/>
      <c r="AJ75" s="16"/>
      <c r="AK75" s="32"/>
      <c r="AL75" s="15"/>
      <c r="AM75" s="15"/>
      <c r="AN75" s="16"/>
    </row>
    <row r="76" spans="1:40" x14ac:dyDescent="0.45">
      <c r="A76" s="19">
        <v>64</v>
      </c>
      <c r="B76" s="57"/>
      <c r="C76" s="58"/>
      <c r="D76" s="59"/>
      <c r="E76" s="60"/>
      <c r="F76" s="61"/>
      <c r="G76" s="61"/>
      <c r="H76" s="61"/>
      <c r="I76" s="61"/>
      <c r="J76" s="62"/>
      <c r="K76" s="28"/>
      <c r="L76" s="69"/>
      <c r="M76" s="29"/>
      <c r="N76" s="71"/>
      <c r="O76" s="35"/>
      <c r="P76" s="16"/>
      <c r="Q76" s="57"/>
      <c r="R76" s="58"/>
      <c r="S76" s="58"/>
      <c r="T76" s="58"/>
      <c r="U76" s="58"/>
      <c r="V76" s="73"/>
      <c r="W76" s="74"/>
      <c r="X76" s="75"/>
      <c r="Y76" s="76"/>
      <c r="Z76" s="74"/>
      <c r="AA76" s="73"/>
      <c r="AB76" s="77"/>
      <c r="AC76" s="35"/>
      <c r="AD76" s="15"/>
      <c r="AE76" s="15"/>
      <c r="AF76" s="15"/>
      <c r="AG76" s="15"/>
      <c r="AH76" s="15"/>
      <c r="AI76" s="15"/>
      <c r="AJ76" s="16"/>
      <c r="AK76" s="32"/>
      <c r="AL76" s="15"/>
      <c r="AM76" s="15"/>
      <c r="AN76" s="16"/>
    </row>
    <row r="77" spans="1:40" x14ac:dyDescent="0.45">
      <c r="A77" s="19">
        <v>65</v>
      </c>
      <c r="B77" s="57"/>
      <c r="C77" s="58"/>
      <c r="D77" s="59"/>
      <c r="E77" s="60"/>
      <c r="F77" s="61"/>
      <c r="G77" s="61"/>
      <c r="H77" s="61"/>
      <c r="I77" s="61"/>
      <c r="J77" s="62"/>
      <c r="K77" s="28"/>
      <c r="L77" s="69"/>
      <c r="M77" s="29"/>
      <c r="N77" s="71"/>
      <c r="O77" s="35"/>
      <c r="P77" s="16"/>
      <c r="Q77" s="57"/>
      <c r="R77" s="58"/>
      <c r="S77" s="58"/>
      <c r="T77" s="58"/>
      <c r="U77" s="58"/>
      <c r="V77" s="73"/>
      <c r="W77" s="74"/>
      <c r="X77" s="75"/>
      <c r="Y77" s="76"/>
      <c r="Z77" s="74"/>
      <c r="AA77" s="73"/>
      <c r="AB77" s="77"/>
      <c r="AC77" s="35"/>
      <c r="AD77" s="15"/>
      <c r="AE77" s="15"/>
      <c r="AF77" s="15"/>
      <c r="AG77" s="15"/>
      <c r="AH77" s="15"/>
      <c r="AI77" s="15"/>
      <c r="AJ77" s="16"/>
      <c r="AK77" s="32"/>
      <c r="AL77" s="15"/>
      <c r="AM77" s="15"/>
      <c r="AN77" s="16"/>
    </row>
    <row r="78" spans="1:40" x14ac:dyDescent="0.45">
      <c r="A78" s="19">
        <v>66</v>
      </c>
      <c r="B78" s="57"/>
      <c r="C78" s="58"/>
      <c r="D78" s="59"/>
      <c r="E78" s="60"/>
      <c r="F78" s="61"/>
      <c r="G78" s="61"/>
      <c r="H78" s="61"/>
      <c r="I78" s="61"/>
      <c r="J78" s="62"/>
      <c r="K78" s="28"/>
      <c r="L78" s="69"/>
      <c r="M78" s="29"/>
      <c r="N78" s="71"/>
      <c r="O78" s="35"/>
      <c r="P78" s="16"/>
      <c r="Q78" s="57"/>
      <c r="R78" s="58"/>
      <c r="S78" s="58"/>
      <c r="T78" s="58"/>
      <c r="U78" s="58"/>
      <c r="V78" s="73"/>
      <c r="W78" s="74"/>
      <c r="X78" s="75"/>
      <c r="Y78" s="76"/>
      <c r="Z78" s="74"/>
      <c r="AA78" s="73"/>
      <c r="AB78" s="77"/>
      <c r="AC78" s="35"/>
      <c r="AD78" s="15"/>
      <c r="AE78" s="15"/>
      <c r="AF78" s="15"/>
      <c r="AG78" s="15"/>
      <c r="AH78" s="15"/>
      <c r="AI78" s="15"/>
      <c r="AJ78" s="16"/>
      <c r="AK78" s="32"/>
      <c r="AL78" s="15"/>
      <c r="AM78" s="15"/>
      <c r="AN78" s="16"/>
    </row>
    <row r="79" spans="1:40" x14ac:dyDescent="0.45">
      <c r="A79" s="19">
        <v>67</v>
      </c>
      <c r="B79" s="57"/>
      <c r="C79" s="58"/>
      <c r="D79" s="59"/>
      <c r="E79" s="60"/>
      <c r="F79" s="61"/>
      <c r="G79" s="61"/>
      <c r="H79" s="61"/>
      <c r="I79" s="61"/>
      <c r="J79" s="62"/>
      <c r="K79" s="28"/>
      <c r="L79" s="69"/>
      <c r="M79" s="29"/>
      <c r="N79" s="71"/>
      <c r="O79" s="35"/>
      <c r="P79" s="16"/>
      <c r="Q79" s="57"/>
      <c r="R79" s="58"/>
      <c r="S79" s="58"/>
      <c r="T79" s="58"/>
      <c r="U79" s="58"/>
      <c r="V79" s="73"/>
      <c r="W79" s="74"/>
      <c r="X79" s="75"/>
      <c r="Y79" s="76"/>
      <c r="Z79" s="74"/>
      <c r="AA79" s="73"/>
      <c r="AB79" s="77"/>
      <c r="AC79" s="35"/>
      <c r="AD79" s="15"/>
      <c r="AE79" s="15"/>
      <c r="AF79" s="15"/>
      <c r="AG79" s="15"/>
      <c r="AH79" s="15"/>
      <c r="AI79" s="15"/>
      <c r="AJ79" s="16"/>
      <c r="AK79" s="32"/>
      <c r="AL79" s="15"/>
      <c r="AM79" s="15"/>
      <c r="AN79" s="16"/>
    </row>
    <row r="80" spans="1:40" x14ac:dyDescent="0.45">
      <c r="A80" s="19">
        <v>68</v>
      </c>
      <c r="B80" s="57"/>
      <c r="C80" s="58"/>
      <c r="D80" s="59"/>
      <c r="E80" s="60"/>
      <c r="F80" s="61"/>
      <c r="G80" s="61"/>
      <c r="H80" s="61"/>
      <c r="I80" s="61"/>
      <c r="J80" s="62"/>
      <c r="K80" s="28"/>
      <c r="L80" s="69"/>
      <c r="M80" s="29"/>
      <c r="N80" s="71"/>
      <c r="O80" s="35"/>
      <c r="P80" s="16"/>
      <c r="Q80" s="57"/>
      <c r="R80" s="58"/>
      <c r="S80" s="58"/>
      <c r="T80" s="58"/>
      <c r="U80" s="58"/>
      <c r="V80" s="73"/>
      <c r="W80" s="74"/>
      <c r="X80" s="75"/>
      <c r="Y80" s="76"/>
      <c r="Z80" s="74"/>
      <c r="AA80" s="73"/>
      <c r="AB80" s="77"/>
      <c r="AC80" s="35"/>
      <c r="AD80" s="15"/>
      <c r="AE80" s="15"/>
      <c r="AF80" s="15"/>
      <c r="AG80" s="15"/>
      <c r="AH80" s="15"/>
      <c r="AI80" s="15"/>
      <c r="AJ80" s="16"/>
      <c r="AK80" s="32"/>
      <c r="AL80" s="15"/>
      <c r="AM80" s="15"/>
      <c r="AN80" s="16"/>
    </row>
    <row r="81" spans="1:40" x14ac:dyDescent="0.45">
      <c r="A81" s="19">
        <v>69</v>
      </c>
      <c r="B81" s="57"/>
      <c r="C81" s="58"/>
      <c r="D81" s="59"/>
      <c r="E81" s="60"/>
      <c r="F81" s="61"/>
      <c r="G81" s="61"/>
      <c r="H81" s="61"/>
      <c r="I81" s="61"/>
      <c r="J81" s="62"/>
      <c r="K81" s="28"/>
      <c r="L81" s="69"/>
      <c r="M81" s="29"/>
      <c r="N81" s="71"/>
      <c r="O81" s="35"/>
      <c r="P81" s="16"/>
      <c r="Q81" s="57"/>
      <c r="R81" s="58"/>
      <c r="S81" s="58"/>
      <c r="T81" s="58"/>
      <c r="U81" s="58"/>
      <c r="V81" s="73"/>
      <c r="W81" s="74"/>
      <c r="X81" s="75"/>
      <c r="Y81" s="76"/>
      <c r="Z81" s="74"/>
      <c r="AA81" s="73"/>
      <c r="AB81" s="77"/>
      <c r="AC81" s="35"/>
      <c r="AD81" s="15"/>
      <c r="AE81" s="15"/>
      <c r="AF81" s="15"/>
      <c r="AG81" s="15"/>
      <c r="AH81" s="15"/>
      <c r="AI81" s="15"/>
      <c r="AJ81" s="16"/>
      <c r="AK81" s="32"/>
      <c r="AL81" s="15"/>
      <c r="AM81" s="15"/>
      <c r="AN81" s="16"/>
    </row>
    <row r="82" spans="1:40" x14ac:dyDescent="0.45">
      <c r="A82" s="19">
        <v>70</v>
      </c>
      <c r="B82" s="57"/>
      <c r="C82" s="58"/>
      <c r="D82" s="59"/>
      <c r="E82" s="60"/>
      <c r="F82" s="61"/>
      <c r="G82" s="61"/>
      <c r="H82" s="61"/>
      <c r="I82" s="61"/>
      <c r="J82" s="62"/>
      <c r="K82" s="28"/>
      <c r="L82" s="69"/>
      <c r="M82" s="29"/>
      <c r="N82" s="71"/>
      <c r="O82" s="35"/>
      <c r="P82" s="16"/>
      <c r="Q82" s="57"/>
      <c r="R82" s="58"/>
      <c r="S82" s="58"/>
      <c r="T82" s="58"/>
      <c r="U82" s="58"/>
      <c r="V82" s="73"/>
      <c r="W82" s="74"/>
      <c r="X82" s="75"/>
      <c r="Y82" s="76"/>
      <c r="Z82" s="74"/>
      <c r="AA82" s="73"/>
      <c r="AB82" s="77"/>
      <c r="AC82" s="35"/>
      <c r="AD82" s="15"/>
      <c r="AE82" s="15"/>
      <c r="AF82" s="15"/>
      <c r="AG82" s="15"/>
      <c r="AH82" s="15"/>
      <c r="AI82" s="15"/>
      <c r="AJ82" s="16"/>
      <c r="AK82" s="32"/>
      <c r="AL82" s="15"/>
      <c r="AM82" s="15"/>
      <c r="AN82" s="16"/>
    </row>
    <row r="83" spans="1:40" x14ac:dyDescent="0.45">
      <c r="A83" s="19">
        <v>71</v>
      </c>
      <c r="B83" s="57"/>
      <c r="C83" s="58"/>
      <c r="D83" s="59"/>
      <c r="E83" s="60"/>
      <c r="F83" s="61"/>
      <c r="G83" s="61"/>
      <c r="H83" s="61"/>
      <c r="I83" s="61"/>
      <c r="J83" s="62"/>
      <c r="K83" s="28"/>
      <c r="L83" s="69"/>
      <c r="M83" s="29"/>
      <c r="N83" s="71"/>
      <c r="O83" s="35"/>
      <c r="P83" s="16"/>
      <c r="Q83" s="57"/>
      <c r="R83" s="58"/>
      <c r="S83" s="58"/>
      <c r="T83" s="58"/>
      <c r="U83" s="58"/>
      <c r="V83" s="73"/>
      <c r="W83" s="74"/>
      <c r="X83" s="75"/>
      <c r="Y83" s="76"/>
      <c r="Z83" s="74"/>
      <c r="AA83" s="73"/>
      <c r="AB83" s="77"/>
      <c r="AC83" s="35"/>
      <c r="AD83" s="15"/>
      <c r="AE83" s="15"/>
      <c r="AF83" s="15"/>
      <c r="AG83" s="15"/>
      <c r="AH83" s="15"/>
      <c r="AI83" s="15"/>
      <c r="AJ83" s="16"/>
      <c r="AK83" s="32"/>
      <c r="AL83" s="15"/>
      <c r="AM83" s="15"/>
      <c r="AN83" s="16"/>
    </row>
    <row r="84" spans="1:40" x14ac:dyDescent="0.45">
      <c r="A84" s="19">
        <v>72</v>
      </c>
      <c r="B84" s="57"/>
      <c r="C84" s="58"/>
      <c r="D84" s="59"/>
      <c r="E84" s="60"/>
      <c r="F84" s="61"/>
      <c r="G84" s="61"/>
      <c r="H84" s="61"/>
      <c r="I84" s="61"/>
      <c r="J84" s="62"/>
      <c r="K84" s="28"/>
      <c r="L84" s="69"/>
      <c r="M84" s="29"/>
      <c r="N84" s="71"/>
      <c r="O84" s="35"/>
      <c r="P84" s="16"/>
      <c r="Q84" s="57"/>
      <c r="R84" s="58"/>
      <c r="S84" s="58"/>
      <c r="T84" s="58"/>
      <c r="U84" s="58"/>
      <c r="V84" s="73"/>
      <c r="W84" s="74"/>
      <c r="X84" s="75"/>
      <c r="Y84" s="76"/>
      <c r="Z84" s="74"/>
      <c r="AA84" s="73"/>
      <c r="AB84" s="77"/>
      <c r="AC84" s="35"/>
      <c r="AD84" s="15"/>
      <c r="AE84" s="15"/>
      <c r="AF84" s="15"/>
      <c r="AG84" s="15"/>
      <c r="AH84" s="15"/>
      <c r="AI84" s="15"/>
      <c r="AJ84" s="16"/>
      <c r="AK84" s="32"/>
      <c r="AL84" s="15"/>
      <c r="AM84" s="15"/>
      <c r="AN84" s="16"/>
    </row>
    <row r="85" spans="1:40" x14ac:dyDescent="0.45">
      <c r="A85" s="19">
        <v>73</v>
      </c>
      <c r="B85" s="57"/>
      <c r="C85" s="58"/>
      <c r="D85" s="59"/>
      <c r="E85" s="60"/>
      <c r="F85" s="61"/>
      <c r="G85" s="61"/>
      <c r="H85" s="61"/>
      <c r="I85" s="61"/>
      <c r="J85" s="62"/>
      <c r="K85" s="28"/>
      <c r="L85" s="69"/>
      <c r="M85" s="29"/>
      <c r="N85" s="71"/>
      <c r="O85" s="35"/>
      <c r="P85" s="16"/>
      <c r="Q85" s="57"/>
      <c r="R85" s="58"/>
      <c r="S85" s="58"/>
      <c r="T85" s="58"/>
      <c r="U85" s="58"/>
      <c r="V85" s="73"/>
      <c r="W85" s="74"/>
      <c r="X85" s="75"/>
      <c r="Y85" s="76"/>
      <c r="Z85" s="74"/>
      <c r="AA85" s="73"/>
      <c r="AB85" s="77"/>
      <c r="AC85" s="35"/>
      <c r="AD85" s="15"/>
      <c r="AE85" s="15"/>
      <c r="AF85" s="15"/>
      <c r="AG85" s="15"/>
      <c r="AH85" s="15"/>
      <c r="AI85" s="15"/>
      <c r="AJ85" s="16"/>
      <c r="AK85" s="32"/>
      <c r="AL85" s="15"/>
      <c r="AM85" s="15"/>
      <c r="AN85" s="16"/>
    </row>
    <row r="86" spans="1:40" x14ac:dyDescent="0.45">
      <c r="A86" s="19">
        <v>74</v>
      </c>
      <c r="B86" s="57"/>
      <c r="C86" s="58"/>
      <c r="D86" s="59"/>
      <c r="E86" s="60"/>
      <c r="F86" s="61"/>
      <c r="G86" s="61"/>
      <c r="H86" s="61"/>
      <c r="I86" s="61"/>
      <c r="J86" s="62"/>
      <c r="K86" s="28"/>
      <c r="L86" s="69"/>
      <c r="M86" s="29"/>
      <c r="N86" s="71"/>
      <c r="O86" s="35"/>
      <c r="P86" s="16"/>
      <c r="Q86" s="57"/>
      <c r="R86" s="58"/>
      <c r="S86" s="58"/>
      <c r="T86" s="58"/>
      <c r="U86" s="58"/>
      <c r="V86" s="73"/>
      <c r="W86" s="74"/>
      <c r="X86" s="75"/>
      <c r="Y86" s="76"/>
      <c r="Z86" s="74"/>
      <c r="AA86" s="73"/>
      <c r="AB86" s="77"/>
      <c r="AC86" s="35"/>
      <c r="AD86" s="15"/>
      <c r="AE86" s="15"/>
      <c r="AF86" s="15"/>
      <c r="AG86" s="15"/>
      <c r="AH86" s="15"/>
      <c r="AI86" s="15"/>
      <c r="AJ86" s="16"/>
      <c r="AK86" s="32"/>
      <c r="AL86" s="15"/>
      <c r="AM86" s="15"/>
      <c r="AN86" s="16"/>
    </row>
    <row r="87" spans="1:40" x14ac:dyDescent="0.45">
      <c r="A87" s="19">
        <v>75</v>
      </c>
      <c r="B87" s="57"/>
      <c r="C87" s="58"/>
      <c r="D87" s="59"/>
      <c r="E87" s="60"/>
      <c r="F87" s="61"/>
      <c r="G87" s="61"/>
      <c r="H87" s="61"/>
      <c r="I87" s="61"/>
      <c r="J87" s="62"/>
      <c r="K87" s="28"/>
      <c r="L87" s="69"/>
      <c r="M87" s="29"/>
      <c r="N87" s="71"/>
      <c r="O87" s="35"/>
      <c r="P87" s="16"/>
      <c r="Q87" s="57"/>
      <c r="R87" s="58"/>
      <c r="S87" s="58"/>
      <c r="T87" s="58"/>
      <c r="U87" s="58"/>
      <c r="V87" s="73"/>
      <c r="W87" s="74"/>
      <c r="X87" s="75"/>
      <c r="Y87" s="76"/>
      <c r="Z87" s="74"/>
      <c r="AA87" s="73"/>
      <c r="AB87" s="77"/>
      <c r="AC87" s="35"/>
      <c r="AD87" s="15"/>
      <c r="AE87" s="15"/>
      <c r="AF87" s="15"/>
      <c r="AG87" s="15"/>
      <c r="AH87" s="15"/>
      <c r="AI87" s="15"/>
      <c r="AJ87" s="16"/>
      <c r="AK87" s="32"/>
      <c r="AL87" s="15"/>
      <c r="AM87" s="15"/>
      <c r="AN87" s="16"/>
    </row>
    <row r="88" spans="1:40" x14ac:dyDescent="0.45">
      <c r="A88" s="19">
        <v>76</v>
      </c>
      <c r="B88" s="57"/>
      <c r="C88" s="58"/>
      <c r="D88" s="59"/>
      <c r="E88" s="60"/>
      <c r="F88" s="61"/>
      <c r="G88" s="61"/>
      <c r="H88" s="61"/>
      <c r="I88" s="61"/>
      <c r="J88" s="62"/>
      <c r="K88" s="28"/>
      <c r="L88" s="69"/>
      <c r="M88" s="29"/>
      <c r="N88" s="71"/>
      <c r="O88" s="35"/>
      <c r="P88" s="16"/>
      <c r="Q88" s="57"/>
      <c r="R88" s="58"/>
      <c r="S88" s="58"/>
      <c r="T88" s="58"/>
      <c r="U88" s="58"/>
      <c r="V88" s="73"/>
      <c r="W88" s="74"/>
      <c r="X88" s="75"/>
      <c r="Y88" s="76"/>
      <c r="Z88" s="74"/>
      <c r="AA88" s="73"/>
      <c r="AB88" s="77"/>
      <c r="AC88" s="35"/>
      <c r="AD88" s="15"/>
      <c r="AE88" s="15"/>
      <c r="AF88" s="15"/>
      <c r="AG88" s="15"/>
      <c r="AH88" s="15"/>
      <c r="AI88" s="15"/>
      <c r="AJ88" s="16"/>
      <c r="AK88" s="32"/>
      <c r="AL88" s="15"/>
      <c r="AM88" s="15"/>
      <c r="AN88" s="16"/>
    </row>
    <row r="89" spans="1:40" x14ac:dyDescent="0.45">
      <c r="A89" s="19">
        <v>77</v>
      </c>
      <c r="B89" s="57"/>
      <c r="C89" s="58"/>
      <c r="D89" s="59"/>
      <c r="E89" s="60"/>
      <c r="F89" s="61"/>
      <c r="G89" s="61"/>
      <c r="H89" s="61"/>
      <c r="I89" s="61"/>
      <c r="J89" s="62"/>
      <c r="K89" s="28"/>
      <c r="L89" s="69"/>
      <c r="M89" s="29"/>
      <c r="N89" s="71"/>
      <c r="O89" s="35"/>
      <c r="P89" s="16"/>
      <c r="Q89" s="57"/>
      <c r="R89" s="58"/>
      <c r="S89" s="58"/>
      <c r="T89" s="58"/>
      <c r="U89" s="58"/>
      <c r="V89" s="73"/>
      <c r="W89" s="74"/>
      <c r="X89" s="75"/>
      <c r="Y89" s="76"/>
      <c r="Z89" s="74"/>
      <c r="AA89" s="73"/>
      <c r="AB89" s="77"/>
      <c r="AC89" s="35"/>
      <c r="AD89" s="15"/>
      <c r="AE89" s="15"/>
      <c r="AF89" s="15"/>
      <c r="AG89" s="15"/>
      <c r="AH89" s="15"/>
      <c r="AI89" s="15"/>
      <c r="AJ89" s="16"/>
      <c r="AK89" s="32"/>
      <c r="AL89" s="15"/>
      <c r="AM89" s="15"/>
      <c r="AN89" s="16"/>
    </row>
    <row r="90" spans="1:40" x14ac:dyDescent="0.45">
      <c r="A90" s="19">
        <v>78</v>
      </c>
      <c r="B90" s="57"/>
      <c r="C90" s="58"/>
      <c r="D90" s="59"/>
      <c r="E90" s="60"/>
      <c r="F90" s="61"/>
      <c r="G90" s="61"/>
      <c r="H90" s="61"/>
      <c r="I90" s="61"/>
      <c r="J90" s="62"/>
      <c r="K90" s="28"/>
      <c r="L90" s="69"/>
      <c r="M90" s="29"/>
      <c r="N90" s="71"/>
      <c r="O90" s="35"/>
      <c r="P90" s="16"/>
      <c r="Q90" s="57"/>
      <c r="R90" s="58"/>
      <c r="S90" s="58"/>
      <c r="T90" s="58"/>
      <c r="U90" s="58"/>
      <c r="V90" s="73"/>
      <c r="W90" s="74"/>
      <c r="X90" s="75"/>
      <c r="Y90" s="76"/>
      <c r="Z90" s="74"/>
      <c r="AA90" s="61"/>
      <c r="AB90" s="77"/>
      <c r="AC90" s="35"/>
      <c r="AD90" s="15"/>
      <c r="AE90" s="15"/>
      <c r="AF90" s="15"/>
      <c r="AG90" s="15"/>
      <c r="AH90" s="15"/>
      <c r="AI90" s="15"/>
      <c r="AJ90" s="16"/>
      <c r="AK90" s="32"/>
      <c r="AL90" s="15"/>
      <c r="AM90" s="15"/>
      <c r="AN90" s="16"/>
    </row>
    <row r="91" spans="1:40" x14ac:dyDescent="0.45">
      <c r="A91" s="19">
        <v>79</v>
      </c>
      <c r="B91" s="57"/>
      <c r="C91" s="58"/>
      <c r="D91" s="59"/>
      <c r="E91" s="60"/>
      <c r="F91" s="61"/>
      <c r="G91" s="61"/>
      <c r="H91" s="61"/>
      <c r="I91" s="61"/>
      <c r="J91" s="62"/>
      <c r="K91" s="28"/>
      <c r="L91" s="69"/>
      <c r="M91" s="29"/>
      <c r="N91" s="71"/>
      <c r="O91" s="35"/>
      <c r="P91" s="16"/>
      <c r="Q91" s="57"/>
      <c r="R91" s="58"/>
      <c r="S91" s="58"/>
      <c r="T91" s="58"/>
      <c r="U91" s="58"/>
      <c r="V91" s="73"/>
      <c r="W91" s="74"/>
      <c r="X91" s="75"/>
      <c r="Y91" s="76"/>
      <c r="Z91" s="74"/>
      <c r="AA91" s="61"/>
      <c r="AB91" s="77"/>
      <c r="AC91" s="35"/>
      <c r="AD91" s="15"/>
      <c r="AE91" s="15"/>
      <c r="AF91" s="15"/>
      <c r="AG91" s="15"/>
      <c r="AH91" s="15"/>
      <c r="AI91" s="15"/>
      <c r="AJ91" s="16"/>
      <c r="AK91" s="32"/>
      <c r="AL91" s="15"/>
      <c r="AM91" s="15"/>
      <c r="AN91" s="16"/>
    </row>
    <row r="92" spans="1:40" x14ac:dyDescent="0.45">
      <c r="A92" s="19">
        <v>80</v>
      </c>
      <c r="B92" s="57"/>
      <c r="C92" s="58"/>
      <c r="D92" s="59"/>
      <c r="E92" s="60"/>
      <c r="F92" s="61"/>
      <c r="G92" s="61"/>
      <c r="H92" s="61"/>
      <c r="I92" s="61"/>
      <c r="J92" s="62"/>
      <c r="K92" s="28"/>
      <c r="L92" s="69"/>
      <c r="M92" s="29"/>
      <c r="N92" s="71"/>
      <c r="O92" s="35"/>
      <c r="P92" s="16"/>
      <c r="Q92" s="57"/>
      <c r="R92" s="58"/>
      <c r="S92" s="58"/>
      <c r="T92" s="58"/>
      <c r="U92" s="58"/>
      <c r="V92" s="73"/>
      <c r="W92" s="74"/>
      <c r="X92" s="75"/>
      <c r="Y92" s="76"/>
      <c r="Z92" s="74"/>
      <c r="AA92" s="61"/>
      <c r="AB92" s="77"/>
      <c r="AC92" s="35"/>
      <c r="AD92" s="15"/>
      <c r="AE92" s="15"/>
      <c r="AF92" s="15"/>
      <c r="AG92" s="15"/>
      <c r="AH92" s="15"/>
      <c r="AI92" s="15"/>
      <c r="AJ92" s="16"/>
      <c r="AK92" s="32"/>
      <c r="AL92" s="15"/>
      <c r="AM92" s="15"/>
      <c r="AN92" s="16"/>
    </row>
    <row r="93" spans="1:40" x14ac:dyDescent="0.45">
      <c r="A93" s="19">
        <v>81</v>
      </c>
      <c r="B93" s="57"/>
      <c r="C93" s="58"/>
      <c r="D93" s="59"/>
      <c r="E93" s="60"/>
      <c r="F93" s="61"/>
      <c r="G93" s="61"/>
      <c r="H93" s="61"/>
      <c r="I93" s="61"/>
      <c r="J93" s="62"/>
      <c r="K93" s="28"/>
      <c r="L93" s="69"/>
      <c r="M93" s="29"/>
      <c r="N93" s="71"/>
      <c r="O93" s="35"/>
      <c r="P93" s="16"/>
      <c r="Q93" s="57"/>
      <c r="R93" s="58"/>
      <c r="S93" s="58"/>
      <c r="T93" s="58"/>
      <c r="U93" s="58"/>
      <c r="V93" s="73"/>
      <c r="W93" s="74"/>
      <c r="X93" s="75"/>
      <c r="Y93" s="76"/>
      <c r="Z93" s="74"/>
      <c r="AA93" s="61"/>
      <c r="AB93" s="77"/>
      <c r="AC93" s="35"/>
      <c r="AD93" s="15"/>
      <c r="AE93" s="15"/>
      <c r="AF93" s="15"/>
      <c r="AG93" s="15"/>
      <c r="AH93" s="15"/>
      <c r="AI93" s="15"/>
      <c r="AJ93" s="16"/>
      <c r="AK93" s="32"/>
      <c r="AL93" s="15"/>
      <c r="AM93" s="15"/>
      <c r="AN93" s="16"/>
    </row>
    <row r="94" spans="1:40" x14ac:dyDescent="0.45">
      <c r="A94" s="19">
        <v>82</v>
      </c>
      <c r="B94" s="57"/>
      <c r="C94" s="58"/>
      <c r="D94" s="59"/>
      <c r="E94" s="60"/>
      <c r="F94" s="61"/>
      <c r="G94" s="61"/>
      <c r="H94" s="61"/>
      <c r="I94" s="61"/>
      <c r="J94" s="62"/>
      <c r="K94" s="28"/>
      <c r="L94" s="69"/>
      <c r="M94" s="29"/>
      <c r="N94" s="71"/>
      <c r="O94" s="35"/>
      <c r="P94" s="16"/>
      <c r="Q94" s="57"/>
      <c r="R94" s="58"/>
      <c r="S94" s="58"/>
      <c r="T94" s="58"/>
      <c r="U94" s="58"/>
      <c r="V94" s="73"/>
      <c r="W94" s="74"/>
      <c r="X94" s="75"/>
      <c r="Y94" s="76"/>
      <c r="Z94" s="74"/>
      <c r="AA94" s="61"/>
      <c r="AB94" s="77"/>
      <c r="AC94" s="35"/>
      <c r="AD94" s="15"/>
      <c r="AE94" s="15"/>
      <c r="AF94" s="15"/>
      <c r="AG94" s="15"/>
      <c r="AH94" s="15"/>
      <c r="AI94" s="15"/>
      <c r="AJ94" s="16"/>
      <c r="AK94" s="32"/>
      <c r="AL94" s="15"/>
      <c r="AM94" s="15"/>
      <c r="AN94" s="16"/>
    </row>
    <row r="95" spans="1:40" x14ac:dyDescent="0.45">
      <c r="A95" s="19">
        <v>83</v>
      </c>
      <c r="B95" s="57"/>
      <c r="C95" s="58"/>
      <c r="D95" s="59"/>
      <c r="E95" s="60"/>
      <c r="F95" s="61"/>
      <c r="G95" s="61"/>
      <c r="H95" s="61"/>
      <c r="I95" s="61"/>
      <c r="J95" s="62"/>
      <c r="K95" s="28"/>
      <c r="L95" s="69"/>
      <c r="M95" s="29"/>
      <c r="N95" s="71"/>
      <c r="O95" s="35"/>
      <c r="P95" s="16"/>
      <c r="Q95" s="57"/>
      <c r="R95" s="58"/>
      <c r="S95" s="58"/>
      <c r="T95" s="58"/>
      <c r="U95" s="58"/>
      <c r="V95" s="73"/>
      <c r="W95" s="74"/>
      <c r="X95" s="75"/>
      <c r="Y95" s="76"/>
      <c r="Z95" s="74"/>
      <c r="AA95" s="61"/>
      <c r="AB95" s="77"/>
      <c r="AC95" s="35"/>
      <c r="AD95" s="15"/>
      <c r="AE95" s="15"/>
      <c r="AF95" s="15"/>
      <c r="AG95" s="15"/>
      <c r="AH95" s="15"/>
      <c r="AI95" s="15"/>
      <c r="AJ95" s="16"/>
      <c r="AK95" s="32"/>
      <c r="AL95" s="15"/>
      <c r="AM95" s="15"/>
      <c r="AN95" s="16"/>
    </row>
    <row r="96" spans="1:40" x14ac:dyDescent="0.45">
      <c r="A96" s="19">
        <v>84</v>
      </c>
      <c r="B96" s="57"/>
      <c r="C96" s="58"/>
      <c r="D96" s="59"/>
      <c r="E96" s="60"/>
      <c r="F96" s="61"/>
      <c r="G96" s="61"/>
      <c r="H96" s="61"/>
      <c r="I96" s="61"/>
      <c r="J96" s="62"/>
      <c r="K96" s="28"/>
      <c r="L96" s="69"/>
      <c r="M96" s="29"/>
      <c r="N96" s="71"/>
      <c r="O96" s="35"/>
      <c r="P96" s="16"/>
      <c r="Q96" s="57"/>
      <c r="R96" s="58"/>
      <c r="S96" s="58"/>
      <c r="T96" s="58"/>
      <c r="U96" s="58"/>
      <c r="V96" s="73"/>
      <c r="W96" s="74"/>
      <c r="X96" s="75"/>
      <c r="Y96" s="76"/>
      <c r="Z96" s="74"/>
      <c r="AA96" s="61"/>
      <c r="AB96" s="77"/>
      <c r="AC96" s="35"/>
      <c r="AD96" s="15"/>
      <c r="AE96" s="15"/>
      <c r="AF96" s="15"/>
      <c r="AG96" s="15"/>
      <c r="AH96" s="15"/>
      <c r="AI96" s="15"/>
      <c r="AJ96" s="16"/>
      <c r="AK96" s="32"/>
      <c r="AL96" s="15"/>
      <c r="AM96" s="15"/>
      <c r="AN96" s="16"/>
    </row>
    <row r="97" spans="1:40" x14ac:dyDescent="0.45">
      <c r="A97" s="19">
        <v>85</v>
      </c>
      <c r="B97" s="57"/>
      <c r="C97" s="58"/>
      <c r="D97" s="59"/>
      <c r="E97" s="60"/>
      <c r="F97" s="61"/>
      <c r="G97" s="61"/>
      <c r="H97" s="61"/>
      <c r="I97" s="61"/>
      <c r="J97" s="62"/>
      <c r="K97" s="28"/>
      <c r="L97" s="69"/>
      <c r="M97" s="29"/>
      <c r="N97" s="71"/>
      <c r="O97" s="35"/>
      <c r="P97" s="16"/>
      <c r="Q97" s="57"/>
      <c r="R97" s="58"/>
      <c r="S97" s="58"/>
      <c r="T97" s="58"/>
      <c r="U97" s="58"/>
      <c r="V97" s="73"/>
      <c r="W97" s="74"/>
      <c r="X97" s="75"/>
      <c r="Y97" s="76"/>
      <c r="Z97" s="74"/>
      <c r="AA97" s="61"/>
      <c r="AB97" s="77"/>
      <c r="AC97" s="35"/>
      <c r="AD97" s="15"/>
      <c r="AE97" s="15"/>
      <c r="AF97" s="15"/>
      <c r="AG97" s="15"/>
      <c r="AH97" s="15"/>
      <c r="AI97" s="15"/>
      <c r="AJ97" s="16"/>
      <c r="AK97" s="32"/>
      <c r="AL97" s="15"/>
      <c r="AM97" s="15"/>
      <c r="AN97" s="16"/>
    </row>
    <row r="98" spans="1:40" x14ac:dyDescent="0.45">
      <c r="A98" s="19">
        <v>86</v>
      </c>
      <c r="B98" s="57"/>
      <c r="C98" s="58"/>
      <c r="D98" s="59"/>
      <c r="E98" s="60"/>
      <c r="F98" s="61"/>
      <c r="G98" s="61"/>
      <c r="H98" s="61"/>
      <c r="I98" s="61"/>
      <c r="J98" s="62"/>
      <c r="K98" s="28"/>
      <c r="L98" s="69"/>
      <c r="M98" s="29"/>
      <c r="N98" s="71"/>
      <c r="O98" s="35"/>
      <c r="P98" s="16"/>
      <c r="Q98" s="57"/>
      <c r="R98" s="58"/>
      <c r="S98" s="58"/>
      <c r="T98" s="58"/>
      <c r="U98" s="58"/>
      <c r="V98" s="73"/>
      <c r="W98" s="74"/>
      <c r="X98" s="75"/>
      <c r="Y98" s="76"/>
      <c r="Z98" s="74"/>
      <c r="AA98" s="61"/>
      <c r="AB98" s="77"/>
      <c r="AC98" s="35"/>
      <c r="AD98" s="15"/>
      <c r="AE98" s="15"/>
      <c r="AF98" s="15"/>
      <c r="AG98" s="15"/>
      <c r="AH98" s="15"/>
      <c r="AI98" s="15"/>
      <c r="AJ98" s="16"/>
      <c r="AK98" s="32"/>
      <c r="AL98" s="15"/>
      <c r="AM98" s="15"/>
      <c r="AN98" s="16"/>
    </row>
    <row r="99" spans="1:40" x14ac:dyDescent="0.45">
      <c r="A99" s="19">
        <v>87</v>
      </c>
      <c r="B99" s="57"/>
      <c r="C99" s="58"/>
      <c r="D99" s="59"/>
      <c r="E99" s="60"/>
      <c r="F99" s="61"/>
      <c r="G99" s="61"/>
      <c r="H99" s="61"/>
      <c r="I99" s="61"/>
      <c r="J99" s="62"/>
      <c r="K99" s="28"/>
      <c r="L99" s="69"/>
      <c r="M99" s="29"/>
      <c r="N99" s="71"/>
      <c r="O99" s="35"/>
      <c r="P99" s="16"/>
      <c r="Q99" s="57"/>
      <c r="R99" s="58"/>
      <c r="S99" s="58"/>
      <c r="T99" s="58"/>
      <c r="U99" s="58"/>
      <c r="V99" s="73"/>
      <c r="W99" s="74"/>
      <c r="X99" s="75"/>
      <c r="Y99" s="76"/>
      <c r="Z99" s="74"/>
      <c r="AA99" s="61"/>
      <c r="AB99" s="77"/>
      <c r="AC99" s="35"/>
      <c r="AD99" s="15"/>
      <c r="AE99" s="15"/>
      <c r="AF99" s="15"/>
      <c r="AG99" s="15"/>
      <c r="AH99" s="15"/>
      <c r="AI99" s="15"/>
      <c r="AJ99" s="16"/>
      <c r="AK99" s="32"/>
      <c r="AL99" s="15"/>
      <c r="AM99" s="15"/>
      <c r="AN99" s="16"/>
    </row>
    <row r="100" spans="1:40" x14ac:dyDescent="0.45">
      <c r="A100" s="19">
        <v>88</v>
      </c>
      <c r="B100" s="57"/>
      <c r="C100" s="58"/>
      <c r="D100" s="59"/>
      <c r="E100" s="60"/>
      <c r="F100" s="61"/>
      <c r="G100" s="61"/>
      <c r="H100" s="61"/>
      <c r="I100" s="61"/>
      <c r="J100" s="62"/>
      <c r="K100" s="28"/>
      <c r="L100" s="69"/>
      <c r="M100" s="29"/>
      <c r="N100" s="71"/>
      <c r="O100" s="35"/>
      <c r="P100" s="16"/>
      <c r="Q100" s="57"/>
      <c r="R100" s="58"/>
      <c r="S100" s="58"/>
      <c r="T100" s="58"/>
      <c r="U100" s="58"/>
      <c r="V100" s="73"/>
      <c r="W100" s="74"/>
      <c r="X100" s="75"/>
      <c r="Y100" s="76"/>
      <c r="Z100" s="74"/>
      <c r="AA100" s="61"/>
      <c r="AB100" s="77"/>
      <c r="AC100" s="35"/>
      <c r="AD100" s="15"/>
      <c r="AE100" s="15"/>
      <c r="AF100" s="15"/>
      <c r="AG100" s="15"/>
      <c r="AH100" s="15"/>
      <c r="AI100" s="15"/>
      <c r="AJ100" s="16"/>
      <c r="AK100" s="32"/>
      <c r="AL100" s="15"/>
      <c r="AM100" s="15"/>
      <c r="AN100" s="16"/>
    </row>
    <row r="101" spans="1:40" x14ac:dyDescent="0.45">
      <c r="A101" s="19">
        <v>89</v>
      </c>
      <c r="B101" s="57"/>
      <c r="C101" s="58"/>
      <c r="D101" s="59"/>
      <c r="E101" s="60"/>
      <c r="F101" s="61"/>
      <c r="G101" s="61"/>
      <c r="H101" s="61"/>
      <c r="I101" s="61"/>
      <c r="J101" s="62"/>
      <c r="K101" s="28"/>
      <c r="L101" s="69"/>
      <c r="M101" s="29"/>
      <c r="N101" s="71"/>
      <c r="O101" s="35"/>
      <c r="P101" s="16"/>
      <c r="Q101" s="57"/>
      <c r="R101" s="58"/>
      <c r="S101" s="58"/>
      <c r="T101" s="58"/>
      <c r="U101" s="58"/>
      <c r="V101" s="73"/>
      <c r="W101" s="74"/>
      <c r="X101" s="75"/>
      <c r="Y101" s="76"/>
      <c r="Z101" s="74"/>
      <c r="AA101" s="61"/>
      <c r="AB101" s="77"/>
      <c r="AC101" s="35"/>
      <c r="AD101" s="15"/>
      <c r="AE101" s="15"/>
      <c r="AF101" s="15"/>
      <c r="AG101" s="15"/>
      <c r="AH101" s="15"/>
      <c r="AI101" s="15"/>
      <c r="AJ101" s="16"/>
      <c r="AK101" s="32"/>
      <c r="AL101" s="15"/>
      <c r="AM101" s="15"/>
      <c r="AN101" s="16"/>
    </row>
    <row r="102" spans="1:40" x14ac:dyDescent="0.45">
      <c r="A102" s="19">
        <v>90</v>
      </c>
      <c r="B102" s="57"/>
      <c r="C102" s="58"/>
      <c r="D102" s="59"/>
      <c r="E102" s="60"/>
      <c r="F102" s="61"/>
      <c r="G102" s="61"/>
      <c r="H102" s="61"/>
      <c r="I102" s="61"/>
      <c r="J102" s="62"/>
      <c r="K102" s="28"/>
      <c r="L102" s="69"/>
      <c r="M102" s="29"/>
      <c r="N102" s="71"/>
      <c r="O102" s="35"/>
      <c r="P102" s="16"/>
      <c r="Q102" s="57"/>
      <c r="R102" s="58"/>
      <c r="S102" s="58"/>
      <c r="T102" s="58"/>
      <c r="U102" s="58"/>
      <c r="V102" s="73"/>
      <c r="W102" s="74"/>
      <c r="X102" s="75"/>
      <c r="Y102" s="76"/>
      <c r="Z102" s="74"/>
      <c r="AA102" s="61"/>
      <c r="AB102" s="77"/>
      <c r="AC102" s="35"/>
      <c r="AD102" s="15"/>
      <c r="AE102" s="15"/>
      <c r="AF102" s="15"/>
      <c r="AG102" s="15"/>
      <c r="AH102" s="15"/>
      <c r="AI102" s="15"/>
      <c r="AJ102" s="16"/>
      <c r="AK102" s="32"/>
      <c r="AL102" s="15"/>
      <c r="AM102" s="15"/>
      <c r="AN102" s="16"/>
    </row>
    <row r="103" spans="1:40" x14ac:dyDescent="0.45">
      <c r="A103" s="19">
        <v>91</v>
      </c>
      <c r="B103" s="57"/>
      <c r="C103" s="58"/>
      <c r="D103" s="59"/>
      <c r="E103" s="60"/>
      <c r="F103" s="61"/>
      <c r="G103" s="61"/>
      <c r="H103" s="61"/>
      <c r="I103" s="61"/>
      <c r="J103" s="62"/>
      <c r="K103" s="28"/>
      <c r="L103" s="69"/>
      <c r="M103" s="29"/>
      <c r="N103" s="71"/>
      <c r="O103" s="35"/>
      <c r="P103" s="16"/>
      <c r="Q103" s="57"/>
      <c r="R103" s="58"/>
      <c r="S103" s="58"/>
      <c r="T103" s="58"/>
      <c r="U103" s="58"/>
      <c r="V103" s="73"/>
      <c r="W103" s="74"/>
      <c r="X103" s="75"/>
      <c r="Y103" s="76"/>
      <c r="Z103" s="74"/>
      <c r="AA103" s="61"/>
      <c r="AB103" s="77"/>
      <c r="AC103" s="35"/>
      <c r="AD103" s="15"/>
      <c r="AE103" s="15"/>
      <c r="AF103" s="15"/>
      <c r="AG103" s="15"/>
      <c r="AH103" s="15"/>
      <c r="AI103" s="15"/>
      <c r="AJ103" s="16"/>
      <c r="AK103" s="32"/>
      <c r="AL103" s="15"/>
      <c r="AM103" s="15"/>
      <c r="AN103" s="16"/>
    </row>
    <row r="104" spans="1:40" x14ac:dyDescent="0.45">
      <c r="A104" s="19">
        <v>92</v>
      </c>
      <c r="B104" s="57"/>
      <c r="C104" s="58"/>
      <c r="D104" s="59"/>
      <c r="E104" s="60"/>
      <c r="F104" s="61"/>
      <c r="G104" s="61"/>
      <c r="H104" s="61"/>
      <c r="I104" s="61"/>
      <c r="J104" s="62"/>
      <c r="K104" s="28"/>
      <c r="L104" s="69"/>
      <c r="M104" s="29"/>
      <c r="N104" s="71"/>
      <c r="O104" s="35"/>
      <c r="P104" s="16"/>
      <c r="Q104" s="57"/>
      <c r="R104" s="58"/>
      <c r="S104" s="58"/>
      <c r="T104" s="58"/>
      <c r="U104" s="58"/>
      <c r="V104" s="73"/>
      <c r="W104" s="74"/>
      <c r="X104" s="75"/>
      <c r="Y104" s="76"/>
      <c r="Z104" s="74"/>
      <c r="AA104" s="61"/>
      <c r="AB104" s="77"/>
      <c r="AC104" s="35"/>
      <c r="AD104" s="15"/>
      <c r="AE104" s="15"/>
      <c r="AF104" s="15"/>
      <c r="AG104" s="15"/>
      <c r="AH104" s="15"/>
      <c r="AI104" s="15"/>
      <c r="AJ104" s="16"/>
      <c r="AK104" s="32"/>
      <c r="AL104" s="15"/>
      <c r="AM104" s="15"/>
      <c r="AN104" s="16"/>
    </row>
    <row r="105" spans="1:40" x14ac:dyDescent="0.45">
      <c r="A105" s="19">
        <v>93</v>
      </c>
      <c r="B105" s="57"/>
      <c r="C105" s="58"/>
      <c r="D105" s="59"/>
      <c r="E105" s="60"/>
      <c r="F105" s="61"/>
      <c r="G105" s="61"/>
      <c r="H105" s="61"/>
      <c r="I105" s="61"/>
      <c r="J105" s="62"/>
      <c r="K105" s="28"/>
      <c r="L105" s="69"/>
      <c r="M105" s="29"/>
      <c r="N105" s="71"/>
      <c r="O105" s="35"/>
      <c r="P105" s="16"/>
      <c r="Q105" s="57"/>
      <c r="R105" s="58"/>
      <c r="S105" s="58"/>
      <c r="T105" s="58"/>
      <c r="U105" s="58"/>
      <c r="V105" s="73"/>
      <c r="W105" s="74"/>
      <c r="X105" s="75"/>
      <c r="Y105" s="76"/>
      <c r="Z105" s="74"/>
      <c r="AA105" s="61"/>
      <c r="AB105" s="77"/>
      <c r="AC105" s="35"/>
      <c r="AD105" s="15"/>
      <c r="AE105" s="15"/>
      <c r="AF105" s="15"/>
      <c r="AG105" s="15"/>
      <c r="AH105" s="15"/>
      <c r="AI105" s="15"/>
      <c r="AJ105" s="16"/>
      <c r="AK105" s="32"/>
      <c r="AL105" s="15"/>
      <c r="AM105" s="15"/>
      <c r="AN105" s="16"/>
    </row>
    <row r="106" spans="1:40" x14ac:dyDescent="0.45">
      <c r="A106" s="19">
        <v>94</v>
      </c>
      <c r="B106" s="57"/>
      <c r="C106" s="58"/>
      <c r="D106" s="59"/>
      <c r="E106" s="60"/>
      <c r="F106" s="61"/>
      <c r="G106" s="61"/>
      <c r="H106" s="61"/>
      <c r="I106" s="61"/>
      <c r="J106" s="62"/>
      <c r="K106" s="28"/>
      <c r="L106" s="69"/>
      <c r="M106" s="29"/>
      <c r="N106" s="71"/>
      <c r="O106" s="35"/>
      <c r="P106" s="16"/>
      <c r="Q106" s="57"/>
      <c r="R106" s="58"/>
      <c r="S106" s="58"/>
      <c r="T106" s="58"/>
      <c r="U106" s="58"/>
      <c r="V106" s="73"/>
      <c r="W106" s="74"/>
      <c r="X106" s="75"/>
      <c r="Y106" s="76"/>
      <c r="Z106" s="74"/>
      <c r="AA106" s="61"/>
      <c r="AB106" s="77"/>
      <c r="AC106" s="35"/>
      <c r="AD106" s="15"/>
      <c r="AE106" s="15"/>
      <c r="AF106" s="15"/>
      <c r="AG106" s="15"/>
      <c r="AH106" s="15"/>
      <c r="AI106" s="15"/>
      <c r="AJ106" s="16"/>
      <c r="AK106" s="32"/>
      <c r="AL106" s="15"/>
      <c r="AM106" s="15"/>
      <c r="AN106" s="16"/>
    </row>
    <row r="107" spans="1:40" x14ac:dyDescent="0.45">
      <c r="A107" s="19">
        <v>95</v>
      </c>
      <c r="B107" s="57"/>
      <c r="C107" s="58"/>
      <c r="D107" s="59"/>
      <c r="E107" s="60"/>
      <c r="F107" s="61"/>
      <c r="G107" s="61"/>
      <c r="H107" s="61"/>
      <c r="I107" s="61"/>
      <c r="J107" s="62"/>
      <c r="K107" s="28"/>
      <c r="L107" s="69"/>
      <c r="M107" s="29"/>
      <c r="N107" s="71"/>
      <c r="O107" s="35"/>
      <c r="P107" s="16"/>
      <c r="Q107" s="57"/>
      <c r="R107" s="58"/>
      <c r="S107" s="58"/>
      <c r="T107" s="58"/>
      <c r="U107" s="58"/>
      <c r="V107" s="73"/>
      <c r="W107" s="74"/>
      <c r="X107" s="75"/>
      <c r="Y107" s="76"/>
      <c r="Z107" s="74"/>
      <c r="AA107" s="61"/>
      <c r="AB107" s="77"/>
      <c r="AC107" s="35"/>
      <c r="AD107" s="15"/>
      <c r="AE107" s="15"/>
      <c r="AF107" s="15"/>
      <c r="AG107" s="15"/>
      <c r="AH107" s="15"/>
      <c r="AI107" s="15"/>
      <c r="AJ107" s="16"/>
      <c r="AK107" s="32"/>
      <c r="AL107" s="15"/>
      <c r="AM107" s="15"/>
      <c r="AN107" s="16"/>
    </row>
    <row r="108" spans="1:40" x14ac:dyDescent="0.45">
      <c r="A108" s="19">
        <v>96</v>
      </c>
      <c r="B108" s="57"/>
      <c r="C108" s="58"/>
      <c r="D108" s="59"/>
      <c r="E108" s="60"/>
      <c r="F108" s="61"/>
      <c r="G108" s="61"/>
      <c r="H108" s="61"/>
      <c r="I108" s="61"/>
      <c r="J108" s="62"/>
      <c r="K108" s="28"/>
      <c r="L108" s="69"/>
      <c r="M108" s="29"/>
      <c r="N108" s="71"/>
      <c r="O108" s="35"/>
      <c r="P108" s="16"/>
      <c r="Q108" s="57"/>
      <c r="R108" s="58"/>
      <c r="S108" s="58"/>
      <c r="T108" s="58"/>
      <c r="U108" s="58"/>
      <c r="V108" s="73"/>
      <c r="W108" s="74"/>
      <c r="X108" s="75"/>
      <c r="Y108" s="76"/>
      <c r="Z108" s="74"/>
      <c r="AA108" s="61"/>
      <c r="AB108" s="77"/>
      <c r="AC108" s="35"/>
      <c r="AD108" s="15"/>
      <c r="AE108" s="15"/>
      <c r="AF108" s="15"/>
      <c r="AG108" s="15"/>
      <c r="AH108" s="15"/>
      <c r="AI108" s="15"/>
      <c r="AJ108" s="16"/>
      <c r="AK108" s="32"/>
      <c r="AL108" s="15"/>
      <c r="AM108" s="15"/>
      <c r="AN108" s="16"/>
    </row>
    <row r="109" spans="1:40" x14ac:dyDescent="0.45">
      <c r="A109" s="19">
        <v>97</v>
      </c>
      <c r="B109" s="57"/>
      <c r="C109" s="58"/>
      <c r="D109" s="59"/>
      <c r="E109" s="60"/>
      <c r="F109" s="61"/>
      <c r="G109" s="61"/>
      <c r="H109" s="61"/>
      <c r="I109" s="61"/>
      <c r="J109" s="62"/>
      <c r="K109" s="28"/>
      <c r="L109" s="69"/>
      <c r="M109" s="29"/>
      <c r="N109" s="71"/>
      <c r="O109" s="35"/>
      <c r="P109" s="16"/>
      <c r="Q109" s="57"/>
      <c r="R109" s="58"/>
      <c r="S109" s="58"/>
      <c r="T109" s="58"/>
      <c r="U109" s="58"/>
      <c r="V109" s="73"/>
      <c r="W109" s="74"/>
      <c r="X109" s="75"/>
      <c r="Y109" s="76"/>
      <c r="Z109" s="74"/>
      <c r="AA109" s="61"/>
      <c r="AB109" s="77"/>
      <c r="AC109" s="35"/>
      <c r="AD109" s="15"/>
      <c r="AE109" s="15"/>
      <c r="AF109" s="15"/>
      <c r="AG109" s="15"/>
      <c r="AH109" s="15"/>
      <c r="AI109" s="15"/>
      <c r="AJ109" s="16"/>
      <c r="AK109" s="32"/>
      <c r="AL109" s="15"/>
      <c r="AM109" s="15"/>
      <c r="AN109" s="16"/>
    </row>
    <row r="110" spans="1:40" x14ac:dyDescent="0.45">
      <c r="A110" s="19">
        <v>98</v>
      </c>
      <c r="B110" s="57"/>
      <c r="C110" s="58"/>
      <c r="D110" s="59"/>
      <c r="E110" s="60"/>
      <c r="F110" s="61"/>
      <c r="G110" s="61"/>
      <c r="H110" s="61"/>
      <c r="I110" s="61"/>
      <c r="J110" s="62"/>
      <c r="K110" s="28"/>
      <c r="L110" s="69"/>
      <c r="M110" s="29"/>
      <c r="N110" s="71"/>
      <c r="O110" s="35"/>
      <c r="P110" s="16"/>
      <c r="Q110" s="57"/>
      <c r="R110" s="58"/>
      <c r="S110" s="58"/>
      <c r="T110" s="58"/>
      <c r="U110" s="58"/>
      <c r="V110" s="73"/>
      <c r="W110" s="74"/>
      <c r="X110" s="75"/>
      <c r="Y110" s="76"/>
      <c r="Z110" s="74"/>
      <c r="AA110" s="61"/>
      <c r="AB110" s="77"/>
      <c r="AC110" s="35"/>
      <c r="AD110" s="15"/>
      <c r="AE110" s="15"/>
      <c r="AF110" s="15"/>
      <c r="AG110" s="15"/>
      <c r="AH110" s="15"/>
      <c r="AI110" s="15"/>
      <c r="AJ110" s="16"/>
      <c r="AK110" s="32"/>
      <c r="AL110" s="15"/>
      <c r="AM110" s="15"/>
      <c r="AN110" s="16"/>
    </row>
    <row r="111" spans="1:40" x14ac:dyDescent="0.45">
      <c r="A111" s="19">
        <v>99</v>
      </c>
      <c r="B111" s="57"/>
      <c r="C111" s="58"/>
      <c r="D111" s="59"/>
      <c r="E111" s="60"/>
      <c r="F111" s="61"/>
      <c r="G111" s="61"/>
      <c r="H111" s="61"/>
      <c r="I111" s="61"/>
      <c r="J111" s="62"/>
      <c r="K111" s="28"/>
      <c r="L111" s="69"/>
      <c r="M111" s="29"/>
      <c r="N111" s="71"/>
      <c r="O111" s="35"/>
      <c r="P111" s="16"/>
      <c r="Q111" s="57"/>
      <c r="R111" s="58"/>
      <c r="S111" s="58"/>
      <c r="T111" s="58"/>
      <c r="U111" s="58"/>
      <c r="V111" s="73"/>
      <c r="W111" s="74"/>
      <c r="X111" s="75"/>
      <c r="Y111" s="76"/>
      <c r="Z111" s="74"/>
      <c r="AA111" s="61"/>
      <c r="AB111" s="77"/>
      <c r="AC111" s="35"/>
      <c r="AD111" s="15"/>
      <c r="AE111" s="15"/>
      <c r="AF111" s="15"/>
      <c r="AG111" s="15"/>
      <c r="AH111" s="15"/>
      <c r="AI111" s="15"/>
      <c r="AJ111" s="16"/>
      <c r="AK111" s="32"/>
      <c r="AL111" s="15"/>
      <c r="AM111" s="15"/>
      <c r="AN111" s="16"/>
    </row>
    <row r="112" spans="1:40" x14ac:dyDescent="0.45">
      <c r="A112" s="19">
        <v>100</v>
      </c>
      <c r="B112" s="57"/>
      <c r="C112" s="58"/>
      <c r="D112" s="59"/>
      <c r="E112" s="60"/>
      <c r="F112" s="61"/>
      <c r="G112" s="61"/>
      <c r="H112" s="61"/>
      <c r="I112" s="61"/>
      <c r="J112" s="62"/>
      <c r="K112" s="28"/>
      <c r="L112" s="69"/>
      <c r="M112" s="29"/>
      <c r="N112" s="71"/>
      <c r="O112" s="35"/>
      <c r="P112" s="16"/>
      <c r="Q112" s="57"/>
      <c r="R112" s="58"/>
      <c r="S112" s="58"/>
      <c r="T112" s="58"/>
      <c r="U112" s="58"/>
      <c r="V112" s="73"/>
      <c r="W112" s="74"/>
      <c r="X112" s="75"/>
      <c r="Y112" s="76"/>
      <c r="Z112" s="74"/>
      <c r="AA112" s="61"/>
      <c r="AB112" s="77"/>
      <c r="AC112" s="35"/>
      <c r="AD112" s="15"/>
      <c r="AE112" s="15"/>
      <c r="AF112" s="15"/>
      <c r="AG112" s="15"/>
      <c r="AH112" s="15"/>
      <c r="AI112" s="15"/>
      <c r="AJ112" s="16"/>
      <c r="AK112" s="32"/>
      <c r="AL112" s="15"/>
      <c r="AM112" s="15"/>
      <c r="AN112" s="16"/>
    </row>
    <row r="113" spans="1:40" x14ac:dyDescent="0.45">
      <c r="A113" s="19">
        <v>101</v>
      </c>
      <c r="B113" s="57"/>
      <c r="C113" s="58"/>
      <c r="D113" s="59"/>
      <c r="E113" s="60"/>
      <c r="F113" s="61"/>
      <c r="G113" s="61"/>
      <c r="H113" s="61"/>
      <c r="I113" s="61"/>
      <c r="J113" s="62"/>
      <c r="K113" s="28"/>
      <c r="L113" s="69"/>
      <c r="M113" s="29"/>
      <c r="N113" s="71"/>
      <c r="O113" s="35"/>
      <c r="P113" s="16"/>
      <c r="Q113" s="57"/>
      <c r="R113" s="58"/>
      <c r="S113" s="58"/>
      <c r="T113" s="58"/>
      <c r="U113" s="58"/>
      <c r="V113" s="73"/>
      <c r="W113" s="74"/>
      <c r="X113" s="75"/>
      <c r="Y113" s="76"/>
      <c r="Z113" s="74"/>
      <c r="AA113" s="61"/>
      <c r="AB113" s="77"/>
      <c r="AC113" s="35"/>
      <c r="AD113" s="15"/>
      <c r="AE113" s="15"/>
      <c r="AF113" s="15"/>
      <c r="AG113" s="15"/>
      <c r="AH113" s="15"/>
      <c r="AI113" s="15"/>
      <c r="AJ113" s="16"/>
      <c r="AK113" s="32"/>
      <c r="AL113" s="15"/>
      <c r="AM113" s="15"/>
      <c r="AN113" s="16"/>
    </row>
    <row r="114" spans="1:40" x14ac:dyDescent="0.45">
      <c r="A114" s="19">
        <v>102</v>
      </c>
      <c r="B114" s="57"/>
      <c r="C114" s="58"/>
      <c r="D114" s="59"/>
      <c r="E114" s="60"/>
      <c r="F114" s="61"/>
      <c r="G114" s="61"/>
      <c r="H114" s="61"/>
      <c r="I114" s="61"/>
      <c r="J114" s="62"/>
      <c r="K114" s="28"/>
      <c r="L114" s="69"/>
      <c r="M114" s="29"/>
      <c r="N114" s="71"/>
      <c r="O114" s="35"/>
      <c r="P114" s="16"/>
      <c r="Q114" s="57"/>
      <c r="R114" s="58"/>
      <c r="S114" s="58"/>
      <c r="T114" s="58"/>
      <c r="U114" s="58"/>
      <c r="V114" s="73"/>
      <c r="W114" s="74"/>
      <c r="X114" s="75"/>
      <c r="Y114" s="76"/>
      <c r="Z114" s="74"/>
      <c r="AA114" s="61"/>
      <c r="AB114" s="77"/>
      <c r="AC114" s="35"/>
      <c r="AD114" s="15"/>
      <c r="AE114" s="15"/>
      <c r="AF114" s="15"/>
      <c r="AG114" s="15"/>
      <c r="AH114" s="15"/>
      <c r="AI114" s="15"/>
      <c r="AJ114" s="16"/>
      <c r="AK114" s="32"/>
      <c r="AL114" s="15"/>
      <c r="AM114" s="15"/>
      <c r="AN114" s="16"/>
    </row>
    <row r="115" spans="1:40" x14ac:dyDescent="0.45">
      <c r="A115" s="19">
        <v>103</v>
      </c>
      <c r="B115" s="57"/>
      <c r="C115" s="58"/>
      <c r="D115" s="59"/>
      <c r="E115" s="60"/>
      <c r="F115" s="61"/>
      <c r="G115" s="61"/>
      <c r="H115" s="61"/>
      <c r="I115" s="61"/>
      <c r="J115" s="62"/>
      <c r="K115" s="28"/>
      <c r="L115" s="69"/>
      <c r="M115" s="29"/>
      <c r="N115" s="71"/>
      <c r="O115" s="35"/>
      <c r="P115" s="16"/>
      <c r="Q115" s="57"/>
      <c r="R115" s="58"/>
      <c r="S115" s="58"/>
      <c r="T115" s="58"/>
      <c r="U115" s="58"/>
      <c r="V115" s="73"/>
      <c r="W115" s="74"/>
      <c r="X115" s="75"/>
      <c r="Y115" s="76"/>
      <c r="Z115" s="74"/>
      <c r="AA115" s="61"/>
      <c r="AB115" s="77"/>
      <c r="AC115" s="35"/>
      <c r="AD115" s="15"/>
      <c r="AE115" s="15"/>
      <c r="AF115" s="15"/>
      <c r="AG115" s="15"/>
      <c r="AH115" s="15"/>
      <c r="AI115" s="15"/>
      <c r="AJ115" s="16"/>
      <c r="AK115" s="32"/>
      <c r="AL115" s="15"/>
      <c r="AM115" s="15"/>
      <c r="AN115" s="16"/>
    </row>
    <row r="116" spans="1:40" x14ac:dyDescent="0.45">
      <c r="A116" s="19">
        <v>104</v>
      </c>
      <c r="B116" s="57"/>
      <c r="C116" s="58"/>
      <c r="D116" s="59"/>
      <c r="E116" s="60"/>
      <c r="F116" s="61"/>
      <c r="G116" s="61"/>
      <c r="H116" s="61"/>
      <c r="I116" s="61"/>
      <c r="J116" s="62"/>
      <c r="K116" s="28"/>
      <c r="L116" s="69"/>
      <c r="M116" s="29"/>
      <c r="N116" s="71"/>
      <c r="O116" s="35"/>
      <c r="P116" s="16"/>
      <c r="Q116" s="57"/>
      <c r="R116" s="58"/>
      <c r="S116" s="58"/>
      <c r="T116" s="58"/>
      <c r="U116" s="58"/>
      <c r="V116" s="73"/>
      <c r="W116" s="74"/>
      <c r="X116" s="75"/>
      <c r="Y116" s="76"/>
      <c r="Z116" s="74"/>
      <c r="AA116" s="61"/>
      <c r="AB116" s="77"/>
      <c r="AC116" s="35"/>
      <c r="AD116" s="15"/>
      <c r="AE116" s="15"/>
      <c r="AF116" s="15"/>
      <c r="AG116" s="15"/>
      <c r="AH116" s="15"/>
      <c r="AI116" s="15"/>
      <c r="AJ116" s="16"/>
      <c r="AK116" s="32"/>
      <c r="AL116" s="15"/>
      <c r="AM116" s="15"/>
      <c r="AN116" s="16"/>
    </row>
    <row r="117" spans="1:40" x14ac:dyDescent="0.45">
      <c r="A117" s="19">
        <v>105</v>
      </c>
      <c r="B117" s="57"/>
      <c r="C117" s="58"/>
      <c r="D117" s="59"/>
      <c r="E117" s="60"/>
      <c r="F117" s="61"/>
      <c r="G117" s="61"/>
      <c r="H117" s="61"/>
      <c r="I117" s="61"/>
      <c r="J117" s="62"/>
      <c r="K117" s="28"/>
      <c r="L117" s="69"/>
      <c r="M117" s="29"/>
      <c r="N117" s="71"/>
      <c r="O117" s="35"/>
      <c r="P117" s="16"/>
      <c r="Q117" s="57"/>
      <c r="R117" s="58"/>
      <c r="S117" s="58"/>
      <c r="T117" s="58"/>
      <c r="U117" s="58"/>
      <c r="V117" s="73"/>
      <c r="W117" s="74"/>
      <c r="X117" s="75"/>
      <c r="Y117" s="76"/>
      <c r="Z117" s="74"/>
      <c r="AA117" s="61"/>
      <c r="AB117" s="77"/>
      <c r="AC117" s="35"/>
      <c r="AD117" s="15"/>
      <c r="AE117" s="15"/>
      <c r="AF117" s="15"/>
      <c r="AG117" s="15"/>
      <c r="AH117" s="15"/>
      <c r="AI117" s="15"/>
      <c r="AJ117" s="16"/>
      <c r="AK117" s="32"/>
      <c r="AL117" s="15"/>
      <c r="AM117" s="15"/>
      <c r="AN117" s="16"/>
    </row>
    <row r="118" spans="1:40" x14ac:dyDescent="0.45">
      <c r="A118" s="19">
        <v>106</v>
      </c>
      <c r="B118" s="57"/>
      <c r="C118" s="58"/>
      <c r="D118" s="59"/>
      <c r="E118" s="60"/>
      <c r="F118" s="61"/>
      <c r="G118" s="61"/>
      <c r="H118" s="61"/>
      <c r="I118" s="61"/>
      <c r="J118" s="62"/>
      <c r="K118" s="28"/>
      <c r="L118" s="69"/>
      <c r="M118" s="29"/>
      <c r="N118" s="71"/>
      <c r="O118" s="35"/>
      <c r="P118" s="16"/>
      <c r="Q118" s="57"/>
      <c r="R118" s="58"/>
      <c r="S118" s="58"/>
      <c r="T118" s="58"/>
      <c r="U118" s="58"/>
      <c r="V118" s="73"/>
      <c r="W118" s="74"/>
      <c r="X118" s="75"/>
      <c r="Y118" s="76"/>
      <c r="Z118" s="74"/>
      <c r="AA118" s="61"/>
      <c r="AB118" s="77"/>
      <c r="AC118" s="35"/>
      <c r="AD118" s="15"/>
      <c r="AE118" s="15"/>
      <c r="AF118" s="15"/>
      <c r="AG118" s="15"/>
      <c r="AH118" s="15"/>
      <c r="AI118" s="15"/>
      <c r="AJ118" s="16"/>
      <c r="AK118" s="32"/>
      <c r="AL118" s="15"/>
      <c r="AM118" s="15"/>
      <c r="AN118" s="16"/>
    </row>
    <row r="119" spans="1:40" x14ac:dyDescent="0.45">
      <c r="A119" s="19">
        <v>107</v>
      </c>
      <c r="B119" s="57"/>
      <c r="C119" s="58"/>
      <c r="D119" s="59"/>
      <c r="E119" s="60"/>
      <c r="F119" s="61"/>
      <c r="G119" s="61"/>
      <c r="H119" s="61"/>
      <c r="I119" s="61"/>
      <c r="J119" s="62"/>
      <c r="K119" s="28"/>
      <c r="L119" s="69"/>
      <c r="M119" s="29"/>
      <c r="N119" s="71"/>
      <c r="O119" s="35"/>
      <c r="P119" s="16"/>
      <c r="Q119" s="57"/>
      <c r="R119" s="58"/>
      <c r="S119" s="58"/>
      <c r="T119" s="58"/>
      <c r="U119" s="58"/>
      <c r="V119" s="73"/>
      <c r="W119" s="74"/>
      <c r="X119" s="75"/>
      <c r="Y119" s="76"/>
      <c r="Z119" s="74"/>
      <c r="AA119" s="61"/>
      <c r="AB119" s="77"/>
      <c r="AC119" s="35"/>
      <c r="AD119" s="15"/>
      <c r="AE119" s="15"/>
      <c r="AF119" s="15"/>
      <c r="AG119" s="15"/>
      <c r="AH119" s="15"/>
      <c r="AI119" s="15"/>
      <c r="AJ119" s="16"/>
      <c r="AK119" s="32"/>
      <c r="AL119" s="15"/>
      <c r="AM119" s="15"/>
      <c r="AN119" s="16"/>
    </row>
    <row r="120" spans="1:40" x14ac:dyDescent="0.45">
      <c r="A120" s="19">
        <v>108</v>
      </c>
      <c r="B120" s="57"/>
      <c r="C120" s="58"/>
      <c r="D120" s="59"/>
      <c r="E120" s="60"/>
      <c r="F120" s="61"/>
      <c r="G120" s="61"/>
      <c r="H120" s="61"/>
      <c r="I120" s="61"/>
      <c r="J120" s="62"/>
      <c r="K120" s="28"/>
      <c r="L120" s="69"/>
      <c r="M120" s="29"/>
      <c r="N120" s="71"/>
      <c r="O120" s="35"/>
      <c r="P120" s="16"/>
      <c r="Q120" s="57"/>
      <c r="R120" s="58"/>
      <c r="S120" s="58"/>
      <c r="T120" s="58"/>
      <c r="U120" s="58"/>
      <c r="V120" s="73"/>
      <c r="W120" s="74"/>
      <c r="X120" s="75"/>
      <c r="Y120" s="76"/>
      <c r="Z120" s="74"/>
      <c r="AA120" s="61"/>
      <c r="AB120" s="77"/>
      <c r="AC120" s="35"/>
      <c r="AD120" s="15"/>
      <c r="AE120" s="15"/>
      <c r="AF120" s="15"/>
      <c r="AG120" s="15"/>
      <c r="AH120" s="15"/>
      <c r="AI120" s="15"/>
      <c r="AJ120" s="16"/>
      <c r="AK120" s="32"/>
      <c r="AL120" s="15"/>
      <c r="AM120" s="15"/>
      <c r="AN120" s="16"/>
    </row>
    <row r="121" spans="1:40" x14ac:dyDescent="0.45">
      <c r="A121" s="19">
        <v>109</v>
      </c>
      <c r="B121" s="57"/>
      <c r="C121" s="58"/>
      <c r="D121" s="59"/>
      <c r="E121" s="60"/>
      <c r="F121" s="61"/>
      <c r="G121" s="61"/>
      <c r="H121" s="61"/>
      <c r="I121" s="61"/>
      <c r="J121" s="62"/>
      <c r="K121" s="28"/>
      <c r="L121" s="69"/>
      <c r="M121" s="29"/>
      <c r="N121" s="71"/>
      <c r="O121" s="35"/>
      <c r="P121" s="16"/>
      <c r="Q121" s="57"/>
      <c r="R121" s="58"/>
      <c r="S121" s="58"/>
      <c r="T121" s="58"/>
      <c r="U121" s="58"/>
      <c r="V121" s="73"/>
      <c r="W121" s="74"/>
      <c r="X121" s="75"/>
      <c r="Y121" s="76"/>
      <c r="Z121" s="74"/>
      <c r="AA121" s="61"/>
      <c r="AB121" s="77"/>
      <c r="AC121" s="35"/>
      <c r="AD121" s="15"/>
      <c r="AE121" s="15"/>
      <c r="AF121" s="15"/>
      <c r="AG121" s="15"/>
      <c r="AH121" s="15"/>
      <c r="AI121" s="15"/>
      <c r="AJ121" s="16"/>
      <c r="AK121" s="32"/>
      <c r="AL121" s="15"/>
      <c r="AM121" s="15"/>
      <c r="AN121" s="16"/>
    </row>
    <row r="122" spans="1:40" x14ac:dyDescent="0.45">
      <c r="A122" s="19">
        <v>110</v>
      </c>
      <c r="B122" s="57"/>
      <c r="C122" s="58"/>
      <c r="D122" s="59"/>
      <c r="E122" s="60"/>
      <c r="F122" s="61"/>
      <c r="G122" s="61"/>
      <c r="H122" s="61"/>
      <c r="I122" s="61"/>
      <c r="J122" s="62"/>
      <c r="K122" s="28"/>
      <c r="L122" s="69"/>
      <c r="M122" s="29"/>
      <c r="N122" s="71"/>
      <c r="O122" s="35"/>
      <c r="P122" s="16"/>
      <c r="Q122" s="57"/>
      <c r="R122" s="58"/>
      <c r="S122" s="58"/>
      <c r="T122" s="58"/>
      <c r="U122" s="58"/>
      <c r="V122" s="73"/>
      <c r="W122" s="74"/>
      <c r="X122" s="75"/>
      <c r="Y122" s="76"/>
      <c r="Z122" s="74"/>
      <c r="AA122" s="61"/>
      <c r="AB122" s="77"/>
      <c r="AC122" s="35"/>
      <c r="AD122" s="15"/>
      <c r="AE122" s="15"/>
      <c r="AF122" s="15"/>
      <c r="AG122" s="15"/>
      <c r="AH122" s="15"/>
      <c r="AI122" s="15"/>
      <c r="AJ122" s="16"/>
      <c r="AK122" s="32"/>
      <c r="AL122" s="15"/>
      <c r="AM122" s="15"/>
      <c r="AN122" s="16"/>
    </row>
    <row r="123" spans="1:40" x14ac:dyDescent="0.45">
      <c r="A123" s="19">
        <v>111</v>
      </c>
      <c r="B123" s="57"/>
      <c r="C123" s="58"/>
      <c r="D123" s="59"/>
      <c r="E123" s="60"/>
      <c r="F123" s="61"/>
      <c r="G123" s="61"/>
      <c r="H123" s="61"/>
      <c r="I123" s="61"/>
      <c r="J123" s="62"/>
      <c r="K123" s="28"/>
      <c r="L123" s="69"/>
      <c r="M123" s="29"/>
      <c r="N123" s="71"/>
      <c r="O123" s="35"/>
      <c r="P123" s="16"/>
      <c r="Q123" s="57"/>
      <c r="R123" s="58"/>
      <c r="S123" s="58"/>
      <c r="T123" s="58"/>
      <c r="U123" s="58"/>
      <c r="V123" s="73"/>
      <c r="W123" s="74"/>
      <c r="X123" s="75"/>
      <c r="Y123" s="76"/>
      <c r="Z123" s="74"/>
      <c r="AA123" s="61"/>
      <c r="AB123" s="77"/>
      <c r="AC123" s="35"/>
      <c r="AD123" s="15"/>
      <c r="AE123" s="15"/>
      <c r="AF123" s="15"/>
      <c r="AG123" s="15"/>
      <c r="AH123" s="15"/>
      <c r="AI123" s="15"/>
      <c r="AJ123" s="16"/>
      <c r="AK123" s="32"/>
      <c r="AL123" s="15"/>
      <c r="AM123" s="15"/>
      <c r="AN123" s="16"/>
    </row>
    <row r="124" spans="1:40" x14ac:dyDescent="0.45">
      <c r="A124" s="19">
        <v>112</v>
      </c>
      <c r="B124" s="57"/>
      <c r="C124" s="58"/>
      <c r="D124" s="59"/>
      <c r="E124" s="60"/>
      <c r="F124" s="61"/>
      <c r="G124" s="61"/>
      <c r="H124" s="61"/>
      <c r="I124" s="61"/>
      <c r="J124" s="62"/>
      <c r="K124" s="28"/>
      <c r="L124" s="69"/>
      <c r="M124" s="29"/>
      <c r="N124" s="71"/>
      <c r="O124" s="35"/>
      <c r="P124" s="16"/>
      <c r="Q124" s="57"/>
      <c r="R124" s="58"/>
      <c r="S124" s="58"/>
      <c r="T124" s="58"/>
      <c r="U124" s="58"/>
      <c r="V124" s="73"/>
      <c r="W124" s="74"/>
      <c r="X124" s="75"/>
      <c r="Y124" s="76"/>
      <c r="Z124" s="74"/>
      <c r="AA124" s="61"/>
      <c r="AB124" s="77"/>
      <c r="AC124" s="35"/>
      <c r="AD124" s="15"/>
      <c r="AE124" s="15"/>
      <c r="AF124" s="15"/>
      <c r="AG124" s="15"/>
      <c r="AH124" s="15"/>
      <c r="AI124" s="15"/>
      <c r="AJ124" s="16"/>
      <c r="AK124" s="32"/>
      <c r="AL124" s="15"/>
      <c r="AM124" s="15"/>
      <c r="AN124" s="16"/>
    </row>
    <row r="125" spans="1:40" x14ac:dyDescent="0.45">
      <c r="A125" s="19">
        <v>113</v>
      </c>
      <c r="B125" s="57"/>
      <c r="C125" s="58"/>
      <c r="D125" s="59"/>
      <c r="E125" s="60"/>
      <c r="F125" s="61"/>
      <c r="G125" s="61"/>
      <c r="H125" s="61"/>
      <c r="I125" s="61"/>
      <c r="J125" s="62"/>
      <c r="K125" s="28"/>
      <c r="L125" s="69"/>
      <c r="M125" s="29"/>
      <c r="N125" s="71"/>
      <c r="O125" s="35"/>
      <c r="P125" s="16"/>
      <c r="Q125" s="57"/>
      <c r="R125" s="58"/>
      <c r="S125" s="58"/>
      <c r="T125" s="58"/>
      <c r="U125" s="58"/>
      <c r="V125" s="73"/>
      <c r="W125" s="74"/>
      <c r="X125" s="75"/>
      <c r="Y125" s="76"/>
      <c r="Z125" s="74"/>
      <c r="AA125" s="61"/>
      <c r="AB125" s="77"/>
      <c r="AC125" s="35"/>
      <c r="AD125" s="15"/>
      <c r="AE125" s="15"/>
      <c r="AF125" s="15"/>
      <c r="AG125" s="15"/>
      <c r="AH125" s="15"/>
      <c r="AI125" s="15"/>
      <c r="AJ125" s="16"/>
      <c r="AK125" s="32"/>
      <c r="AL125" s="15"/>
      <c r="AM125" s="15"/>
      <c r="AN125" s="16"/>
    </row>
    <row r="126" spans="1:40" x14ac:dyDescent="0.45">
      <c r="A126" s="19">
        <v>114</v>
      </c>
      <c r="B126" s="57"/>
      <c r="C126" s="58"/>
      <c r="D126" s="59"/>
      <c r="E126" s="60"/>
      <c r="F126" s="61"/>
      <c r="G126" s="61"/>
      <c r="H126" s="61"/>
      <c r="I126" s="61"/>
      <c r="J126" s="62"/>
      <c r="K126" s="28"/>
      <c r="L126" s="69"/>
      <c r="M126" s="29"/>
      <c r="N126" s="71"/>
      <c r="O126" s="35"/>
      <c r="P126" s="16"/>
      <c r="Q126" s="57"/>
      <c r="R126" s="58"/>
      <c r="S126" s="58"/>
      <c r="T126" s="58"/>
      <c r="U126" s="58"/>
      <c r="V126" s="73"/>
      <c r="W126" s="74"/>
      <c r="X126" s="75"/>
      <c r="Y126" s="76"/>
      <c r="Z126" s="74"/>
      <c r="AA126" s="73"/>
      <c r="AB126" s="77"/>
      <c r="AC126" s="35"/>
      <c r="AD126" s="15"/>
      <c r="AE126" s="15"/>
      <c r="AF126" s="15"/>
      <c r="AG126" s="15"/>
      <c r="AH126" s="15"/>
      <c r="AI126" s="15"/>
      <c r="AJ126" s="16"/>
      <c r="AK126" s="32"/>
      <c r="AL126" s="15"/>
      <c r="AM126" s="15"/>
      <c r="AN126" s="16"/>
    </row>
    <row r="127" spans="1:40" x14ac:dyDescent="0.45">
      <c r="A127" s="19">
        <v>115</v>
      </c>
      <c r="B127" s="57"/>
      <c r="C127" s="58"/>
      <c r="D127" s="59"/>
      <c r="E127" s="60"/>
      <c r="F127" s="61"/>
      <c r="G127" s="61"/>
      <c r="H127" s="61"/>
      <c r="I127" s="61"/>
      <c r="J127" s="62"/>
      <c r="K127" s="28"/>
      <c r="L127" s="69"/>
      <c r="M127" s="29"/>
      <c r="N127" s="71"/>
      <c r="O127" s="35"/>
      <c r="P127" s="16"/>
      <c r="Q127" s="57"/>
      <c r="R127" s="58"/>
      <c r="S127" s="58"/>
      <c r="T127" s="58"/>
      <c r="U127" s="58"/>
      <c r="V127" s="73"/>
      <c r="W127" s="74"/>
      <c r="X127" s="75"/>
      <c r="Y127" s="76"/>
      <c r="Z127" s="74"/>
      <c r="AA127" s="73"/>
      <c r="AB127" s="77"/>
      <c r="AC127" s="35"/>
      <c r="AD127" s="15"/>
      <c r="AE127" s="15"/>
      <c r="AF127" s="15"/>
      <c r="AG127" s="15"/>
      <c r="AH127" s="15"/>
      <c r="AI127" s="15"/>
      <c r="AJ127" s="16"/>
      <c r="AK127" s="32"/>
      <c r="AL127" s="15"/>
      <c r="AM127" s="15"/>
      <c r="AN127" s="16"/>
    </row>
    <row r="128" spans="1:40" x14ac:dyDescent="0.45">
      <c r="A128" s="19">
        <v>116</v>
      </c>
      <c r="B128" s="57"/>
      <c r="C128" s="58"/>
      <c r="D128" s="59"/>
      <c r="E128" s="60"/>
      <c r="F128" s="61"/>
      <c r="G128" s="61"/>
      <c r="H128" s="61"/>
      <c r="I128" s="61"/>
      <c r="J128" s="62"/>
      <c r="K128" s="28"/>
      <c r="L128" s="69"/>
      <c r="M128" s="29"/>
      <c r="N128" s="71"/>
      <c r="O128" s="35"/>
      <c r="P128" s="16"/>
      <c r="Q128" s="57"/>
      <c r="R128" s="58"/>
      <c r="S128" s="58"/>
      <c r="T128" s="58"/>
      <c r="U128" s="58"/>
      <c r="V128" s="73"/>
      <c r="W128" s="74"/>
      <c r="X128" s="75"/>
      <c r="Y128" s="76"/>
      <c r="Z128" s="74"/>
      <c r="AA128" s="73"/>
      <c r="AB128" s="77"/>
      <c r="AC128" s="35"/>
      <c r="AD128" s="15"/>
      <c r="AE128" s="15"/>
      <c r="AF128" s="15"/>
      <c r="AG128" s="15"/>
      <c r="AH128" s="15"/>
      <c r="AI128" s="15"/>
      <c r="AJ128" s="16"/>
      <c r="AK128" s="32"/>
      <c r="AL128" s="15"/>
      <c r="AM128" s="15"/>
      <c r="AN128" s="16"/>
    </row>
    <row r="129" spans="1:40" x14ac:dyDescent="0.45">
      <c r="A129" s="19">
        <v>117</v>
      </c>
      <c r="B129" s="57"/>
      <c r="C129" s="58"/>
      <c r="D129" s="59"/>
      <c r="E129" s="60"/>
      <c r="F129" s="61"/>
      <c r="G129" s="61"/>
      <c r="H129" s="61"/>
      <c r="I129" s="61"/>
      <c r="J129" s="62"/>
      <c r="K129" s="28"/>
      <c r="L129" s="69"/>
      <c r="M129" s="29"/>
      <c r="N129" s="71"/>
      <c r="O129" s="35"/>
      <c r="P129" s="16"/>
      <c r="Q129" s="57"/>
      <c r="R129" s="58"/>
      <c r="S129" s="58"/>
      <c r="T129" s="58"/>
      <c r="U129" s="58"/>
      <c r="V129" s="73"/>
      <c r="W129" s="74"/>
      <c r="X129" s="75"/>
      <c r="Y129" s="76"/>
      <c r="Z129" s="74"/>
      <c r="AA129" s="73"/>
      <c r="AB129" s="77"/>
      <c r="AC129" s="35"/>
      <c r="AD129" s="15"/>
      <c r="AE129" s="15"/>
      <c r="AF129" s="15"/>
      <c r="AG129" s="15"/>
      <c r="AH129" s="15"/>
      <c r="AI129" s="15"/>
      <c r="AJ129" s="16"/>
      <c r="AK129" s="32"/>
      <c r="AL129" s="15"/>
      <c r="AM129" s="15"/>
      <c r="AN129" s="16"/>
    </row>
    <row r="130" spans="1:40" x14ac:dyDescent="0.45">
      <c r="A130" s="19">
        <v>118</v>
      </c>
      <c r="B130" s="57"/>
      <c r="C130" s="58"/>
      <c r="D130" s="59"/>
      <c r="E130" s="60"/>
      <c r="F130" s="61"/>
      <c r="G130" s="61"/>
      <c r="H130" s="61"/>
      <c r="I130" s="61"/>
      <c r="J130" s="62"/>
      <c r="K130" s="28"/>
      <c r="L130" s="69"/>
      <c r="M130" s="29"/>
      <c r="N130" s="71"/>
      <c r="O130" s="35"/>
      <c r="P130" s="16"/>
      <c r="Q130" s="57"/>
      <c r="R130" s="58"/>
      <c r="S130" s="58"/>
      <c r="T130" s="58"/>
      <c r="U130" s="58"/>
      <c r="V130" s="73"/>
      <c r="W130" s="74"/>
      <c r="X130" s="75"/>
      <c r="Y130" s="76"/>
      <c r="Z130" s="74"/>
      <c r="AA130" s="73"/>
      <c r="AB130" s="77"/>
      <c r="AC130" s="35"/>
      <c r="AD130" s="15"/>
      <c r="AE130" s="15"/>
      <c r="AF130" s="15"/>
      <c r="AG130" s="15"/>
      <c r="AH130" s="15"/>
      <c r="AI130" s="15"/>
      <c r="AJ130" s="16"/>
      <c r="AK130" s="32"/>
      <c r="AL130" s="15"/>
      <c r="AM130" s="15"/>
      <c r="AN130" s="16"/>
    </row>
    <row r="131" spans="1:40" x14ac:dyDescent="0.45">
      <c r="A131" s="19">
        <v>119</v>
      </c>
      <c r="B131" s="57"/>
      <c r="C131" s="58"/>
      <c r="D131" s="59"/>
      <c r="E131" s="60"/>
      <c r="F131" s="61"/>
      <c r="G131" s="61"/>
      <c r="H131" s="61"/>
      <c r="I131" s="61"/>
      <c r="J131" s="62"/>
      <c r="K131" s="28"/>
      <c r="L131" s="69"/>
      <c r="M131" s="29"/>
      <c r="N131" s="71"/>
      <c r="O131" s="35"/>
      <c r="P131" s="16"/>
      <c r="Q131" s="57"/>
      <c r="R131" s="58"/>
      <c r="S131" s="58"/>
      <c r="T131" s="58"/>
      <c r="U131" s="58"/>
      <c r="V131" s="73"/>
      <c r="W131" s="74"/>
      <c r="X131" s="75"/>
      <c r="Y131" s="76"/>
      <c r="Z131" s="74"/>
      <c r="AA131" s="73"/>
      <c r="AB131" s="77"/>
      <c r="AC131" s="35"/>
      <c r="AD131" s="15"/>
      <c r="AE131" s="15"/>
      <c r="AF131" s="15"/>
      <c r="AG131" s="15"/>
      <c r="AH131" s="15"/>
      <c r="AI131" s="15"/>
      <c r="AJ131" s="16"/>
      <c r="AK131" s="32"/>
      <c r="AL131" s="15"/>
      <c r="AM131" s="15"/>
      <c r="AN131" s="16"/>
    </row>
    <row r="132" spans="1:40" x14ac:dyDescent="0.45">
      <c r="A132" s="19">
        <v>120</v>
      </c>
      <c r="B132" s="57"/>
      <c r="C132" s="58"/>
      <c r="D132" s="59"/>
      <c r="E132" s="60"/>
      <c r="F132" s="61"/>
      <c r="G132" s="61"/>
      <c r="H132" s="61"/>
      <c r="I132" s="61"/>
      <c r="J132" s="62"/>
      <c r="K132" s="28"/>
      <c r="L132" s="69"/>
      <c r="M132" s="29"/>
      <c r="N132" s="71"/>
      <c r="O132" s="35"/>
      <c r="P132" s="16"/>
      <c r="Q132" s="57"/>
      <c r="R132" s="58"/>
      <c r="S132" s="58"/>
      <c r="T132" s="58"/>
      <c r="U132" s="58"/>
      <c r="V132" s="73"/>
      <c r="W132" s="74"/>
      <c r="X132" s="75"/>
      <c r="Y132" s="76"/>
      <c r="Z132" s="74"/>
      <c r="AA132" s="73"/>
      <c r="AB132" s="77"/>
      <c r="AC132" s="35"/>
      <c r="AD132" s="15"/>
      <c r="AE132" s="15"/>
      <c r="AF132" s="15"/>
      <c r="AG132" s="15"/>
      <c r="AH132" s="15"/>
      <c r="AI132" s="15"/>
      <c r="AJ132" s="16"/>
      <c r="AK132" s="32"/>
      <c r="AL132" s="15"/>
      <c r="AM132" s="15"/>
      <c r="AN132" s="16"/>
    </row>
    <row r="133" spans="1:40" x14ac:dyDescent="0.45">
      <c r="A133" s="19">
        <v>121</v>
      </c>
      <c r="B133" s="57"/>
      <c r="C133" s="58"/>
      <c r="D133" s="59"/>
      <c r="E133" s="60"/>
      <c r="F133" s="61"/>
      <c r="G133" s="61"/>
      <c r="H133" s="61"/>
      <c r="I133" s="61"/>
      <c r="J133" s="62"/>
      <c r="K133" s="28"/>
      <c r="L133" s="69"/>
      <c r="M133" s="29"/>
      <c r="N133" s="71"/>
      <c r="O133" s="35"/>
      <c r="P133" s="16"/>
      <c r="Q133" s="57"/>
      <c r="R133" s="58"/>
      <c r="S133" s="58"/>
      <c r="T133" s="58"/>
      <c r="U133" s="58"/>
      <c r="V133" s="73"/>
      <c r="W133" s="74"/>
      <c r="X133" s="75"/>
      <c r="Y133" s="76"/>
      <c r="Z133" s="74"/>
      <c r="AA133" s="73"/>
      <c r="AB133" s="77"/>
      <c r="AC133" s="35"/>
      <c r="AD133" s="15"/>
      <c r="AE133" s="15"/>
      <c r="AF133" s="15"/>
      <c r="AG133" s="15"/>
      <c r="AH133" s="15"/>
      <c r="AI133" s="15"/>
      <c r="AJ133" s="16"/>
      <c r="AK133" s="32"/>
      <c r="AL133" s="15"/>
      <c r="AM133" s="15"/>
      <c r="AN133" s="16"/>
    </row>
    <row r="134" spans="1:40" x14ac:dyDescent="0.45">
      <c r="A134" s="19">
        <v>122</v>
      </c>
      <c r="B134" s="57"/>
      <c r="C134" s="58"/>
      <c r="D134" s="59"/>
      <c r="E134" s="60"/>
      <c r="F134" s="61"/>
      <c r="G134" s="61"/>
      <c r="H134" s="61"/>
      <c r="I134" s="61"/>
      <c r="J134" s="62"/>
      <c r="K134" s="28"/>
      <c r="L134" s="69"/>
      <c r="M134" s="29"/>
      <c r="N134" s="71"/>
      <c r="O134" s="35"/>
      <c r="P134" s="16"/>
      <c r="Q134" s="57"/>
      <c r="R134" s="58"/>
      <c r="S134" s="58"/>
      <c r="T134" s="58"/>
      <c r="U134" s="58"/>
      <c r="V134" s="73"/>
      <c r="W134" s="74"/>
      <c r="X134" s="75"/>
      <c r="Y134" s="76"/>
      <c r="Z134" s="74"/>
      <c r="AA134" s="73"/>
      <c r="AB134" s="77"/>
      <c r="AC134" s="35"/>
      <c r="AD134" s="15"/>
      <c r="AE134" s="15"/>
      <c r="AF134" s="15"/>
      <c r="AG134" s="15"/>
      <c r="AH134" s="15"/>
      <c r="AI134" s="15"/>
      <c r="AJ134" s="16"/>
      <c r="AK134" s="32"/>
      <c r="AL134" s="15"/>
      <c r="AM134" s="15"/>
      <c r="AN134" s="16"/>
    </row>
    <row r="135" spans="1:40" x14ac:dyDescent="0.45">
      <c r="A135" s="19">
        <v>123</v>
      </c>
      <c r="B135" s="57"/>
      <c r="C135" s="58"/>
      <c r="D135" s="59"/>
      <c r="E135" s="60"/>
      <c r="F135" s="61"/>
      <c r="G135" s="61"/>
      <c r="H135" s="61"/>
      <c r="I135" s="61"/>
      <c r="J135" s="62"/>
      <c r="K135" s="28"/>
      <c r="L135" s="69"/>
      <c r="M135" s="29"/>
      <c r="N135" s="71"/>
      <c r="O135" s="35"/>
      <c r="P135" s="16"/>
      <c r="Q135" s="57"/>
      <c r="R135" s="58"/>
      <c r="S135" s="58"/>
      <c r="T135" s="58"/>
      <c r="U135" s="58"/>
      <c r="V135" s="73"/>
      <c r="W135" s="74"/>
      <c r="X135" s="75"/>
      <c r="Y135" s="76"/>
      <c r="Z135" s="74"/>
      <c r="AA135" s="73"/>
      <c r="AB135" s="77"/>
      <c r="AC135" s="35"/>
      <c r="AD135" s="15"/>
      <c r="AE135" s="15"/>
      <c r="AF135" s="15"/>
      <c r="AG135" s="15"/>
      <c r="AH135" s="15"/>
      <c r="AI135" s="15"/>
      <c r="AJ135" s="16"/>
      <c r="AK135" s="32"/>
      <c r="AL135" s="15"/>
      <c r="AM135" s="15"/>
      <c r="AN135" s="16"/>
    </row>
    <row r="136" spans="1:40" x14ac:dyDescent="0.45">
      <c r="A136" s="19">
        <v>124</v>
      </c>
      <c r="B136" s="57"/>
      <c r="C136" s="58"/>
      <c r="D136" s="59"/>
      <c r="E136" s="60"/>
      <c r="F136" s="61"/>
      <c r="G136" s="61"/>
      <c r="H136" s="61"/>
      <c r="I136" s="61"/>
      <c r="J136" s="62"/>
      <c r="K136" s="28"/>
      <c r="L136" s="69"/>
      <c r="M136" s="29"/>
      <c r="N136" s="71"/>
      <c r="O136" s="35"/>
      <c r="P136" s="16"/>
      <c r="Q136" s="57"/>
      <c r="R136" s="58"/>
      <c r="S136" s="58"/>
      <c r="T136" s="58"/>
      <c r="U136" s="58"/>
      <c r="V136" s="73"/>
      <c r="W136" s="74"/>
      <c r="X136" s="75"/>
      <c r="Y136" s="76"/>
      <c r="Z136" s="74"/>
      <c r="AA136" s="73"/>
      <c r="AB136" s="77"/>
      <c r="AC136" s="35"/>
      <c r="AD136" s="15"/>
      <c r="AE136" s="15"/>
      <c r="AF136" s="15"/>
      <c r="AG136" s="15"/>
      <c r="AH136" s="15"/>
      <c r="AI136" s="15"/>
      <c r="AJ136" s="16"/>
      <c r="AK136" s="32"/>
      <c r="AL136" s="15"/>
      <c r="AM136" s="15"/>
      <c r="AN136" s="16"/>
    </row>
    <row r="137" spans="1:40" x14ac:dyDescent="0.45">
      <c r="A137" s="19">
        <v>125</v>
      </c>
      <c r="B137" s="57"/>
      <c r="C137" s="58"/>
      <c r="D137" s="59"/>
      <c r="E137" s="60"/>
      <c r="F137" s="61"/>
      <c r="G137" s="61"/>
      <c r="H137" s="61"/>
      <c r="I137" s="61"/>
      <c r="J137" s="62"/>
      <c r="K137" s="28"/>
      <c r="L137" s="69"/>
      <c r="M137" s="29"/>
      <c r="N137" s="71"/>
      <c r="O137" s="35"/>
      <c r="P137" s="16"/>
      <c r="Q137" s="57"/>
      <c r="R137" s="58"/>
      <c r="S137" s="58"/>
      <c r="T137" s="58"/>
      <c r="U137" s="58"/>
      <c r="V137" s="73"/>
      <c r="W137" s="74"/>
      <c r="X137" s="75"/>
      <c r="Y137" s="76"/>
      <c r="Z137" s="74"/>
      <c r="AA137" s="73"/>
      <c r="AB137" s="77"/>
      <c r="AC137" s="35"/>
      <c r="AD137" s="15"/>
      <c r="AE137" s="15"/>
      <c r="AF137" s="15"/>
      <c r="AG137" s="15"/>
      <c r="AH137" s="15"/>
      <c r="AI137" s="15"/>
      <c r="AJ137" s="16"/>
      <c r="AK137" s="32"/>
      <c r="AL137" s="15"/>
      <c r="AM137" s="15"/>
      <c r="AN137" s="16"/>
    </row>
    <row r="138" spans="1:40" x14ac:dyDescent="0.45">
      <c r="A138" s="19">
        <v>126</v>
      </c>
      <c r="B138" s="57"/>
      <c r="C138" s="58"/>
      <c r="D138" s="59"/>
      <c r="E138" s="60"/>
      <c r="F138" s="61"/>
      <c r="G138" s="61"/>
      <c r="H138" s="61"/>
      <c r="I138" s="61"/>
      <c r="J138" s="62"/>
      <c r="K138" s="28"/>
      <c r="L138" s="69"/>
      <c r="M138" s="29"/>
      <c r="N138" s="71"/>
      <c r="O138" s="35"/>
      <c r="P138" s="16"/>
      <c r="Q138" s="57"/>
      <c r="R138" s="58"/>
      <c r="S138" s="58"/>
      <c r="T138" s="58"/>
      <c r="U138" s="58"/>
      <c r="V138" s="73"/>
      <c r="W138" s="74"/>
      <c r="X138" s="75"/>
      <c r="Y138" s="76"/>
      <c r="Z138" s="74"/>
      <c r="AA138" s="73"/>
      <c r="AB138" s="77"/>
      <c r="AC138" s="35"/>
      <c r="AD138" s="15"/>
      <c r="AE138" s="15"/>
      <c r="AF138" s="15"/>
      <c r="AG138" s="15"/>
      <c r="AH138" s="15"/>
      <c r="AI138" s="15"/>
      <c r="AJ138" s="16"/>
      <c r="AK138" s="32"/>
      <c r="AL138" s="15"/>
      <c r="AM138" s="15"/>
      <c r="AN138" s="16"/>
    </row>
    <row r="139" spans="1:40" x14ac:dyDescent="0.45">
      <c r="A139" s="19">
        <v>127</v>
      </c>
      <c r="B139" s="57"/>
      <c r="C139" s="58"/>
      <c r="D139" s="59"/>
      <c r="E139" s="60"/>
      <c r="F139" s="61"/>
      <c r="G139" s="61"/>
      <c r="H139" s="61"/>
      <c r="I139" s="61"/>
      <c r="J139" s="62"/>
      <c r="K139" s="28"/>
      <c r="L139" s="69"/>
      <c r="M139" s="29"/>
      <c r="N139" s="71"/>
      <c r="O139" s="35"/>
      <c r="P139" s="16"/>
      <c r="Q139" s="57"/>
      <c r="R139" s="58"/>
      <c r="S139" s="58"/>
      <c r="T139" s="58"/>
      <c r="U139" s="58"/>
      <c r="V139" s="73"/>
      <c r="W139" s="74"/>
      <c r="X139" s="75"/>
      <c r="Y139" s="76"/>
      <c r="Z139" s="74"/>
      <c r="AA139" s="73"/>
      <c r="AB139" s="77"/>
      <c r="AC139" s="35"/>
      <c r="AD139" s="15"/>
      <c r="AE139" s="15"/>
      <c r="AF139" s="15"/>
      <c r="AG139" s="15"/>
      <c r="AH139" s="15"/>
      <c r="AI139" s="15"/>
      <c r="AJ139" s="16"/>
      <c r="AK139" s="32"/>
      <c r="AL139" s="15"/>
      <c r="AM139" s="15"/>
      <c r="AN139" s="16"/>
    </row>
    <row r="140" spans="1:40" x14ac:dyDescent="0.45">
      <c r="A140" s="19">
        <v>128</v>
      </c>
      <c r="B140" s="57"/>
      <c r="C140" s="58"/>
      <c r="D140" s="59"/>
      <c r="E140" s="60"/>
      <c r="F140" s="61"/>
      <c r="G140" s="61"/>
      <c r="H140" s="61"/>
      <c r="I140" s="61"/>
      <c r="J140" s="62"/>
      <c r="K140" s="28"/>
      <c r="L140" s="69"/>
      <c r="M140" s="29"/>
      <c r="N140" s="71"/>
      <c r="O140" s="35"/>
      <c r="P140" s="16"/>
      <c r="Q140" s="57"/>
      <c r="R140" s="58"/>
      <c r="S140" s="58"/>
      <c r="T140" s="58"/>
      <c r="U140" s="58"/>
      <c r="V140" s="73"/>
      <c r="W140" s="74"/>
      <c r="X140" s="75"/>
      <c r="Y140" s="76"/>
      <c r="Z140" s="74"/>
      <c r="AA140" s="73"/>
      <c r="AB140" s="77"/>
      <c r="AC140" s="35"/>
      <c r="AD140" s="15"/>
      <c r="AE140" s="15"/>
      <c r="AF140" s="15"/>
      <c r="AG140" s="15"/>
      <c r="AH140" s="15"/>
      <c r="AI140" s="15"/>
      <c r="AJ140" s="16"/>
      <c r="AK140" s="32"/>
      <c r="AL140" s="15"/>
      <c r="AM140" s="15"/>
      <c r="AN140" s="16"/>
    </row>
    <row r="141" spans="1:40" x14ac:dyDescent="0.45">
      <c r="A141" s="19">
        <v>129</v>
      </c>
      <c r="B141" s="57"/>
      <c r="C141" s="58"/>
      <c r="D141" s="59"/>
      <c r="E141" s="60"/>
      <c r="F141" s="61"/>
      <c r="G141" s="61"/>
      <c r="H141" s="61"/>
      <c r="I141" s="61"/>
      <c r="J141" s="62"/>
      <c r="K141" s="28"/>
      <c r="L141" s="69"/>
      <c r="M141" s="29"/>
      <c r="N141" s="71"/>
      <c r="O141" s="35"/>
      <c r="P141" s="16"/>
      <c r="Q141" s="57"/>
      <c r="R141" s="58"/>
      <c r="S141" s="58"/>
      <c r="T141" s="58"/>
      <c r="U141" s="58"/>
      <c r="V141" s="73"/>
      <c r="W141" s="74"/>
      <c r="X141" s="75"/>
      <c r="Y141" s="76"/>
      <c r="Z141" s="74"/>
      <c r="AA141" s="73"/>
      <c r="AB141" s="77"/>
      <c r="AC141" s="35"/>
      <c r="AD141" s="15"/>
      <c r="AE141" s="15"/>
      <c r="AF141" s="15"/>
      <c r="AG141" s="15"/>
      <c r="AH141" s="15"/>
      <c r="AI141" s="15"/>
      <c r="AJ141" s="16"/>
      <c r="AK141" s="32"/>
      <c r="AL141" s="15"/>
      <c r="AM141" s="15"/>
      <c r="AN141" s="16"/>
    </row>
    <row r="142" spans="1:40" x14ac:dyDescent="0.45">
      <c r="A142" s="19">
        <v>130</v>
      </c>
      <c r="B142" s="57"/>
      <c r="C142" s="58"/>
      <c r="D142" s="59"/>
      <c r="E142" s="60"/>
      <c r="F142" s="61"/>
      <c r="G142" s="61"/>
      <c r="H142" s="61"/>
      <c r="I142" s="61"/>
      <c r="J142" s="62"/>
      <c r="K142" s="28"/>
      <c r="L142" s="69"/>
      <c r="M142" s="29"/>
      <c r="N142" s="71"/>
      <c r="O142" s="35"/>
      <c r="P142" s="16"/>
      <c r="Q142" s="57"/>
      <c r="R142" s="58"/>
      <c r="S142" s="58"/>
      <c r="T142" s="58"/>
      <c r="U142" s="58"/>
      <c r="V142" s="73"/>
      <c r="W142" s="74"/>
      <c r="X142" s="75"/>
      <c r="Y142" s="76"/>
      <c r="Z142" s="74"/>
      <c r="AA142" s="73"/>
      <c r="AB142" s="77"/>
      <c r="AC142" s="35"/>
      <c r="AD142" s="15"/>
      <c r="AE142" s="15"/>
      <c r="AF142" s="15"/>
      <c r="AG142" s="15"/>
      <c r="AH142" s="15"/>
      <c r="AI142" s="15"/>
      <c r="AJ142" s="16"/>
      <c r="AK142" s="32"/>
      <c r="AL142" s="15"/>
      <c r="AM142" s="15"/>
      <c r="AN142" s="16"/>
    </row>
    <row r="143" spans="1:40" x14ac:dyDescent="0.45">
      <c r="A143" s="19">
        <v>131</v>
      </c>
      <c r="B143" s="57"/>
      <c r="C143" s="58"/>
      <c r="D143" s="59"/>
      <c r="E143" s="60"/>
      <c r="F143" s="61"/>
      <c r="G143" s="61"/>
      <c r="H143" s="61"/>
      <c r="I143" s="61"/>
      <c r="J143" s="62"/>
      <c r="K143" s="28"/>
      <c r="L143" s="69"/>
      <c r="M143" s="29"/>
      <c r="N143" s="71"/>
      <c r="O143" s="35"/>
      <c r="P143" s="16"/>
      <c r="Q143" s="57"/>
      <c r="R143" s="58"/>
      <c r="S143" s="58"/>
      <c r="T143" s="58"/>
      <c r="U143" s="58"/>
      <c r="V143" s="73"/>
      <c r="W143" s="74"/>
      <c r="X143" s="75"/>
      <c r="Y143" s="76"/>
      <c r="Z143" s="74"/>
      <c r="AA143" s="73"/>
      <c r="AB143" s="77"/>
      <c r="AC143" s="35"/>
      <c r="AD143" s="15"/>
      <c r="AE143" s="15"/>
      <c r="AF143" s="15"/>
      <c r="AG143" s="15"/>
      <c r="AH143" s="15"/>
      <c r="AI143" s="15"/>
      <c r="AJ143" s="16"/>
      <c r="AK143" s="32"/>
      <c r="AL143" s="15"/>
      <c r="AM143" s="15"/>
      <c r="AN143" s="16"/>
    </row>
    <row r="144" spans="1:40" x14ac:dyDescent="0.45">
      <c r="A144" s="19">
        <v>132</v>
      </c>
      <c r="B144" s="57"/>
      <c r="C144" s="58"/>
      <c r="D144" s="59"/>
      <c r="E144" s="60"/>
      <c r="F144" s="61"/>
      <c r="G144" s="61"/>
      <c r="H144" s="61"/>
      <c r="I144" s="61"/>
      <c r="J144" s="62"/>
      <c r="K144" s="28"/>
      <c r="L144" s="69"/>
      <c r="M144" s="29"/>
      <c r="N144" s="71"/>
      <c r="O144" s="35"/>
      <c r="P144" s="16"/>
      <c r="Q144" s="57"/>
      <c r="R144" s="58"/>
      <c r="S144" s="58"/>
      <c r="T144" s="58"/>
      <c r="U144" s="58"/>
      <c r="V144" s="73"/>
      <c r="W144" s="74"/>
      <c r="X144" s="75"/>
      <c r="Y144" s="76"/>
      <c r="Z144" s="74"/>
      <c r="AA144" s="73"/>
      <c r="AB144" s="77"/>
      <c r="AC144" s="35"/>
      <c r="AD144" s="15"/>
      <c r="AE144" s="15"/>
      <c r="AF144" s="15"/>
      <c r="AG144" s="15"/>
      <c r="AH144" s="15"/>
      <c r="AI144" s="15"/>
      <c r="AJ144" s="16"/>
      <c r="AK144" s="32"/>
      <c r="AL144" s="15"/>
      <c r="AM144" s="15"/>
      <c r="AN144" s="16"/>
    </row>
    <row r="145" spans="1:40" x14ac:dyDescent="0.45">
      <c r="A145" s="19">
        <v>133</v>
      </c>
      <c r="B145" s="57"/>
      <c r="C145" s="58"/>
      <c r="D145" s="59"/>
      <c r="E145" s="60"/>
      <c r="F145" s="61"/>
      <c r="G145" s="61"/>
      <c r="H145" s="61"/>
      <c r="I145" s="61"/>
      <c r="J145" s="62"/>
      <c r="K145" s="28"/>
      <c r="L145" s="69"/>
      <c r="M145" s="29"/>
      <c r="N145" s="71"/>
      <c r="O145" s="35"/>
      <c r="P145" s="16"/>
      <c r="Q145" s="57"/>
      <c r="R145" s="58"/>
      <c r="S145" s="58"/>
      <c r="T145" s="58"/>
      <c r="U145" s="58"/>
      <c r="V145" s="73"/>
      <c r="W145" s="74"/>
      <c r="X145" s="75"/>
      <c r="Y145" s="76"/>
      <c r="Z145" s="74"/>
      <c r="AA145" s="73"/>
      <c r="AB145" s="77"/>
      <c r="AC145" s="35"/>
      <c r="AD145" s="15"/>
      <c r="AE145" s="15"/>
      <c r="AF145" s="15"/>
      <c r="AG145" s="15"/>
      <c r="AH145" s="15"/>
      <c r="AI145" s="15"/>
      <c r="AJ145" s="16"/>
      <c r="AK145" s="32"/>
      <c r="AL145" s="15"/>
      <c r="AM145" s="15"/>
      <c r="AN145" s="16"/>
    </row>
    <row r="146" spans="1:40" x14ac:dyDescent="0.45">
      <c r="A146" s="19">
        <v>134</v>
      </c>
      <c r="B146" s="57"/>
      <c r="C146" s="58"/>
      <c r="D146" s="59"/>
      <c r="E146" s="60"/>
      <c r="F146" s="61"/>
      <c r="G146" s="61"/>
      <c r="H146" s="61"/>
      <c r="I146" s="61"/>
      <c r="J146" s="62"/>
      <c r="K146" s="28"/>
      <c r="L146" s="69"/>
      <c r="M146" s="29"/>
      <c r="N146" s="71"/>
      <c r="O146" s="35"/>
      <c r="P146" s="16"/>
      <c r="Q146" s="57"/>
      <c r="R146" s="58"/>
      <c r="S146" s="58"/>
      <c r="T146" s="58"/>
      <c r="U146" s="58"/>
      <c r="V146" s="73"/>
      <c r="W146" s="74"/>
      <c r="X146" s="75"/>
      <c r="Y146" s="76"/>
      <c r="Z146" s="74"/>
      <c r="AA146" s="73"/>
      <c r="AB146" s="77"/>
      <c r="AC146" s="35"/>
      <c r="AD146" s="15"/>
      <c r="AE146" s="15"/>
      <c r="AF146" s="15"/>
      <c r="AG146" s="15"/>
      <c r="AH146" s="15"/>
      <c r="AI146" s="15"/>
      <c r="AJ146" s="16"/>
      <c r="AK146" s="32"/>
      <c r="AL146" s="15"/>
      <c r="AM146" s="15"/>
      <c r="AN146" s="16"/>
    </row>
    <row r="147" spans="1:40" x14ac:dyDescent="0.45">
      <c r="A147" s="19">
        <v>135</v>
      </c>
      <c r="B147" s="57"/>
      <c r="C147" s="58"/>
      <c r="D147" s="59"/>
      <c r="E147" s="60"/>
      <c r="F147" s="61"/>
      <c r="G147" s="61"/>
      <c r="H147" s="61"/>
      <c r="I147" s="61"/>
      <c r="J147" s="62"/>
      <c r="K147" s="28"/>
      <c r="L147" s="69"/>
      <c r="M147" s="29"/>
      <c r="N147" s="71"/>
      <c r="O147" s="35"/>
      <c r="P147" s="16"/>
      <c r="Q147" s="57"/>
      <c r="R147" s="58"/>
      <c r="S147" s="58"/>
      <c r="T147" s="58"/>
      <c r="U147" s="58"/>
      <c r="V147" s="73"/>
      <c r="W147" s="74"/>
      <c r="X147" s="75"/>
      <c r="Y147" s="76"/>
      <c r="Z147" s="74"/>
      <c r="AA147" s="73"/>
      <c r="AB147" s="77"/>
      <c r="AC147" s="35"/>
      <c r="AD147" s="15"/>
      <c r="AE147" s="15"/>
      <c r="AF147" s="15"/>
      <c r="AG147" s="15"/>
      <c r="AH147" s="15"/>
      <c r="AI147" s="15"/>
      <c r="AJ147" s="16"/>
      <c r="AK147" s="32"/>
      <c r="AL147" s="15"/>
      <c r="AM147" s="15"/>
      <c r="AN147" s="16"/>
    </row>
    <row r="148" spans="1:40" x14ac:dyDescent="0.45">
      <c r="A148" s="19">
        <v>136</v>
      </c>
      <c r="B148" s="57"/>
      <c r="C148" s="58"/>
      <c r="D148" s="59"/>
      <c r="E148" s="60"/>
      <c r="F148" s="61"/>
      <c r="G148" s="61"/>
      <c r="H148" s="61"/>
      <c r="I148" s="61"/>
      <c r="J148" s="62"/>
      <c r="K148" s="28"/>
      <c r="L148" s="69"/>
      <c r="M148" s="29"/>
      <c r="N148" s="71"/>
      <c r="O148" s="35"/>
      <c r="P148" s="16"/>
      <c r="Q148" s="57"/>
      <c r="R148" s="58"/>
      <c r="S148" s="58"/>
      <c r="T148" s="58"/>
      <c r="U148" s="58"/>
      <c r="V148" s="73"/>
      <c r="W148" s="74"/>
      <c r="X148" s="75"/>
      <c r="Y148" s="76"/>
      <c r="Z148" s="74"/>
      <c r="AA148" s="73"/>
      <c r="AB148" s="77"/>
      <c r="AC148" s="35"/>
      <c r="AD148" s="15"/>
      <c r="AE148" s="15"/>
      <c r="AF148" s="15"/>
      <c r="AG148" s="15"/>
      <c r="AH148" s="15"/>
      <c r="AI148" s="15"/>
      <c r="AJ148" s="16"/>
      <c r="AK148" s="32"/>
      <c r="AL148" s="15"/>
      <c r="AM148" s="15"/>
      <c r="AN148" s="16"/>
    </row>
    <row r="149" spans="1:40" x14ac:dyDescent="0.45">
      <c r="A149" s="19">
        <v>137</v>
      </c>
      <c r="B149" s="57"/>
      <c r="C149" s="58"/>
      <c r="D149" s="59"/>
      <c r="E149" s="60"/>
      <c r="F149" s="61"/>
      <c r="G149" s="61"/>
      <c r="H149" s="61"/>
      <c r="I149" s="61"/>
      <c r="J149" s="62"/>
      <c r="K149" s="28"/>
      <c r="L149" s="69"/>
      <c r="M149" s="29"/>
      <c r="N149" s="71"/>
      <c r="O149" s="35"/>
      <c r="P149" s="16"/>
      <c r="Q149" s="57"/>
      <c r="R149" s="58"/>
      <c r="S149" s="58"/>
      <c r="T149" s="58"/>
      <c r="U149" s="58"/>
      <c r="V149" s="73"/>
      <c r="W149" s="74"/>
      <c r="X149" s="75"/>
      <c r="Y149" s="76"/>
      <c r="Z149" s="74"/>
      <c r="AA149" s="73"/>
      <c r="AB149" s="77"/>
      <c r="AC149" s="35"/>
      <c r="AD149" s="15"/>
      <c r="AE149" s="15"/>
      <c r="AF149" s="15"/>
      <c r="AG149" s="15"/>
      <c r="AH149" s="15"/>
      <c r="AI149" s="15"/>
      <c r="AJ149" s="16"/>
      <c r="AK149" s="32"/>
      <c r="AL149" s="15"/>
      <c r="AM149" s="15"/>
      <c r="AN149" s="16"/>
    </row>
    <row r="150" spans="1:40" x14ac:dyDescent="0.45">
      <c r="A150" s="19">
        <v>138</v>
      </c>
      <c r="B150" s="57"/>
      <c r="C150" s="58"/>
      <c r="D150" s="59"/>
      <c r="E150" s="60"/>
      <c r="F150" s="61"/>
      <c r="G150" s="61"/>
      <c r="H150" s="61"/>
      <c r="I150" s="61"/>
      <c r="J150" s="62"/>
      <c r="K150" s="28"/>
      <c r="L150" s="69"/>
      <c r="M150" s="29"/>
      <c r="N150" s="71"/>
      <c r="O150" s="35"/>
      <c r="P150" s="16"/>
      <c r="Q150" s="57"/>
      <c r="R150" s="58"/>
      <c r="S150" s="58"/>
      <c r="T150" s="58"/>
      <c r="U150" s="58"/>
      <c r="V150" s="73"/>
      <c r="W150" s="74"/>
      <c r="X150" s="75"/>
      <c r="Y150" s="76"/>
      <c r="Z150" s="74"/>
      <c r="AA150" s="61"/>
      <c r="AB150" s="77"/>
      <c r="AC150" s="35"/>
      <c r="AD150" s="15"/>
      <c r="AE150" s="15"/>
      <c r="AF150" s="15"/>
      <c r="AG150" s="15"/>
      <c r="AH150" s="15"/>
      <c r="AI150" s="15"/>
      <c r="AJ150" s="16"/>
      <c r="AK150" s="32"/>
      <c r="AL150" s="15"/>
      <c r="AM150" s="15"/>
      <c r="AN150" s="16"/>
    </row>
    <row r="151" spans="1:40" x14ac:dyDescent="0.45">
      <c r="A151" s="19">
        <v>139</v>
      </c>
      <c r="B151" s="57"/>
      <c r="C151" s="58"/>
      <c r="D151" s="59"/>
      <c r="E151" s="60"/>
      <c r="F151" s="61"/>
      <c r="G151" s="61"/>
      <c r="H151" s="61"/>
      <c r="I151" s="61"/>
      <c r="J151" s="62"/>
      <c r="K151" s="28"/>
      <c r="L151" s="69"/>
      <c r="M151" s="29"/>
      <c r="N151" s="71"/>
      <c r="O151" s="35"/>
      <c r="P151" s="16"/>
      <c r="Q151" s="57"/>
      <c r="R151" s="58"/>
      <c r="S151" s="58"/>
      <c r="T151" s="58"/>
      <c r="U151" s="58"/>
      <c r="V151" s="73"/>
      <c r="W151" s="74"/>
      <c r="X151" s="75"/>
      <c r="Y151" s="76"/>
      <c r="Z151" s="74"/>
      <c r="AA151" s="61"/>
      <c r="AB151" s="77"/>
      <c r="AC151" s="35"/>
      <c r="AD151" s="15"/>
      <c r="AE151" s="15"/>
      <c r="AF151" s="15"/>
      <c r="AG151" s="15"/>
      <c r="AH151" s="15"/>
      <c r="AI151" s="15"/>
      <c r="AJ151" s="16"/>
      <c r="AK151" s="32"/>
      <c r="AL151" s="15"/>
      <c r="AM151" s="15"/>
      <c r="AN151" s="16"/>
    </row>
    <row r="152" spans="1:40" x14ac:dyDescent="0.45">
      <c r="A152" s="19">
        <v>140</v>
      </c>
      <c r="B152" s="57"/>
      <c r="C152" s="58"/>
      <c r="D152" s="59"/>
      <c r="E152" s="60"/>
      <c r="F152" s="61"/>
      <c r="G152" s="61"/>
      <c r="H152" s="61"/>
      <c r="I152" s="61"/>
      <c r="J152" s="62"/>
      <c r="K152" s="28"/>
      <c r="L152" s="69"/>
      <c r="M152" s="29"/>
      <c r="N152" s="71"/>
      <c r="O152" s="35"/>
      <c r="P152" s="16"/>
      <c r="Q152" s="57"/>
      <c r="R152" s="58"/>
      <c r="S152" s="58"/>
      <c r="T152" s="58"/>
      <c r="U152" s="58"/>
      <c r="V152" s="73"/>
      <c r="W152" s="74"/>
      <c r="X152" s="75"/>
      <c r="Y152" s="76"/>
      <c r="Z152" s="74"/>
      <c r="AA152" s="61"/>
      <c r="AB152" s="77"/>
      <c r="AC152" s="35"/>
      <c r="AD152" s="15"/>
      <c r="AE152" s="15"/>
      <c r="AF152" s="15"/>
      <c r="AG152" s="15"/>
      <c r="AH152" s="15"/>
      <c r="AI152" s="15"/>
      <c r="AJ152" s="16"/>
      <c r="AK152" s="32"/>
      <c r="AL152" s="15"/>
      <c r="AM152" s="15"/>
      <c r="AN152" s="16"/>
    </row>
    <row r="153" spans="1:40" x14ac:dyDescent="0.45">
      <c r="A153" s="19">
        <v>141</v>
      </c>
      <c r="B153" s="57"/>
      <c r="C153" s="58"/>
      <c r="D153" s="59"/>
      <c r="E153" s="60"/>
      <c r="F153" s="61"/>
      <c r="G153" s="61"/>
      <c r="H153" s="61"/>
      <c r="I153" s="61"/>
      <c r="J153" s="62"/>
      <c r="K153" s="28"/>
      <c r="L153" s="69"/>
      <c r="M153" s="29"/>
      <c r="N153" s="71"/>
      <c r="O153" s="35"/>
      <c r="P153" s="16"/>
      <c r="Q153" s="57"/>
      <c r="R153" s="58"/>
      <c r="S153" s="58"/>
      <c r="T153" s="58"/>
      <c r="U153" s="58"/>
      <c r="V153" s="73"/>
      <c r="W153" s="74"/>
      <c r="X153" s="75"/>
      <c r="Y153" s="76"/>
      <c r="Z153" s="74"/>
      <c r="AA153" s="61"/>
      <c r="AB153" s="77"/>
      <c r="AC153" s="35"/>
      <c r="AD153" s="15"/>
      <c r="AE153" s="15"/>
      <c r="AF153" s="15"/>
      <c r="AG153" s="15"/>
      <c r="AH153" s="15"/>
      <c r="AI153" s="15"/>
      <c r="AJ153" s="16"/>
      <c r="AK153" s="32"/>
      <c r="AL153" s="15"/>
      <c r="AM153" s="15"/>
      <c r="AN153" s="16"/>
    </row>
    <row r="154" spans="1:40" x14ac:dyDescent="0.45">
      <c r="A154" s="19">
        <v>142</v>
      </c>
      <c r="B154" s="57"/>
      <c r="C154" s="58"/>
      <c r="D154" s="59"/>
      <c r="E154" s="60"/>
      <c r="F154" s="61"/>
      <c r="G154" s="61"/>
      <c r="H154" s="61"/>
      <c r="I154" s="61"/>
      <c r="J154" s="62"/>
      <c r="K154" s="28"/>
      <c r="L154" s="69"/>
      <c r="M154" s="29"/>
      <c r="N154" s="71"/>
      <c r="O154" s="35"/>
      <c r="P154" s="16"/>
      <c r="Q154" s="57"/>
      <c r="R154" s="58"/>
      <c r="S154" s="58"/>
      <c r="T154" s="58"/>
      <c r="U154" s="58"/>
      <c r="V154" s="73"/>
      <c r="W154" s="74"/>
      <c r="X154" s="75"/>
      <c r="Y154" s="76"/>
      <c r="Z154" s="74"/>
      <c r="AA154" s="61"/>
      <c r="AB154" s="77"/>
      <c r="AC154" s="35"/>
      <c r="AD154" s="15"/>
      <c r="AE154" s="15"/>
      <c r="AF154" s="15"/>
      <c r="AG154" s="15"/>
      <c r="AH154" s="15"/>
      <c r="AI154" s="15"/>
      <c r="AJ154" s="16"/>
      <c r="AK154" s="32"/>
      <c r="AL154" s="15"/>
      <c r="AM154" s="15"/>
      <c r="AN154" s="16"/>
    </row>
    <row r="155" spans="1:40" x14ac:dyDescent="0.45">
      <c r="A155" s="19">
        <v>143</v>
      </c>
      <c r="B155" s="57"/>
      <c r="C155" s="58"/>
      <c r="D155" s="59"/>
      <c r="E155" s="60"/>
      <c r="F155" s="61"/>
      <c r="G155" s="61"/>
      <c r="H155" s="61"/>
      <c r="I155" s="61"/>
      <c r="J155" s="62"/>
      <c r="K155" s="28"/>
      <c r="L155" s="69"/>
      <c r="M155" s="29"/>
      <c r="N155" s="71"/>
      <c r="O155" s="35"/>
      <c r="P155" s="16"/>
      <c r="Q155" s="57"/>
      <c r="R155" s="58"/>
      <c r="S155" s="58"/>
      <c r="T155" s="58"/>
      <c r="U155" s="58"/>
      <c r="V155" s="73"/>
      <c r="W155" s="74"/>
      <c r="X155" s="75"/>
      <c r="Y155" s="76"/>
      <c r="Z155" s="74"/>
      <c r="AA155" s="61"/>
      <c r="AB155" s="77"/>
      <c r="AC155" s="35"/>
      <c r="AD155" s="15"/>
      <c r="AE155" s="15"/>
      <c r="AF155" s="15"/>
      <c r="AG155" s="15"/>
      <c r="AH155" s="15"/>
      <c r="AI155" s="15"/>
      <c r="AJ155" s="16"/>
      <c r="AK155" s="32"/>
      <c r="AL155" s="15"/>
      <c r="AM155" s="15"/>
      <c r="AN155" s="16"/>
    </row>
    <row r="156" spans="1:40" x14ac:dyDescent="0.45">
      <c r="A156" s="19">
        <v>144</v>
      </c>
      <c r="B156" s="57"/>
      <c r="C156" s="58"/>
      <c r="D156" s="59"/>
      <c r="E156" s="60"/>
      <c r="F156" s="61"/>
      <c r="G156" s="61"/>
      <c r="H156" s="61"/>
      <c r="I156" s="61"/>
      <c r="J156" s="62"/>
      <c r="K156" s="28"/>
      <c r="L156" s="69"/>
      <c r="M156" s="29"/>
      <c r="N156" s="71"/>
      <c r="O156" s="35"/>
      <c r="P156" s="16"/>
      <c r="Q156" s="57"/>
      <c r="R156" s="58"/>
      <c r="S156" s="58"/>
      <c r="T156" s="58"/>
      <c r="U156" s="58"/>
      <c r="V156" s="73"/>
      <c r="W156" s="74"/>
      <c r="X156" s="75"/>
      <c r="Y156" s="76"/>
      <c r="Z156" s="74"/>
      <c r="AA156" s="61"/>
      <c r="AB156" s="77"/>
      <c r="AC156" s="35"/>
      <c r="AD156" s="15"/>
      <c r="AE156" s="15"/>
      <c r="AF156" s="15"/>
      <c r="AG156" s="15"/>
      <c r="AH156" s="15"/>
      <c r="AI156" s="15"/>
      <c r="AJ156" s="16"/>
      <c r="AK156" s="32"/>
      <c r="AL156" s="15"/>
      <c r="AM156" s="15"/>
      <c r="AN156" s="16"/>
    </row>
    <row r="157" spans="1:40" x14ac:dyDescent="0.45">
      <c r="A157" s="19">
        <v>145</v>
      </c>
      <c r="B157" s="57"/>
      <c r="C157" s="58"/>
      <c r="D157" s="59"/>
      <c r="E157" s="60"/>
      <c r="F157" s="61"/>
      <c r="G157" s="61"/>
      <c r="H157" s="61"/>
      <c r="I157" s="61"/>
      <c r="J157" s="62"/>
      <c r="K157" s="28"/>
      <c r="L157" s="69"/>
      <c r="M157" s="29"/>
      <c r="N157" s="71"/>
      <c r="O157" s="35"/>
      <c r="P157" s="16"/>
      <c r="Q157" s="57"/>
      <c r="R157" s="58"/>
      <c r="S157" s="58"/>
      <c r="T157" s="58"/>
      <c r="U157" s="58"/>
      <c r="V157" s="73"/>
      <c r="W157" s="74"/>
      <c r="X157" s="75"/>
      <c r="Y157" s="76"/>
      <c r="Z157" s="74"/>
      <c r="AA157" s="61"/>
      <c r="AB157" s="77"/>
      <c r="AC157" s="35"/>
      <c r="AD157" s="15"/>
      <c r="AE157" s="15"/>
      <c r="AF157" s="15"/>
      <c r="AG157" s="15"/>
      <c r="AH157" s="15"/>
      <c r="AI157" s="15"/>
      <c r="AJ157" s="16"/>
      <c r="AK157" s="32"/>
      <c r="AL157" s="15"/>
      <c r="AM157" s="15"/>
      <c r="AN157" s="16"/>
    </row>
    <row r="158" spans="1:40" x14ac:dyDescent="0.45">
      <c r="A158" s="19">
        <v>146</v>
      </c>
      <c r="B158" s="57"/>
      <c r="C158" s="58"/>
      <c r="D158" s="59"/>
      <c r="E158" s="60"/>
      <c r="F158" s="61"/>
      <c r="G158" s="61"/>
      <c r="H158" s="61"/>
      <c r="I158" s="61"/>
      <c r="J158" s="62"/>
      <c r="K158" s="28"/>
      <c r="L158" s="69"/>
      <c r="M158" s="29"/>
      <c r="N158" s="71"/>
      <c r="O158" s="35"/>
      <c r="P158" s="16"/>
      <c r="Q158" s="57"/>
      <c r="R158" s="58"/>
      <c r="S158" s="58"/>
      <c r="T158" s="58"/>
      <c r="U158" s="58"/>
      <c r="V158" s="73"/>
      <c r="W158" s="74"/>
      <c r="X158" s="75"/>
      <c r="Y158" s="76"/>
      <c r="Z158" s="74"/>
      <c r="AA158" s="61"/>
      <c r="AB158" s="77"/>
      <c r="AC158" s="35"/>
      <c r="AD158" s="15"/>
      <c r="AE158" s="15"/>
      <c r="AF158" s="15"/>
      <c r="AG158" s="15"/>
      <c r="AH158" s="15"/>
      <c r="AI158" s="15"/>
      <c r="AJ158" s="16"/>
      <c r="AK158" s="32"/>
      <c r="AL158" s="15"/>
      <c r="AM158" s="15"/>
      <c r="AN158" s="16"/>
    </row>
    <row r="159" spans="1:40" x14ac:dyDescent="0.45">
      <c r="A159" s="19">
        <v>147</v>
      </c>
      <c r="B159" s="57"/>
      <c r="C159" s="58"/>
      <c r="D159" s="59"/>
      <c r="E159" s="60"/>
      <c r="F159" s="61"/>
      <c r="G159" s="61"/>
      <c r="H159" s="61"/>
      <c r="I159" s="61"/>
      <c r="J159" s="62"/>
      <c r="K159" s="28"/>
      <c r="L159" s="69"/>
      <c r="M159" s="29"/>
      <c r="N159" s="71"/>
      <c r="O159" s="35"/>
      <c r="P159" s="16"/>
      <c r="Q159" s="57"/>
      <c r="R159" s="58"/>
      <c r="S159" s="58"/>
      <c r="T159" s="58"/>
      <c r="U159" s="58"/>
      <c r="V159" s="73"/>
      <c r="W159" s="74"/>
      <c r="X159" s="75"/>
      <c r="Y159" s="76"/>
      <c r="Z159" s="74"/>
      <c r="AA159" s="61"/>
      <c r="AB159" s="77"/>
      <c r="AC159" s="35"/>
      <c r="AD159" s="15"/>
      <c r="AE159" s="15"/>
      <c r="AF159" s="15"/>
      <c r="AG159" s="15"/>
      <c r="AH159" s="15"/>
      <c r="AI159" s="15"/>
      <c r="AJ159" s="16"/>
      <c r="AK159" s="32"/>
      <c r="AL159" s="15"/>
      <c r="AM159" s="15"/>
      <c r="AN159" s="16"/>
    </row>
    <row r="160" spans="1:40" x14ac:dyDescent="0.45">
      <c r="A160" s="19">
        <v>148</v>
      </c>
      <c r="B160" s="57"/>
      <c r="C160" s="58"/>
      <c r="D160" s="59"/>
      <c r="E160" s="60"/>
      <c r="F160" s="61"/>
      <c r="G160" s="61"/>
      <c r="H160" s="61"/>
      <c r="I160" s="61"/>
      <c r="J160" s="62"/>
      <c r="K160" s="28"/>
      <c r="L160" s="69"/>
      <c r="M160" s="29"/>
      <c r="N160" s="71"/>
      <c r="O160" s="35"/>
      <c r="P160" s="16"/>
      <c r="Q160" s="57"/>
      <c r="R160" s="58"/>
      <c r="S160" s="58"/>
      <c r="T160" s="58"/>
      <c r="U160" s="58"/>
      <c r="V160" s="73"/>
      <c r="W160" s="74"/>
      <c r="X160" s="75"/>
      <c r="Y160" s="76"/>
      <c r="Z160" s="74"/>
      <c r="AA160" s="61"/>
      <c r="AB160" s="77"/>
      <c r="AC160" s="35"/>
      <c r="AD160" s="15"/>
      <c r="AE160" s="15"/>
      <c r="AF160" s="15"/>
      <c r="AG160" s="15"/>
      <c r="AH160" s="15"/>
      <c r="AI160" s="15"/>
      <c r="AJ160" s="16"/>
      <c r="AK160" s="32"/>
      <c r="AL160" s="15"/>
      <c r="AM160" s="15"/>
      <c r="AN160" s="16"/>
    </row>
    <row r="161" spans="1:40" x14ac:dyDescent="0.45">
      <c r="A161" s="19">
        <v>149</v>
      </c>
      <c r="B161" s="57"/>
      <c r="C161" s="58"/>
      <c r="D161" s="59"/>
      <c r="E161" s="60"/>
      <c r="F161" s="61"/>
      <c r="G161" s="61"/>
      <c r="H161" s="61"/>
      <c r="I161" s="61"/>
      <c r="J161" s="62"/>
      <c r="K161" s="28"/>
      <c r="L161" s="69"/>
      <c r="M161" s="29"/>
      <c r="N161" s="71"/>
      <c r="O161" s="35"/>
      <c r="P161" s="16"/>
      <c r="Q161" s="57"/>
      <c r="R161" s="58"/>
      <c r="S161" s="58"/>
      <c r="T161" s="58"/>
      <c r="U161" s="58"/>
      <c r="V161" s="73"/>
      <c r="W161" s="74"/>
      <c r="X161" s="75"/>
      <c r="Y161" s="76"/>
      <c r="Z161" s="74"/>
      <c r="AA161" s="61"/>
      <c r="AB161" s="77"/>
      <c r="AC161" s="35"/>
      <c r="AD161" s="15"/>
      <c r="AE161" s="15"/>
      <c r="AF161" s="15"/>
      <c r="AG161" s="15"/>
      <c r="AH161" s="15"/>
      <c r="AI161" s="15"/>
      <c r="AJ161" s="16"/>
      <c r="AK161" s="32"/>
      <c r="AL161" s="15"/>
      <c r="AM161" s="15"/>
      <c r="AN161" s="16"/>
    </row>
    <row r="162" spans="1:40" x14ac:dyDescent="0.45">
      <c r="A162" s="19">
        <v>150</v>
      </c>
      <c r="B162" s="57"/>
      <c r="C162" s="58"/>
      <c r="D162" s="59"/>
      <c r="E162" s="60"/>
      <c r="F162" s="61"/>
      <c r="G162" s="61"/>
      <c r="H162" s="61"/>
      <c r="I162" s="61"/>
      <c r="J162" s="62"/>
      <c r="K162" s="28"/>
      <c r="L162" s="69"/>
      <c r="M162" s="29"/>
      <c r="N162" s="71"/>
      <c r="O162" s="35"/>
      <c r="P162" s="16"/>
      <c r="Q162" s="57"/>
      <c r="R162" s="58"/>
      <c r="S162" s="58"/>
      <c r="T162" s="58"/>
      <c r="U162" s="58"/>
      <c r="V162" s="73"/>
      <c r="W162" s="74"/>
      <c r="X162" s="75"/>
      <c r="Y162" s="76"/>
      <c r="Z162" s="74"/>
      <c r="AA162" s="61"/>
      <c r="AB162" s="77"/>
      <c r="AC162" s="35"/>
      <c r="AD162" s="15"/>
      <c r="AE162" s="15"/>
      <c r="AF162" s="15"/>
      <c r="AG162" s="15"/>
      <c r="AH162" s="15"/>
      <c r="AI162" s="15"/>
      <c r="AJ162" s="16"/>
      <c r="AK162" s="32"/>
      <c r="AL162" s="15"/>
      <c r="AM162" s="15"/>
      <c r="AN162" s="16"/>
    </row>
    <row r="163" spans="1:40" x14ac:dyDescent="0.45">
      <c r="A163" s="19">
        <v>151</v>
      </c>
      <c r="B163" s="57"/>
      <c r="C163" s="58"/>
      <c r="D163" s="59"/>
      <c r="E163" s="60"/>
      <c r="F163" s="61"/>
      <c r="G163" s="61"/>
      <c r="H163" s="61"/>
      <c r="I163" s="61"/>
      <c r="J163" s="62"/>
      <c r="K163" s="28"/>
      <c r="L163" s="69"/>
      <c r="M163" s="29"/>
      <c r="N163" s="71"/>
      <c r="O163" s="35"/>
      <c r="P163" s="16"/>
      <c r="Q163" s="57"/>
      <c r="R163" s="58"/>
      <c r="S163" s="58"/>
      <c r="T163" s="58"/>
      <c r="U163" s="58"/>
      <c r="V163" s="73"/>
      <c r="W163" s="74"/>
      <c r="X163" s="75"/>
      <c r="Y163" s="76"/>
      <c r="Z163" s="74"/>
      <c r="AA163" s="61"/>
      <c r="AB163" s="77"/>
      <c r="AC163" s="35"/>
      <c r="AD163" s="15"/>
      <c r="AE163" s="15"/>
      <c r="AF163" s="15"/>
      <c r="AG163" s="15"/>
      <c r="AH163" s="15"/>
      <c r="AI163" s="15"/>
      <c r="AJ163" s="16"/>
      <c r="AK163" s="32"/>
      <c r="AL163" s="15"/>
      <c r="AM163" s="15"/>
      <c r="AN163" s="16"/>
    </row>
    <row r="164" spans="1:40" x14ac:dyDescent="0.45">
      <c r="A164" s="19">
        <v>152</v>
      </c>
      <c r="B164" s="57"/>
      <c r="C164" s="58"/>
      <c r="D164" s="59"/>
      <c r="E164" s="60"/>
      <c r="F164" s="61"/>
      <c r="G164" s="61"/>
      <c r="H164" s="61"/>
      <c r="I164" s="61"/>
      <c r="J164" s="62"/>
      <c r="K164" s="28"/>
      <c r="L164" s="69"/>
      <c r="M164" s="29"/>
      <c r="N164" s="71"/>
      <c r="O164" s="35"/>
      <c r="P164" s="16"/>
      <c r="Q164" s="57"/>
      <c r="R164" s="58"/>
      <c r="S164" s="58"/>
      <c r="T164" s="58"/>
      <c r="U164" s="58"/>
      <c r="V164" s="73"/>
      <c r="W164" s="74"/>
      <c r="X164" s="75"/>
      <c r="Y164" s="76"/>
      <c r="Z164" s="74"/>
      <c r="AA164" s="61"/>
      <c r="AB164" s="77"/>
      <c r="AC164" s="35"/>
      <c r="AD164" s="15"/>
      <c r="AE164" s="15"/>
      <c r="AF164" s="15"/>
      <c r="AG164" s="15"/>
      <c r="AH164" s="15"/>
      <c r="AI164" s="15"/>
      <c r="AJ164" s="16"/>
      <c r="AK164" s="32"/>
      <c r="AL164" s="15"/>
      <c r="AM164" s="15"/>
      <c r="AN164" s="16"/>
    </row>
    <row r="165" spans="1:40" x14ac:dyDescent="0.45">
      <c r="A165" s="19">
        <v>153</v>
      </c>
      <c r="B165" s="57"/>
      <c r="C165" s="58"/>
      <c r="D165" s="59"/>
      <c r="E165" s="60"/>
      <c r="F165" s="61"/>
      <c r="G165" s="61"/>
      <c r="H165" s="61"/>
      <c r="I165" s="61"/>
      <c r="J165" s="62"/>
      <c r="K165" s="28"/>
      <c r="L165" s="69"/>
      <c r="M165" s="29"/>
      <c r="N165" s="71"/>
      <c r="O165" s="35"/>
      <c r="P165" s="16"/>
      <c r="Q165" s="57"/>
      <c r="R165" s="58"/>
      <c r="S165" s="58"/>
      <c r="T165" s="58"/>
      <c r="U165" s="58"/>
      <c r="V165" s="73"/>
      <c r="W165" s="74"/>
      <c r="X165" s="75"/>
      <c r="Y165" s="76"/>
      <c r="Z165" s="74"/>
      <c r="AA165" s="61"/>
      <c r="AB165" s="77"/>
      <c r="AC165" s="35"/>
      <c r="AD165" s="15"/>
      <c r="AE165" s="15"/>
      <c r="AF165" s="15"/>
      <c r="AG165" s="15"/>
      <c r="AH165" s="15"/>
      <c r="AI165" s="15"/>
      <c r="AJ165" s="16"/>
      <c r="AK165" s="32"/>
      <c r="AL165" s="15"/>
      <c r="AM165" s="15"/>
      <c r="AN165" s="16"/>
    </row>
    <row r="166" spans="1:40" x14ac:dyDescent="0.45">
      <c r="A166" s="19">
        <v>154</v>
      </c>
      <c r="B166" s="57"/>
      <c r="C166" s="58"/>
      <c r="D166" s="59"/>
      <c r="E166" s="60"/>
      <c r="F166" s="61"/>
      <c r="G166" s="61"/>
      <c r="H166" s="61"/>
      <c r="I166" s="61"/>
      <c r="J166" s="62"/>
      <c r="K166" s="28"/>
      <c r="L166" s="69"/>
      <c r="M166" s="29"/>
      <c r="N166" s="71"/>
      <c r="O166" s="35"/>
      <c r="P166" s="16"/>
      <c r="Q166" s="57"/>
      <c r="R166" s="58"/>
      <c r="S166" s="58"/>
      <c r="T166" s="58"/>
      <c r="U166" s="58"/>
      <c r="V166" s="73"/>
      <c r="W166" s="74"/>
      <c r="X166" s="75"/>
      <c r="Y166" s="76"/>
      <c r="Z166" s="74"/>
      <c r="AA166" s="61"/>
      <c r="AB166" s="77"/>
      <c r="AC166" s="35"/>
      <c r="AD166" s="15"/>
      <c r="AE166" s="15"/>
      <c r="AF166" s="15"/>
      <c r="AG166" s="15"/>
      <c r="AH166" s="15"/>
      <c r="AI166" s="15"/>
      <c r="AJ166" s="16"/>
      <c r="AK166" s="32"/>
      <c r="AL166" s="15"/>
      <c r="AM166" s="15"/>
      <c r="AN166" s="16"/>
    </row>
    <row r="167" spans="1:40" x14ac:dyDescent="0.45">
      <c r="A167" s="19">
        <v>155</v>
      </c>
      <c r="B167" s="57"/>
      <c r="C167" s="58"/>
      <c r="D167" s="59"/>
      <c r="E167" s="60"/>
      <c r="F167" s="61"/>
      <c r="G167" s="61"/>
      <c r="H167" s="61"/>
      <c r="I167" s="61"/>
      <c r="J167" s="62"/>
      <c r="K167" s="28"/>
      <c r="L167" s="69"/>
      <c r="M167" s="29"/>
      <c r="N167" s="71"/>
      <c r="O167" s="35"/>
      <c r="P167" s="16"/>
      <c r="Q167" s="57"/>
      <c r="R167" s="58"/>
      <c r="S167" s="58"/>
      <c r="T167" s="58"/>
      <c r="U167" s="58"/>
      <c r="V167" s="73"/>
      <c r="W167" s="74"/>
      <c r="X167" s="75"/>
      <c r="Y167" s="76"/>
      <c r="Z167" s="74"/>
      <c r="AA167" s="61"/>
      <c r="AB167" s="77"/>
      <c r="AC167" s="35"/>
      <c r="AD167" s="15"/>
      <c r="AE167" s="15"/>
      <c r="AF167" s="15"/>
      <c r="AG167" s="15"/>
      <c r="AH167" s="15"/>
      <c r="AI167" s="15"/>
      <c r="AJ167" s="16"/>
      <c r="AK167" s="32"/>
      <c r="AL167" s="15"/>
      <c r="AM167" s="15"/>
      <c r="AN167" s="16"/>
    </row>
    <row r="168" spans="1:40" x14ac:dyDescent="0.45">
      <c r="A168" s="19">
        <v>156</v>
      </c>
      <c r="B168" s="57"/>
      <c r="C168" s="58"/>
      <c r="D168" s="59"/>
      <c r="E168" s="60"/>
      <c r="F168" s="61"/>
      <c r="G168" s="61"/>
      <c r="H168" s="61"/>
      <c r="I168" s="61"/>
      <c r="J168" s="62"/>
      <c r="K168" s="28"/>
      <c r="L168" s="69"/>
      <c r="M168" s="29"/>
      <c r="N168" s="71"/>
      <c r="O168" s="35"/>
      <c r="P168" s="16"/>
      <c r="Q168" s="57"/>
      <c r="R168" s="58"/>
      <c r="S168" s="58"/>
      <c r="T168" s="58"/>
      <c r="U168" s="58"/>
      <c r="V168" s="73"/>
      <c r="W168" s="74"/>
      <c r="X168" s="75"/>
      <c r="Y168" s="76"/>
      <c r="Z168" s="74"/>
      <c r="AA168" s="61"/>
      <c r="AB168" s="77"/>
      <c r="AC168" s="35"/>
      <c r="AD168" s="15"/>
      <c r="AE168" s="15"/>
      <c r="AF168" s="15"/>
      <c r="AG168" s="15"/>
      <c r="AH168" s="15"/>
      <c r="AI168" s="15"/>
      <c r="AJ168" s="16"/>
      <c r="AK168" s="32"/>
      <c r="AL168" s="15"/>
      <c r="AM168" s="15"/>
      <c r="AN168" s="16"/>
    </row>
    <row r="169" spans="1:40" x14ac:dyDescent="0.45">
      <c r="A169" s="19">
        <v>157</v>
      </c>
      <c r="B169" s="57"/>
      <c r="C169" s="58"/>
      <c r="D169" s="59"/>
      <c r="E169" s="60"/>
      <c r="F169" s="61"/>
      <c r="G169" s="61"/>
      <c r="H169" s="61"/>
      <c r="I169" s="61"/>
      <c r="J169" s="62"/>
      <c r="K169" s="28"/>
      <c r="L169" s="69"/>
      <c r="M169" s="29"/>
      <c r="N169" s="71"/>
      <c r="O169" s="35"/>
      <c r="P169" s="16"/>
      <c r="Q169" s="57"/>
      <c r="R169" s="58"/>
      <c r="S169" s="58"/>
      <c r="T169" s="58"/>
      <c r="U169" s="58"/>
      <c r="V169" s="73"/>
      <c r="W169" s="74"/>
      <c r="X169" s="75"/>
      <c r="Y169" s="76"/>
      <c r="Z169" s="74"/>
      <c r="AA169" s="61"/>
      <c r="AB169" s="77"/>
      <c r="AC169" s="35"/>
      <c r="AD169" s="15"/>
      <c r="AE169" s="15"/>
      <c r="AF169" s="15"/>
      <c r="AG169" s="15"/>
      <c r="AH169" s="15"/>
      <c r="AI169" s="15"/>
      <c r="AJ169" s="16"/>
      <c r="AK169" s="32"/>
      <c r="AL169" s="15"/>
      <c r="AM169" s="15"/>
      <c r="AN169" s="16"/>
    </row>
    <row r="170" spans="1:40" x14ac:dyDescent="0.45">
      <c r="A170" s="19">
        <v>158</v>
      </c>
      <c r="B170" s="57"/>
      <c r="C170" s="58"/>
      <c r="D170" s="59"/>
      <c r="E170" s="60"/>
      <c r="F170" s="61"/>
      <c r="G170" s="61"/>
      <c r="H170" s="61"/>
      <c r="I170" s="61"/>
      <c r="J170" s="62"/>
      <c r="K170" s="28"/>
      <c r="L170" s="69"/>
      <c r="M170" s="29"/>
      <c r="N170" s="71"/>
      <c r="O170" s="35"/>
      <c r="P170" s="16"/>
      <c r="Q170" s="57"/>
      <c r="R170" s="58"/>
      <c r="S170" s="58"/>
      <c r="T170" s="58"/>
      <c r="U170" s="58"/>
      <c r="V170" s="73"/>
      <c r="W170" s="74"/>
      <c r="X170" s="75"/>
      <c r="Y170" s="76"/>
      <c r="Z170" s="74"/>
      <c r="AA170" s="61"/>
      <c r="AB170" s="77"/>
      <c r="AC170" s="35"/>
      <c r="AD170" s="15"/>
      <c r="AE170" s="15"/>
      <c r="AF170" s="15"/>
      <c r="AG170" s="15"/>
      <c r="AH170" s="15"/>
      <c r="AI170" s="15"/>
      <c r="AJ170" s="16"/>
      <c r="AK170" s="32"/>
      <c r="AL170" s="15"/>
      <c r="AM170" s="15"/>
      <c r="AN170" s="16"/>
    </row>
    <row r="171" spans="1:40" x14ac:dyDescent="0.45">
      <c r="A171" s="19">
        <v>159</v>
      </c>
      <c r="B171" s="57"/>
      <c r="C171" s="58"/>
      <c r="D171" s="59"/>
      <c r="E171" s="60"/>
      <c r="F171" s="61"/>
      <c r="G171" s="61"/>
      <c r="H171" s="61"/>
      <c r="I171" s="61"/>
      <c r="J171" s="62"/>
      <c r="K171" s="28"/>
      <c r="L171" s="69"/>
      <c r="M171" s="29"/>
      <c r="N171" s="71"/>
      <c r="O171" s="35"/>
      <c r="P171" s="16"/>
      <c r="Q171" s="57"/>
      <c r="R171" s="58"/>
      <c r="S171" s="58"/>
      <c r="T171" s="58"/>
      <c r="U171" s="58"/>
      <c r="V171" s="73"/>
      <c r="W171" s="74"/>
      <c r="X171" s="75"/>
      <c r="Y171" s="76"/>
      <c r="Z171" s="74"/>
      <c r="AA171" s="61"/>
      <c r="AB171" s="77"/>
      <c r="AC171" s="35"/>
      <c r="AD171" s="15"/>
      <c r="AE171" s="15"/>
      <c r="AF171" s="15"/>
      <c r="AG171" s="15"/>
      <c r="AH171" s="15"/>
      <c r="AI171" s="15"/>
      <c r="AJ171" s="16"/>
      <c r="AK171" s="32"/>
      <c r="AL171" s="15"/>
      <c r="AM171" s="15"/>
      <c r="AN171" s="16"/>
    </row>
    <row r="172" spans="1:40" x14ac:dyDescent="0.45">
      <c r="A172" s="19">
        <v>160</v>
      </c>
      <c r="B172" s="57"/>
      <c r="C172" s="58"/>
      <c r="D172" s="59"/>
      <c r="E172" s="60"/>
      <c r="F172" s="61"/>
      <c r="G172" s="61"/>
      <c r="H172" s="61"/>
      <c r="I172" s="61"/>
      <c r="J172" s="62"/>
      <c r="K172" s="28"/>
      <c r="L172" s="69"/>
      <c r="M172" s="29"/>
      <c r="N172" s="71"/>
      <c r="O172" s="35"/>
      <c r="P172" s="16"/>
      <c r="Q172" s="57"/>
      <c r="R172" s="58"/>
      <c r="S172" s="58"/>
      <c r="T172" s="58"/>
      <c r="U172" s="58"/>
      <c r="V172" s="73"/>
      <c r="W172" s="74"/>
      <c r="X172" s="75"/>
      <c r="Y172" s="76"/>
      <c r="Z172" s="74"/>
      <c r="AA172" s="61"/>
      <c r="AB172" s="77"/>
      <c r="AC172" s="35"/>
      <c r="AD172" s="15"/>
      <c r="AE172" s="15"/>
      <c r="AF172" s="15"/>
      <c r="AG172" s="15"/>
      <c r="AH172" s="15"/>
      <c r="AI172" s="15"/>
      <c r="AJ172" s="16"/>
      <c r="AK172" s="32"/>
      <c r="AL172" s="15"/>
      <c r="AM172" s="15"/>
      <c r="AN172" s="16"/>
    </row>
    <row r="173" spans="1:40" x14ac:dyDescent="0.45">
      <c r="A173" s="19">
        <v>161</v>
      </c>
      <c r="B173" s="57"/>
      <c r="C173" s="58"/>
      <c r="D173" s="59"/>
      <c r="E173" s="60"/>
      <c r="F173" s="61"/>
      <c r="G173" s="61"/>
      <c r="H173" s="61"/>
      <c r="I173" s="61"/>
      <c r="J173" s="62"/>
      <c r="K173" s="28"/>
      <c r="L173" s="69"/>
      <c r="M173" s="29"/>
      <c r="N173" s="71"/>
      <c r="O173" s="35"/>
      <c r="P173" s="16"/>
      <c r="Q173" s="57"/>
      <c r="R173" s="58"/>
      <c r="S173" s="58"/>
      <c r="T173" s="58"/>
      <c r="U173" s="58"/>
      <c r="V173" s="73"/>
      <c r="W173" s="74"/>
      <c r="X173" s="75"/>
      <c r="Y173" s="76"/>
      <c r="Z173" s="74"/>
      <c r="AA173" s="61"/>
      <c r="AB173" s="77"/>
      <c r="AC173" s="35"/>
      <c r="AD173" s="15"/>
      <c r="AE173" s="15"/>
      <c r="AF173" s="15"/>
      <c r="AG173" s="15"/>
      <c r="AH173" s="15"/>
      <c r="AI173" s="15"/>
      <c r="AJ173" s="16"/>
      <c r="AK173" s="32"/>
      <c r="AL173" s="15"/>
      <c r="AM173" s="15"/>
      <c r="AN173" s="16"/>
    </row>
    <row r="174" spans="1:40" x14ac:dyDescent="0.45">
      <c r="A174" s="19">
        <v>162</v>
      </c>
      <c r="B174" s="57"/>
      <c r="C174" s="58"/>
      <c r="D174" s="59"/>
      <c r="E174" s="60"/>
      <c r="F174" s="61"/>
      <c r="G174" s="61"/>
      <c r="H174" s="61"/>
      <c r="I174" s="61"/>
      <c r="J174" s="62"/>
      <c r="K174" s="28"/>
      <c r="L174" s="69"/>
      <c r="M174" s="29"/>
      <c r="N174" s="71"/>
      <c r="O174" s="35"/>
      <c r="P174" s="16"/>
      <c r="Q174" s="57"/>
      <c r="R174" s="58"/>
      <c r="S174" s="58"/>
      <c r="T174" s="58"/>
      <c r="U174" s="58"/>
      <c r="V174" s="73"/>
      <c r="W174" s="74"/>
      <c r="X174" s="75"/>
      <c r="Y174" s="76"/>
      <c r="Z174" s="74"/>
      <c r="AA174" s="61"/>
      <c r="AB174" s="77"/>
      <c r="AC174" s="35"/>
      <c r="AD174" s="15"/>
      <c r="AE174" s="15"/>
      <c r="AF174" s="15"/>
      <c r="AG174" s="15"/>
      <c r="AH174" s="15"/>
      <c r="AI174" s="15"/>
      <c r="AJ174" s="16"/>
      <c r="AK174" s="32"/>
      <c r="AL174" s="15"/>
      <c r="AM174" s="15"/>
      <c r="AN174" s="16"/>
    </row>
    <row r="175" spans="1:40" x14ac:dyDescent="0.45">
      <c r="A175" s="19">
        <v>163</v>
      </c>
      <c r="B175" s="57"/>
      <c r="C175" s="58"/>
      <c r="D175" s="59"/>
      <c r="E175" s="60"/>
      <c r="F175" s="61"/>
      <c r="G175" s="61"/>
      <c r="H175" s="61"/>
      <c r="I175" s="61"/>
      <c r="J175" s="62"/>
      <c r="K175" s="28"/>
      <c r="L175" s="69"/>
      <c r="M175" s="29"/>
      <c r="N175" s="71"/>
      <c r="O175" s="35"/>
      <c r="P175" s="16"/>
      <c r="Q175" s="57"/>
      <c r="R175" s="58"/>
      <c r="S175" s="58"/>
      <c r="T175" s="58"/>
      <c r="U175" s="58"/>
      <c r="V175" s="73"/>
      <c r="W175" s="74"/>
      <c r="X175" s="75"/>
      <c r="Y175" s="76"/>
      <c r="Z175" s="74"/>
      <c r="AA175" s="61"/>
      <c r="AB175" s="77"/>
      <c r="AC175" s="35"/>
      <c r="AD175" s="15"/>
      <c r="AE175" s="15"/>
      <c r="AF175" s="15"/>
      <c r="AG175" s="15"/>
      <c r="AH175" s="15"/>
      <c r="AI175" s="15"/>
      <c r="AJ175" s="16"/>
      <c r="AK175" s="32"/>
      <c r="AL175" s="15"/>
      <c r="AM175" s="15"/>
      <c r="AN175" s="16"/>
    </row>
    <row r="176" spans="1:40" x14ac:dyDescent="0.45">
      <c r="A176" s="19">
        <v>164</v>
      </c>
      <c r="B176" s="57"/>
      <c r="C176" s="58"/>
      <c r="D176" s="59"/>
      <c r="E176" s="60"/>
      <c r="F176" s="61"/>
      <c r="G176" s="61"/>
      <c r="H176" s="61"/>
      <c r="I176" s="61"/>
      <c r="J176" s="62"/>
      <c r="K176" s="28"/>
      <c r="L176" s="69"/>
      <c r="M176" s="29"/>
      <c r="N176" s="71"/>
      <c r="O176" s="35"/>
      <c r="P176" s="16"/>
      <c r="Q176" s="57"/>
      <c r="R176" s="58"/>
      <c r="S176" s="58"/>
      <c r="T176" s="58"/>
      <c r="U176" s="58"/>
      <c r="V176" s="73"/>
      <c r="W176" s="74"/>
      <c r="X176" s="75"/>
      <c r="Y176" s="76"/>
      <c r="Z176" s="74"/>
      <c r="AA176" s="61"/>
      <c r="AB176" s="77"/>
      <c r="AC176" s="35"/>
      <c r="AD176" s="15"/>
      <c r="AE176" s="15"/>
      <c r="AF176" s="15"/>
      <c r="AG176" s="15"/>
      <c r="AH176" s="15"/>
      <c r="AI176" s="15"/>
      <c r="AJ176" s="16"/>
      <c r="AK176" s="32"/>
      <c r="AL176" s="15"/>
      <c r="AM176" s="15"/>
      <c r="AN176" s="16"/>
    </row>
    <row r="177" spans="1:40" x14ac:dyDescent="0.45">
      <c r="A177" s="19">
        <v>165</v>
      </c>
      <c r="B177" s="57"/>
      <c r="C177" s="58"/>
      <c r="D177" s="59"/>
      <c r="E177" s="60"/>
      <c r="F177" s="61"/>
      <c r="G177" s="61"/>
      <c r="H177" s="61"/>
      <c r="I177" s="61"/>
      <c r="J177" s="62"/>
      <c r="K177" s="28"/>
      <c r="L177" s="69"/>
      <c r="M177" s="29"/>
      <c r="N177" s="71"/>
      <c r="O177" s="35"/>
      <c r="P177" s="16"/>
      <c r="Q177" s="57"/>
      <c r="R177" s="58"/>
      <c r="S177" s="58"/>
      <c r="T177" s="58"/>
      <c r="U177" s="58"/>
      <c r="V177" s="73"/>
      <c r="W177" s="74"/>
      <c r="X177" s="75"/>
      <c r="Y177" s="76"/>
      <c r="Z177" s="74"/>
      <c r="AA177" s="61"/>
      <c r="AB177" s="77"/>
      <c r="AC177" s="35"/>
      <c r="AD177" s="15"/>
      <c r="AE177" s="15"/>
      <c r="AF177" s="15"/>
      <c r="AG177" s="15"/>
      <c r="AH177" s="15"/>
      <c r="AI177" s="15"/>
      <c r="AJ177" s="16"/>
      <c r="AK177" s="32"/>
      <c r="AL177" s="15"/>
      <c r="AM177" s="15"/>
      <c r="AN177" s="16"/>
    </row>
    <row r="178" spans="1:40" x14ac:dyDescent="0.45">
      <c r="A178" s="19">
        <v>166</v>
      </c>
      <c r="B178" s="57"/>
      <c r="C178" s="58"/>
      <c r="D178" s="59"/>
      <c r="E178" s="60"/>
      <c r="F178" s="61"/>
      <c r="G178" s="61"/>
      <c r="H178" s="61"/>
      <c r="I178" s="61"/>
      <c r="J178" s="62"/>
      <c r="K178" s="28"/>
      <c r="L178" s="69"/>
      <c r="M178" s="29"/>
      <c r="N178" s="71"/>
      <c r="O178" s="35"/>
      <c r="P178" s="16"/>
      <c r="Q178" s="57"/>
      <c r="R178" s="58"/>
      <c r="S178" s="58"/>
      <c r="T178" s="58"/>
      <c r="U178" s="58"/>
      <c r="V178" s="73"/>
      <c r="W178" s="74"/>
      <c r="X178" s="75"/>
      <c r="Y178" s="76"/>
      <c r="Z178" s="74"/>
      <c r="AA178" s="61"/>
      <c r="AB178" s="77"/>
      <c r="AC178" s="35"/>
      <c r="AD178" s="15"/>
      <c r="AE178" s="15"/>
      <c r="AF178" s="15"/>
      <c r="AG178" s="15"/>
      <c r="AH178" s="15"/>
      <c r="AI178" s="15"/>
      <c r="AJ178" s="16"/>
      <c r="AK178" s="32"/>
      <c r="AL178" s="15"/>
      <c r="AM178" s="15"/>
      <c r="AN178" s="16"/>
    </row>
    <row r="179" spans="1:40" x14ac:dyDescent="0.45">
      <c r="A179" s="19">
        <v>167</v>
      </c>
      <c r="B179" s="57"/>
      <c r="C179" s="58"/>
      <c r="D179" s="59"/>
      <c r="E179" s="60"/>
      <c r="F179" s="61"/>
      <c r="G179" s="61"/>
      <c r="H179" s="61"/>
      <c r="I179" s="61"/>
      <c r="J179" s="62"/>
      <c r="K179" s="28"/>
      <c r="L179" s="69"/>
      <c r="M179" s="29"/>
      <c r="N179" s="71"/>
      <c r="O179" s="35"/>
      <c r="P179" s="16"/>
      <c r="Q179" s="57"/>
      <c r="R179" s="58"/>
      <c r="S179" s="58"/>
      <c r="T179" s="58"/>
      <c r="U179" s="58"/>
      <c r="V179" s="73"/>
      <c r="W179" s="74"/>
      <c r="X179" s="75"/>
      <c r="Y179" s="76"/>
      <c r="Z179" s="74"/>
      <c r="AA179" s="61"/>
      <c r="AB179" s="77"/>
      <c r="AC179" s="35"/>
      <c r="AD179" s="15"/>
      <c r="AE179" s="15"/>
      <c r="AF179" s="15"/>
      <c r="AG179" s="15"/>
      <c r="AH179" s="15"/>
      <c r="AI179" s="15"/>
      <c r="AJ179" s="16"/>
      <c r="AK179" s="32"/>
      <c r="AL179" s="15"/>
      <c r="AM179" s="15"/>
      <c r="AN179" s="16"/>
    </row>
    <row r="180" spans="1:40" x14ac:dyDescent="0.45">
      <c r="A180" s="19">
        <v>168</v>
      </c>
      <c r="B180" s="57"/>
      <c r="C180" s="58"/>
      <c r="D180" s="59"/>
      <c r="E180" s="60"/>
      <c r="F180" s="61"/>
      <c r="G180" s="61"/>
      <c r="H180" s="61"/>
      <c r="I180" s="61"/>
      <c r="J180" s="62"/>
      <c r="K180" s="28"/>
      <c r="L180" s="69"/>
      <c r="M180" s="29"/>
      <c r="N180" s="71"/>
      <c r="O180" s="35"/>
      <c r="P180" s="16"/>
      <c r="Q180" s="57"/>
      <c r="R180" s="58"/>
      <c r="S180" s="58"/>
      <c r="T180" s="58"/>
      <c r="U180" s="58"/>
      <c r="V180" s="73"/>
      <c r="W180" s="74"/>
      <c r="X180" s="75"/>
      <c r="Y180" s="76"/>
      <c r="Z180" s="74"/>
      <c r="AA180" s="61"/>
      <c r="AB180" s="77"/>
      <c r="AC180" s="35"/>
      <c r="AD180" s="15"/>
      <c r="AE180" s="15"/>
      <c r="AF180" s="15"/>
      <c r="AG180" s="15"/>
      <c r="AH180" s="15"/>
      <c r="AI180" s="15"/>
      <c r="AJ180" s="16"/>
      <c r="AK180" s="32"/>
      <c r="AL180" s="15"/>
      <c r="AM180" s="15"/>
      <c r="AN180" s="16"/>
    </row>
    <row r="181" spans="1:40" x14ac:dyDescent="0.45">
      <c r="A181" s="19">
        <v>169</v>
      </c>
      <c r="B181" s="57"/>
      <c r="C181" s="58"/>
      <c r="D181" s="59"/>
      <c r="E181" s="60"/>
      <c r="F181" s="61"/>
      <c r="G181" s="61"/>
      <c r="H181" s="61"/>
      <c r="I181" s="61"/>
      <c r="J181" s="62"/>
      <c r="K181" s="28"/>
      <c r="L181" s="69"/>
      <c r="M181" s="29"/>
      <c r="N181" s="71"/>
      <c r="O181" s="35"/>
      <c r="P181" s="16"/>
      <c r="Q181" s="57"/>
      <c r="R181" s="58"/>
      <c r="S181" s="58"/>
      <c r="T181" s="58"/>
      <c r="U181" s="58"/>
      <c r="V181" s="73"/>
      <c r="W181" s="74"/>
      <c r="X181" s="75"/>
      <c r="Y181" s="76"/>
      <c r="Z181" s="74"/>
      <c r="AA181" s="61"/>
      <c r="AB181" s="77"/>
      <c r="AC181" s="35"/>
      <c r="AD181" s="15"/>
      <c r="AE181" s="15"/>
      <c r="AF181" s="15"/>
      <c r="AG181" s="15"/>
      <c r="AH181" s="15"/>
      <c r="AI181" s="15"/>
      <c r="AJ181" s="16"/>
      <c r="AK181" s="32"/>
      <c r="AL181" s="15"/>
      <c r="AM181" s="15"/>
      <c r="AN181" s="16"/>
    </row>
    <row r="182" spans="1:40" x14ac:dyDescent="0.45">
      <c r="A182" s="19">
        <v>170</v>
      </c>
      <c r="B182" s="57"/>
      <c r="C182" s="58"/>
      <c r="D182" s="59"/>
      <c r="E182" s="60"/>
      <c r="F182" s="61"/>
      <c r="G182" s="61"/>
      <c r="H182" s="61"/>
      <c r="I182" s="61"/>
      <c r="J182" s="62"/>
      <c r="K182" s="28"/>
      <c r="L182" s="69"/>
      <c r="M182" s="29"/>
      <c r="N182" s="71"/>
      <c r="O182" s="35"/>
      <c r="P182" s="16"/>
      <c r="Q182" s="57"/>
      <c r="R182" s="58"/>
      <c r="S182" s="58"/>
      <c r="T182" s="58"/>
      <c r="U182" s="58"/>
      <c r="V182" s="73"/>
      <c r="W182" s="74"/>
      <c r="X182" s="75"/>
      <c r="Y182" s="76"/>
      <c r="Z182" s="74"/>
      <c r="AA182" s="61"/>
      <c r="AB182" s="77"/>
      <c r="AC182" s="35"/>
      <c r="AD182" s="15"/>
      <c r="AE182" s="15"/>
      <c r="AF182" s="15"/>
      <c r="AG182" s="15"/>
      <c r="AH182" s="15"/>
      <c r="AI182" s="15"/>
      <c r="AJ182" s="16"/>
      <c r="AK182" s="32"/>
      <c r="AL182" s="15"/>
      <c r="AM182" s="15"/>
      <c r="AN182" s="16"/>
    </row>
    <row r="183" spans="1:40" x14ac:dyDescent="0.45">
      <c r="A183" s="19">
        <v>171</v>
      </c>
      <c r="B183" s="57"/>
      <c r="C183" s="58"/>
      <c r="D183" s="59"/>
      <c r="E183" s="60"/>
      <c r="F183" s="61"/>
      <c r="G183" s="61"/>
      <c r="H183" s="61"/>
      <c r="I183" s="61"/>
      <c r="J183" s="62"/>
      <c r="K183" s="28"/>
      <c r="L183" s="69"/>
      <c r="M183" s="29"/>
      <c r="N183" s="71"/>
      <c r="O183" s="35"/>
      <c r="P183" s="16"/>
      <c r="Q183" s="57"/>
      <c r="R183" s="58"/>
      <c r="S183" s="58"/>
      <c r="T183" s="58"/>
      <c r="U183" s="58"/>
      <c r="V183" s="73"/>
      <c r="W183" s="74"/>
      <c r="X183" s="75"/>
      <c r="Y183" s="76"/>
      <c r="Z183" s="74"/>
      <c r="AA183" s="61"/>
      <c r="AB183" s="77"/>
      <c r="AC183" s="35"/>
      <c r="AD183" s="15"/>
      <c r="AE183" s="15"/>
      <c r="AF183" s="15"/>
      <c r="AG183" s="15"/>
      <c r="AH183" s="15"/>
      <c r="AI183" s="15"/>
      <c r="AJ183" s="16"/>
      <c r="AK183" s="32"/>
      <c r="AL183" s="15"/>
      <c r="AM183" s="15"/>
      <c r="AN183" s="16"/>
    </row>
    <row r="184" spans="1:40" x14ac:dyDescent="0.45">
      <c r="A184" s="19">
        <v>172</v>
      </c>
      <c r="B184" s="57"/>
      <c r="C184" s="58"/>
      <c r="D184" s="59"/>
      <c r="E184" s="60"/>
      <c r="F184" s="61"/>
      <c r="G184" s="61"/>
      <c r="H184" s="61"/>
      <c r="I184" s="61"/>
      <c r="J184" s="62"/>
      <c r="K184" s="28"/>
      <c r="L184" s="69"/>
      <c r="M184" s="29"/>
      <c r="N184" s="71"/>
      <c r="O184" s="35"/>
      <c r="P184" s="16"/>
      <c r="Q184" s="57"/>
      <c r="R184" s="58"/>
      <c r="S184" s="58"/>
      <c r="T184" s="58"/>
      <c r="U184" s="58"/>
      <c r="V184" s="73"/>
      <c r="W184" s="74"/>
      <c r="X184" s="75"/>
      <c r="Y184" s="76"/>
      <c r="Z184" s="74"/>
      <c r="AA184" s="61"/>
      <c r="AB184" s="77"/>
      <c r="AC184" s="35"/>
      <c r="AD184" s="15"/>
      <c r="AE184" s="15"/>
      <c r="AF184" s="15"/>
      <c r="AG184" s="15"/>
      <c r="AH184" s="15"/>
      <c r="AI184" s="15"/>
      <c r="AJ184" s="16"/>
      <c r="AK184" s="32"/>
      <c r="AL184" s="15"/>
      <c r="AM184" s="15"/>
      <c r="AN184" s="16"/>
    </row>
    <row r="185" spans="1:40" x14ac:dyDescent="0.45">
      <c r="A185" s="19">
        <v>173</v>
      </c>
      <c r="B185" s="57"/>
      <c r="C185" s="58"/>
      <c r="D185" s="59"/>
      <c r="E185" s="60"/>
      <c r="F185" s="61"/>
      <c r="G185" s="61"/>
      <c r="H185" s="61"/>
      <c r="I185" s="61"/>
      <c r="J185" s="62"/>
      <c r="K185" s="28"/>
      <c r="L185" s="69"/>
      <c r="M185" s="29"/>
      <c r="N185" s="71"/>
      <c r="O185" s="35"/>
      <c r="P185" s="16"/>
      <c r="Q185" s="57"/>
      <c r="R185" s="58"/>
      <c r="S185" s="58"/>
      <c r="T185" s="58"/>
      <c r="U185" s="58"/>
      <c r="V185" s="73"/>
      <c r="W185" s="74"/>
      <c r="X185" s="75"/>
      <c r="Y185" s="76"/>
      <c r="Z185" s="74"/>
      <c r="AA185" s="61"/>
      <c r="AB185" s="77"/>
      <c r="AC185" s="35"/>
      <c r="AD185" s="15"/>
      <c r="AE185" s="15"/>
      <c r="AF185" s="15"/>
      <c r="AG185" s="15"/>
      <c r="AH185" s="15"/>
      <c r="AI185" s="15"/>
      <c r="AJ185" s="16"/>
      <c r="AK185" s="32"/>
      <c r="AL185" s="15"/>
      <c r="AM185" s="15"/>
      <c r="AN185" s="16"/>
    </row>
    <row r="186" spans="1:40" x14ac:dyDescent="0.45">
      <c r="A186" s="19">
        <v>174</v>
      </c>
      <c r="B186" s="57"/>
      <c r="C186" s="58"/>
      <c r="D186" s="59"/>
      <c r="E186" s="60"/>
      <c r="F186" s="61"/>
      <c r="G186" s="61"/>
      <c r="H186" s="61"/>
      <c r="I186" s="61"/>
      <c r="J186" s="62"/>
      <c r="K186" s="28"/>
      <c r="L186" s="69"/>
      <c r="M186" s="29"/>
      <c r="N186" s="71"/>
      <c r="O186" s="35"/>
      <c r="P186" s="16"/>
      <c r="Q186" s="57"/>
      <c r="R186" s="58"/>
      <c r="S186" s="58"/>
      <c r="T186" s="58"/>
      <c r="U186" s="58"/>
      <c r="V186" s="73"/>
      <c r="W186" s="74"/>
      <c r="X186" s="75"/>
      <c r="Y186" s="76"/>
      <c r="Z186" s="74"/>
      <c r="AA186" s="61"/>
      <c r="AB186" s="77"/>
      <c r="AC186" s="35"/>
      <c r="AD186" s="15"/>
      <c r="AE186" s="15"/>
      <c r="AF186" s="15"/>
      <c r="AG186" s="15"/>
      <c r="AH186" s="15"/>
      <c r="AI186" s="15"/>
      <c r="AJ186" s="16"/>
      <c r="AK186" s="32"/>
      <c r="AL186" s="15"/>
      <c r="AM186" s="15"/>
      <c r="AN186" s="16"/>
    </row>
    <row r="187" spans="1:40" x14ac:dyDescent="0.45">
      <c r="A187" s="19">
        <v>175</v>
      </c>
      <c r="B187" s="57"/>
      <c r="C187" s="58"/>
      <c r="D187" s="59"/>
      <c r="E187" s="60"/>
      <c r="F187" s="61"/>
      <c r="G187" s="61"/>
      <c r="H187" s="61"/>
      <c r="I187" s="61"/>
      <c r="J187" s="62"/>
      <c r="K187" s="28"/>
      <c r="L187" s="69"/>
      <c r="M187" s="29"/>
      <c r="N187" s="71"/>
      <c r="O187" s="35"/>
      <c r="P187" s="16"/>
      <c r="Q187" s="57"/>
      <c r="R187" s="58"/>
      <c r="S187" s="58"/>
      <c r="T187" s="58"/>
      <c r="U187" s="58"/>
      <c r="V187" s="73"/>
      <c r="W187" s="74"/>
      <c r="X187" s="75"/>
      <c r="Y187" s="76"/>
      <c r="Z187" s="74"/>
      <c r="AA187" s="61"/>
      <c r="AB187" s="77"/>
      <c r="AC187" s="35"/>
      <c r="AD187" s="15"/>
      <c r="AE187" s="15"/>
      <c r="AF187" s="15"/>
      <c r="AG187" s="15"/>
      <c r="AH187" s="15"/>
      <c r="AI187" s="15"/>
      <c r="AJ187" s="16"/>
      <c r="AK187" s="32"/>
      <c r="AL187" s="15"/>
      <c r="AM187" s="15"/>
      <c r="AN187" s="16"/>
    </row>
    <row r="188" spans="1:40" x14ac:dyDescent="0.45">
      <c r="A188" s="19">
        <v>176</v>
      </c>
      <c r="B188" s="57"/>
      <c r="C188" s="58"/>
      <c r="D188" s="59"/>
      <c r="E188" s="60"/>
      <c r="F188" s="61"/>
      <c r="G188" s="61"/>
      <c r="H188" s="61"/>
      <c r="I188" s="61"/>
      <c r="J188" s="62"/>
      <c r="K188" s="28"/>
      <c r="L188" s="69"/>
      <c r="M188" s="29"/>
      <c r="N188" s="71"/>
      <c r="O188" s="35"/>
      <c r="P188" s="16"/>
      <c r="Q188" s="57"/>
      <c r="R188" s="58"/>
      <c r="S188" s="58"/>
      <c r="T188" s="58"/>
      <c r="U188" s="58"/>
      <c r="V188" s="73"/>
      <c r="W188" s="74"/>
      <c r="X188" s="75"/>
      <c r="Y188" s="76"/>
      <c r="Z188" s="74"/>
      <c r="AA188" s="61"/>
      <c r="AB188" s="77"/>
      <c r="AC188" s="35"/>
      <c r="AD188" s="15"/>
      <c r="AE188" s="15"/>
      <c r="AF188" s="15"/>
      <c r="AG188" s="15"/>
      <c r="AH188" s="15"/>
      <c r="AI188" s="15"/>
      <c r="AJ188" s="16"/>
      <c r="AK188" s="32"/>
      <c r="AL188" s="15"/>
      <c r="AM188" s="15"/>
      <c r="AN188" s="16"/>
    </row>
    <row r="189" spans="1:40" x14ac:dyDescent="0.45">
      <c r="A189" s="19">
        <v>177</v>
      </c>
      <c r="B189" s="57"/>
      <c r="C189" s="58"/>
      <c r="D189" s="59"/>
      <c r="E189" s="60"/>
      <c r="F189" s="61"/>
      <c r="G189" s="61"/>
      <c r="H189" s="61"/>
      <c r="I189" s="61"/>
      <c r="J189" s="62"/>
      <c r="K189" s="28"/>
      <c r="L189" s="69"/>
      <c r="M189" s="29"/>
      <c r="N189" s="71"/>
      <c r="O189" s="35"/>
      <c r="P189" s="16"/>
      <c r="Q189" s="57"/>
      <c r="R189" s="58"/>
      <c r="S189" s="58"/>
      <c r="T189" s="58"/>
      <c r="U189" s="58"/>
      <c r="V189" s="73"/>
      <c r="W189" s="74"/>
      <c r="X189" s="75"/>
      <c r="Y189" s="76"/>
      <c r="Z189" s="74"/>
      <c r="AA189" s="61"/>
      <c r="AB189" s="77"/>
      <c r="AC189" s="35"/>
      <c r="AD189" s="15"/>
      <c r="AE189" s="15"/>
      <c r="AF189" s="15"/>
      <c r="AG189" s="15"/>
      <c r="AH189" s="15"/>
      <c r="AI189" s="15"/>
      <c r="AJ189" s="16"/>
      <c r="AK189" s="32"/>
      <c r="AL189" s="15"/>
      <c r="AM189" s="15"/>
      <c r="AN189" s="16"/>
    </row>
    <row r="190" spans="1:40" x14ac:dyDescent="0.45">
      <c r="A190" s="19">
        <v>178</v>
      </c>
      <c r="B190" s="57"/>
      <c r="C190" s="58"/>
      <c r="D190" s="59"/>
      <c r="E190" s="60"/>
      <c r="F190" s="61"/>
      <c r="G190" s="61"/>
      <c r="H190" s="61"/>
      <c r="I190" s="61"/>
      <c r="J190" s="62"/>
      <c r="K190" s="28"/>
      <c r="L190" s="69"/>
      <c r="M190" s="29"/>
      <c r="N190" s="71"/>
      <c r="O190" s="35"/>
      <c r="P190" s="16"/>
      <c r="Q190" s="57"/>
      <c r="R190" s="58"/>
      <c r="S190" s="58"/>
      <c r="T190" s="58"/>
      <c r="U190" s="58"/>
      <c r="V190" s="73"/>
      <c r="W190" s="74"/>
      <c r="X190" s="75"/>
      <c r="Y190" s="76"/>
      <c r="Z190" s="74"/>
      <c r="AA190" s="61"/>
      <c r="AB190" s="77"/>
      <c r="AC190" s="35"/>
      <c r="AD190" s="15"/>
      <c r="AE190" s="15"/>
      <c r="AF190" s="15"/>
      <c r="AG190" s="15"/>
      <c r="AH190" s="15"/>
      <c r="AI190" s="15"/>
      <c r="AJ190" s="16"/>
      <c r="AK190" s="32"/>
      <c r="AL190" s="15"/>
      <c r="AM190" s="15"/>
      <c r="AN190" s="16"/>
    </row>
    <row r="191" spans="1:40" x14ac:dyDescent="0.45">
      <c r="A191" s="19">
        <v>179</v>
      </c>
      <c r="B191" s="57"/>
      <c r="C191" s="58"/>
      <c r="D191" s="59"/>
      <c r="E191" s="60"/>
      <c r="F191" s="61"/>
      <c r="G191" s="61"/>
      <c r="H191" s="61"/>
      <c r="I191" s="61"/>
      <c r="J191" s="62"/>
      <c r="K191" s="28"/>
      <c r="L191" s="69"/>
      <c r="M191" s="29"/>
      <c r="N191" s="71"/>
      <c r="O191" s="35"/>
      <c r="P191" s="16"/>
      <c r="Q191" s="57"/>
      <c r="R191" s="58"/>
      <c r="S191" s="58"/>
      <c r="T191" s="58"/>
      <c r="U191" s="58"/>
      <c r="V191" s="73"/>
      <c r="W191" s="74"/>
      <c r="X191" s="75"/>
      <c r="Y191" s="76"/>
      <c r="Z191" s="74"/>
      <c r="AA191" s="61"/>
      <c r="AB191" s="77"/>
      <c r="AC191" s="35"/>
      <c r="AD191" s="15"/>
      <c r="AE191" s="15"/>
      <c r="AF191" s="15"/>
      <c r="AG191" s="15"/>
      <c r="AH191" s="15"/>
      <c r="AI191" s="15"/>
      <c r="AJ191" s="16"/>
      <c r="AK191" s="32"/>
      <c r="AL191" s="15"/>
      <c r="AM191" s="15"/>
      <c r="AN191" s="16"/>
    </row>
    <row r="192" spans="1:40" x14ac:dyDescent="0.45">
      <c r="A192" s="19">
        <v>180</v>
      </c>
      <c r="B192" s="57"/>
      <c r="C192" s="58"/>
      <c r="D192" s="59"/>
      <c r="E192" s="60"/>
      <c r="F192" s="61"/>
      <c r="G192" s="61"/>
      <c r="H192" s="61"/>
      <c r="I192" s="61"/>
      <c r="J192" s="62"/>
      <c r="K192" s="28"/>
      <c r="L192" s="69"/>
      <c r="M192" s="29"/>
      <c r="N192" s="71"/>
      <c r="O192" s="35"/>
      <c r="P192" s="16"/>
      <c r="Q192" s="57"/>
      <c r="R192" s="58"/>
      <c r="S192" s="58"/>
      <c r="T192" s="58"/>
      <c r="U192" s="58"/>
      <c r="V192" s="73"/>
      <c r="W192" s="74"/>
      <c r="X192" s="75"/>
      <c r="Y192" s="76"/>
      <c r="Z192" s="74"/>
      <c r="AA192" s="61"/>
      <c r="AB192" s="77"/>
      <c r="AC192" s="35"/>
      <c r="AD192" s="15"/>
      <c r="AE192" s="15"/>
      <c r="AF192" s="15"/>
      <c r="AG192" s="15"/>
      <c r="AH192" s="15"/>
      <c r="AI192" s="15"/>
      <c r="AJ192" s="16"/>
      <c r="AK192" s="32"/>
      <c r="AL192" s="15"/>
      <c r="AM192" s="15"/>
      <c r="AN192" s="16"/>
    </row>
    <row r="193" spans="1:40" x14ac:dyDescent="0.45">
      <c r="A193" s="19">
        <v>181</v>
      </c>
      <c r="B193" s="57"/>
      <c r="C193" s="58"/>
      <c r="D193" s="59"/>
      <c r="E193" s="60"/>
      <c r="F193" s="61"/>
      <c r="G193" s="61"/>
      <c r="H193" s="61"/>
      <c r="I193" s="61"/>
      <c r="J193" s="62"/>
      <c r="K193" s="28"/>
      <c r="L193" s="69"/>
      <c r="M193" s="29"/>
      <c r="N193" s="71"/>
      <c r="O193" s="35"/>
      <c r="P193" s="16"/>
      <c r="Q193" s="57"/>
      <c r="R193" s="58"/>
      <c r="S193" s="58"/>
      <c r="T193" s="58"/>
      <c r="U193" s="58"/>
      <c r="V193" s="73"/>
      <c r="W193" s="74"/>
      <c r="X193" s="75"/>
      <c r="Y193" s="76"/>
      <c r="Z193" s="74"/>
      <c r="AA193" s="61"/>
      <c r="AB193" s="77"/>
      <c r="AC193" s="35"/>
      <c r="AD193" s="15"/>
      <c r="AE193" s="15"/>
      <c r="AF193" s="15"/>
      <c r="AG193" s="15"/>
      <c r="AH193" s="15"/>
      <c r="AI193" s="15"/>
      <c r="AJ193" s="16"/>
      <c r="AK193" s="32"/>
      <c r="AL193" s="15"/>
      <c r="AM193" s="15"/>
      <c r="AN193" s="16"/>
    </row>
    <row r="194" spans="1:40" x14ac:dyDescent="0.45">
      <c r="A194" s="19">
        <v>182</v>
      </c>
      <c r="B194" s="57"/>
      <c r="C194" s="58"/>
      <c r="D194" s="59"/>
      <c r="E194" s="60"/>
      <c r="F194" s="61"/>
      <c r="G194" s="61"/>
      <c r="H194" s="61"/>
      <c r="I194" s="61"/>
      <c r="J194" s="62"/>
      <c r="K194" s="28"/>
      <c r="L194" s="69"/>
      <c r="M194" s="29"/>
      <c r="N194" s="71"/>
      <c r="O194" s="35"/>
      <c r="P194" s="16"/>
      <c r="Q194" s="57"/>
      <c r="R194" s="58"/>
      <c r="S194" s="58"/>
      <c r="T194" s="58"/>
      <c r="U194" s="58"/>
      <c r="V194" s="73"/>
      <c r="W194" s="74"/>
      <c r="X194" s="75"/>
      <c r="Y194" s="76"/>
      <c r="Z194" s="74"/>
      <c r="AA194" s="61"/>
      <c r="AB194" s="77"/>
      <c r="AC194" s="35"/>
      <c r="AD194" s="15"/>
      <c r="AE194" s="15"/>
      <c r="AF194" s="15"/>
      <c r="AG194" s="15"/>
      <c r="AH194" s="15"/>
      <c r="AI194" s="15"/>
      <c r="AJ194" s="16"/>
      <c r="AK194" s="32"/>
      <c r="AL194" s="15"/>
      <c r="AM194" s="15"/>
      <c r="AN194" s="16"/>
    </row>
    <row r="195" spans="1:40" x14ac:dyDescent="0.45">
      <c r="A195" s="19">
        <v>183</v>
      </c>
      <c r="B195" s="57"/>
      <c r="C195" s="58"/>
      <c r="D195" s="59"/>
      <c r="E195" s="60"/>
      <c r="F195" s="61"/>
      <c r="G195" s="61"/>
      <c r="H195" s="61"/>
      <c r="I195" s="61"/>
      <c r="J195" s="62"/>
      <c r="K195" s="28"/>
      <c r="L195" s="69"/>
      <c r="M195" s="29"/>
      <c r="N195" s="71"/>
      <c r="O195" s="35"/>
      <c r="P195" s="16"/>
      <c r="Q195" s="57"/>
      <c r="R195" s="58"/>
      <c r="S195" s="58"/>
      <c r="T195" s="58"/>
      <c r="U195" s="58"/>
      <c r="V195" s="73"/>
      <c r="W195" s="74"/>
      <c r="X195" s="75"/>
      <c r="Y195" s="76"/>
      <c r="Z195" s="74"/>
      <c r="AA195" s="61"/>
      <c r="AB195" s="77"/>
      <c r="AC195" s="35"/>
      <c r="AD195" s="15"/>
      <c r="AE195" s="15"/>
      <c r="AF195" s="15"/>
      <c r="AG195" s="15"/>
      <c r="AH195" s="15"/>
      <c r="AI195" s="15"/>
      <c r="AJ195" s="16"/>
      <c r="AK195" s="32"/>
      <c r="AL195" s="15"/>
      <c r="AM195" s="15"/>
      <c r="AN195" s="16"/>
    </row>
    <row r="196" spans="1:40" x14ac:dyDescent="0.45">
      <c r="A196" s="19">
        <v>184</v>
      </c>
      <c r="B196" s="57"/>
      <c r="C196" s="58"/>
      <c r="D196" s="59"/>
      <c r="E196" s="60"/>
      <c r="F196" s="61"/>
      <c r="G196" s="61"/>
      <c r="H196" s="61"/>
      <c r="I196" s="61"/>
      <c r="J196" s="62"/>
      <c r="K196" s="28"/>
      <c r="L196" s="69"/>
      <c r="M196" s="29"/>
      <c r="N196" s="71"/>
      <c r="O196" s="35"/>
      <c r="P196" s="16"/>
      <c r="Q196" s="57"/>
      <c r="R196" s="58"/>
      <c r="S196" s="58"/>
      <c r="T196" s="58"/>
      <c r="U196" s="58"/>
      <c r="V196" s="73"/>
      <c r="W196" s="74"/>
      <c r="X196" s="75"/>
      <c r="Y196" s="76"/>
      <c r="Z196" s="74"/>
      <c r="AA196" s="61"/>
      <c r="AB196" s="77"/>
      <c r="AC196" s="35"/>
      <c r="AD196" s="15"/>
      <c r="AE196" s="15"/>
      <c r="AF196" s="15"/>
      <c r="AG196" s="15"/>
      <c r="AH196" s="15"/>
      <c r="AI196" s="15"/>
      <c r="AJ196" s="16"/>
      <c r="AK196" s="32"/>
      <c r="AL196" s="15"/>
      <c r="AM196" s="15"/>
      <c r="AN196" s="16"/>
    </row>
    <row r="197" spans="1:40" x14ac:dyDescent="0.45">
      <c r="A197" s="19">
        <v>185</v>
      </c>
      <c r="B197" s="57"/>
      <c r="C197" s="58"/>
      <c r="D197" s="59"/>
      <c r="E197" s="60"/>
      <c r="F197" s="61"/>
      <c r="G197" s="61"/>
      <c r="H197" s="61"/>
      <c r="I197" s="61"/>
      <c r="J197" s="62"/>
      <c r="K197" s="28"/>
      <c r="L197" s="69"/>
      <c r="M197" s="29"/>
      <c r="N197" s="71"/>
      <c r="O197" s="35"/>
      <c r="P197" s="16"/>
      <c r="Q197" s="57"/>
      <c r="R197" s="58"/>
      <c r="S197" s="58"/>
      <c r="T197" s="58"/>
      <c r="U197" s="58"/>
      <c r="V197" s="73"/>
      <c r="W197" s="74"/>
      <c r="X197" s="75"/>
      <c r="Y197" s="76"/>
      <c r="Z197" s="74"/>
      <c r="AA197" s="61"/>
      <c r="AB197" s="77"/>
      <c r="AC197" s="35"/>
      <c r="AD197" s="15"/>
      <c r="AE197" s="15"/>
      <c r="AF197" s="15"/>
      <c r="AG197" s="15"/>
      <c r="AH197" s="15"/>
      <c r="AI197" s="15"/>
      <c r="AJ197" s="16"/>
      <c r="AK197" s="32"/>
      <c r="AL197" s="15"/>
      <c r="AM197" s="15"/>
      <c r="AN197" s="16"/>
    </row>
    <row r="198" spans="1:40" x14ac:dyDescent="0.45">
      <c r="A198" s="19">
        <v>186</v>
      </c>
      <c r="B198" s="57"/>
      <c r="C198" s="58"/>
      <c r="D198" s="59"/>
      <c r="E198" s="60"/>
      <c r="F198" s="61"/>
      <c r="G198" s="61"/>
      <c r="H198" s="61"/>
      <c r="I198" s="61"/>
      <c r="J198" s="62"/>
      <c r="K198" s="28"/>
      <c r="L198" s="69"/>
      <c r="M198" s="29"/>
      <c r="N198" s="71"/>
      <c r="O198" s="35"/>
      <c r="P198" s="16"/>
      <c r="Q198" s="57"/>
      <c r="R198" s="58"/>
      <c r="S198" s="58"/>
      <c r="T198" s="58"/>
      <c r="U198" s="58"/>
      <c r="V198" s="73"/>
      <c r="W198" s="74"/>
      <c r="X198" s="75"/>
      <c r="Y198" s="76"/>
      <c r="Z198" s="74"/>
      <c r="AA198" s="61"/>
      <c r="AB198" s="77"/>
      <c r="AC198" s="35"/>
      <c r="AD198" s="15"/>
      <c r="AE198" s="15"/>
      <c r="AF198" s="15"/>
      <c r="AG198" s="15"/>
      <c r="AH198" s="15"/>
      <c r="AI198" s="15"/>
      <c r="AJ198" s="16"/>
      <c r="AK198" s="32"/>
      <c r="AL198" s="15"/>
      <c r="AM198" s="15"/>
      <c r="AN198" s="16"/>
    </row>
    <row r="199" spans="1:40" x14ac:dyDescent="0.45">
      <c r="A199" s="19">
        <v>187</v>
      </c>
      <c r="B199" s="57"/>
      <c r="C199" s="58"/>
      <c r="D199" s="59"/>
      <c r="E199" s="60"/>
      <c r="F199" s="61"/>
      <c r="G199" s="61"/>
      <c r="H199" s="61"/>
      <c r="I199" s="61"/>
      <c r="J199" s="62"/>
      <c r="K199" s="28"/>
      <c r="L199" s="69"/>
      <c r="M199" s="29"/>
      <c r="N199" s="71"/>
      <c r="O199" s="35"/>
      <c r="P199" s="16"/>
      <c r="Q199" s="57"/>
      <c r="R199" s="58"/>
      <c r="S199" s="58"/>
      <c r="T199" s="58"/>
      <c r="U199" s="58"/>
      <c r="V199" s="73"/>
      <c r="W199" s="74"/>
      <c r="X199" s="75"/>
      <c r="Y199" s="76"/>
      <c r="Z199" s="74"/>
      <c r="AA199" s="61"/>
      <c r="AB199" s="77"/>
      <c r="AC199" s="35"/>
      <c r="AD199" s="15"/>
      <c r="AE199" s="15"/>
      <c r="AF199" s="15"/>
      <c r="AG199" s="15"/>
      <c r="AH199" s="15"/>
      <c r="AI199" s="15"/>
      <c r="AJ199" s="16"/>
      <c r="AK199" s="32"/>
      <c r="AL199" s="15"/>
      <c r="AM199" s="15"/>
      <c r="AN199" s="16"/>
    </row>
    <row r="200" spans="1:40" x14ac:dyDescent="0.45">
      <c r="A200" s="19">
        <v>188</v>
      </c>
      <c r="B200" s="57"/>
      <c r="C200" s="58"/>
      <c r="D200" s="59"/>
      <c r="E200" s="60"/>
      <c r="F200" s="61"/>
      <c r="G200" s="61"/>
      <c r="H200" s="61"/>
      <c r="I200" s="61"/>
      <c r="J200" s="62"/>
      <c r="K200" s="28"/>
      <c r="L200" s="69"/>
      <c r="M200" s="29"/>
      <c r="N200" s="71"/>
      <c r="O200" s="35"/>
      <c r="P200" s="16"/>
      <c r="Q200" s="57"/>
      <c r="R200" s="58"/>
      <c r="S200" s="58"/>
      <c r="T200" s="58"/>
      <c r="U200" s="58"/>
      <c r="V200" s="73"/>
      <c r="W200" s="74"/>
      <c r="X200" s="75"/>
      <c r="Y200" s="76"/>
      <c r="Z200" s="74"/>
      <c r="AA200" s="61"/>
      <c r="AB200" s="77"/>
      <c r="AC200" s="35"/>
      <c r="AD200" s="15"/>
      <c r="AE200" s="15"/>
      <c r="AF200" s="15"/>
      <c r="AG200" s="15"/>
      <c r="AH200" s="15"/>
      <c r="AI200" s="15"/>
      <c r="AJ200" s="16"/>
      <c r="AK200" s="32"/>
      <c r="AL200" s="15"/>
      <c r="AM200" s="15"/>
      <c r="AN200" s="16"/>
    </row>
    <row r="201" spans="1:40" x14ac:dyDescent="0.45">
      <c r="A201" s="19">
        <v>189</v>
      </c>
      <c r="B201" s="57"/>
      <c r="C201" s="58"/>
      <c r="D201" s="59"/>
      <c r="E201" s="60"/>
      <c r="F201" s="61"/>
      <c r="G201" s="61"/>
      <c r="H201" s="61"/>
      <c r="I201" s="61"/>
      <c r="J201" s="62"/>
      <c r="K201" s="28"/>
      <c r="L201" s="69"/>
      <c r="M201" s="29"/>
      <c r="N201" s="71"/>
      <c r="O201" s="35"/>
      <c r="P201" s="16"/>
      <c r="Q201" s="57"/>
      <c r="R201" s="58"/>
      <c r="S201" s="58"/>
      <c r="T201" s="58"/>
      <c r="U201" s="58"/>
      <c r="V201" s="73"/>
      <c r="W201" s="74"/>
      <c r="X201" s="75"/>
      <c r="Y201" s="76"/>
      <c r="Z201" s="74"/>
      <c r="AA201" s="61"/>
      <c r="AB201" s="77"/>
      <c r="AC201" s="35"/>
      <c r="AD201" s="15"/>
      <c r="AE201" s="15"/>
      <c r="AF201" s="15"/>
      <c r="AG201" s="15"/>
      <c r="AH201" s="15"/>
      <c r="AI201" s="15"/>
      <c r="AJ201" s="16"/>
      <c r="AK201" s="32"/>
      <c r="AL201" s="15"/>
      <c r="AM201" s="15"/>
      <c r="AN201" s="16"/>
    </row>
    <row r="202" spans="1:40" x14ac:dyDescent="0.45">
      <c r="A202" s="19">
        <v>190</v>
      </c>
      <c r="B202" s="57"/>
      <c r="C202" s="58"/>
      <c r="D202" s="59"/>
      <c r="E202" s="60"/>
      <c r="F202" s="61"/>
      <c r="G202" s="61"/>
      <c r="H202" s="61"/>
      <c r="I202" s="61"/>
      <c r="J202" s="62"/>
      <c r="K202" s="28"/>
      <c r="L202" s="69"/>
      <c r="M202" s="29"/>
      <c r="N202" s="71"/>
      <c r="O202" s="35"/>
      <c r="P202" s="16"/>
      <c r="Q202" s="57"/>
      <c r="R202" s="58"/>
      <c r="S202" s="58"/>
      <c r="T202" s="58"/>
      <c r="U202" s="58"/>
      <c r="V202" s="73"/>
      <c r="W202" s="74"/>
      <c r="X202" s="75"/>
      <c r="Y202" s="76"/>
      <c r="Z202" s="74"/>
      <c r="AA202" s="61"/>
      <c r="AB202" s="77"/>
      <c r="AC202" s="35"/>
      <c r="AD202" s="15"/>
      <c r="AE202" s="15"/>
      <c r="AF202" s="15"/>
      <c r="AG202" s="15"/>
      <c r="AH202" s="15"/>
      <c r="AI202" s="15"/>
      <c r="AJ202" s="16"/>
      <c r="AK202" s="32"/>
      <c r="AL202" s="15"/>
      <c r="AM202" s="15"/>
      <c r="AN202" s="16"/>
    </row>
    <row r="203" spans="1:40" x14ac:dyDescent="0.45">
      <c r="A203" s="19">
        <v>191</v>
      </c>
      <c r="B203" s="57"/>
      <c r="C203" s="58"/>
      <c r="D203" s="59"/>
      <c r="E203" s="60"/>
      <c r="F203" s="61"/>
      <c r="G203" s="61"/>
      <c r="H203" s="61"/>
      <c r="I203" s="61"/>
      <c r="J203" s="62"/>
      <c r="K203" s="28"/>
      <c r="L203" s="69"/>
      <c r="M203" s="29"/>
      <c r="N203" s="71"/>
      <c r="O203" s="35"/>
      <c r="P203" s="16"/>
      <c r="Q203" s="57"/>
      <c r="R203" s="58"/>
      <c r="S203" s="58"/>
      <c r="T203" s="58"/>
      <c r="U203" s="58"/>
      <c r="V203" s="73"/>
      <c r="W203" s="74"/>
      <c r="X203" s="75"/>
      <c r="Y203" s="76"/>
      <c r="Z203" s="74"/>
      <c r="AA203" s="61"/>
      <c r="AB203" s="77"/>
      <c r="AC203" s="35"/>
      <c r="AD203" s="15"/>
      <c r="AE203" s="15"/>
      <c r="AF203" s="15"/>
      <c r="AG203" s="15"/>
      <c r="AH203" s="15"/>
      <c r="AI203" s="15"/>
      <c r="AJ203" s="16"/>
      <c r="AK203" s="32"/>
      <c r="AL203" s="15"/>
      <c r="AM203" s="15"/>
      <c r="AN203" s="16"/>
    </row>
    <row r="204" spans="1:40" x14ac:dyDescent="0.45">
      <c r="A204" s="19">
        <v>192</v>
      </c>
      <c r="B204" s="57"/>
      <c r="C204" s="58"/>
      <c r="D204" s="59"/>
      <c r="E204" s="60"/>
      <c r="F204" s="61"/>
      <c r="G204" s="61"/>
      <c r="H204" s="61"/>
      <c r="I204" s="61"/>
      <c r="J204" s="62"/>
      <c r="K204" s="28"/>
      <c r="L204" s="69"/>
      <c r="M204" s="29"/>
      <c r="N204" s="71"/>
      <c r="O204" s="35"/>
      <c r="P204" s="16"/>
      <c r="Q204" s="57"/>
      <c r="R204" s="58"/>
      <c r="S204" s="58"/>
      <c r="T204" s="58"/>
      <c r="U204" s="58"/>
      <c r="V204" s="73"/>
      <c r="W204" s="74"/>
      <c r="X204" s="75"/>
      <c r="Y204" s="76"/>
      <c r="Z204" s="74"/>
      <c r="AA204" s="61"/>
      <c r="AB204" s="77"/>
      <c r="AC204" s="35"/>
      <c r="AD204" s="15"/>
      <c r="AE204" s="15"/>
      <c r="AF204" s="15"/>
      <c r="AG204" s="15"/>
      <c r="AH204" s="15"/>
      <c r="AI204" s="15"/>
      <c r="AJ204" s="16"/>
      <c r="AK204" s="32"/>
      <c r="AL204" s="15"/>
      <c r="AM204" s="15"/>
      <c r="AN204" s="16"/>
    </row>
    <row r="205" spans="1:40" x14ac:dyDescent="0.45">
      <c r="A205" s="19">
        <v>193</v>
      </c>
      <c r="B205" s="57"/>
      <c r="C205" s="58"/>
      <c r="D205" s="59"/>
      <c r="E205" s="60"/>
      <c r="F205" s="61"/>
      <c r="G205" s="61"/>
      <c r="H205" s="61"/>
      <c r="I205" s="61"/>
      <c r="J205" s="62"/>
      <c r="K205" s="28"/>
      <c r="L205" s="69"/>
      <c r="M205" s="29"/>
      <c r="N205" s="71"/>
      <c r="O205" s="35"/>
      <c r="P205" s="16"/>
      <c r="Q205" s="57"/>
      <c r="R205" s="58"/>
      <c r="S205" s="58"/>
      <c r="T205" s="58"/>
      <c r="U205" s="58"/>
      <c r="V205" s="73"/>
      <c r="W205" s="74"/>
      <c r="X205" s="75"/>
      <c r="Y205" s="76"/>
      <c r="Z205" s="74"/>
      <c r="AA205" s="61"/>
      <c r="AB205" s="77"/>
      <c r="AC205" s="35"/>
      <c r="AD205" s="15"/>
      <c r="AE205" s="15"/>
      <c r="AF205" s="15"/>
      <c r="AG205" s="15"/>
      <c r="AH205" s="15"/>
      <c r="AI205" s="15"/>
      <c r="AJ205" s="16"/>
      <c r="AK205" s="32"/>
      <c r="AL205" s="15"/>
      <c r="AM205" s="15"/>
      <c r="AN205" s="16"/>
    </row>
    <row r="206" spans="1:40" x14ac:dyDescent="0.45">
      <c r="A206" s="19">
        <v>194</v>
      </c>
      <c r="B206" s="57"/>
      <c r="C206" s="58"/>
      <c r="D206" s="59"/>
      <c r="E206" s="60"/>
      <c r="F206" s="61"/>
      <c r="G206" s="61"/>
      <c r="H206" s="61"/>
      <c r="I206" s="61"/>
      <c r="J206" s="62"/>
      <c r="K206" s="28"/>
      <c r="L206" s="69"/>
      <c r="M206" s="29"/>
      <c r="N206" s="71"/>
      <c r="O206" s="35"/>
      <c r="P206" s="16"/>
      <c r="Q206" s="57"/>
      <c r="R206" s="58"/>
      <c r="S206" s="58"/>
      <c r="T206" s="58"/>
      <c r="U206" s="58"/>
      <c r="V206" s="73"/>
      <c r="W206" s="74"/>
      <c r="X206" s="75"/>
      <c r="Y206" s="76"/>
      <c r="Z206" s="74"/>
      <c r="AA206" s="61"/>
      <c r="AB206" s="77"/>
      <c r="AC206" s="35"/>
      <c r="AD206" s="15"/>
      <c r="AE206" s="15"/>
      <c r="AF206" s="15"/>
      <c r="AG206" s="15"/>
      <c r="AH206" s="15"/>
      <c r="AI206" s="15"/>
      <c r="AJ206" s="16"/>
      <c r="AK206" s="32"/>
      <c r="AL206" s="15"/>
      <c r="AM206" s="15"/>
      <c r="AN206" s="16"/>
    </row>
    <row r="207" spans="1:40" x14ac:dyDescent="0.45">
      <c r="A207" s="19">
        <v>195</v>
      </c>
      <c r="B207" s="57"/>
      <c r="C207" s="58"/>
      <c r="D207" s="59"/>
      <c r="E207" s="60"/>
      <c r="F207" s="61"/>
      <c r="G207" s="61"/>
      <c r="H207" s="61"/>
      <c r="I207" s="61"/>
      <c r="J207" s="62"/>
      <c r="K207" s="28"/>
      <c r="L207" s="69"/>
      <c r="M207" s="29"/>
      <c r="N207" s="71"/>
      <c r="O207" s="35"/>
      <c r="P207" s="16"/>
      <c r="Q207" s="57"/>
      <c r="R207" s="58"/>
      <c r="S207" s="58"/>
      <c r="T207" s="58"/>
      <c r="U207" s="58"/>
      <c r="V207" s="73"/>
      <c r="W207" s="74"/>
      <c r="X207" s="75"/>
      <c r="Y207" s="76"/>
      <c r="Z207" s="74"/>
      <c r="AA207" s="61"/>
      <c r="AB207" s="77"/>
      <c r="AC207" s="35"/>
      <c r="AD207" s="15"/>
      <c r="AE207" s="15"/>
      <c r="AF207" s="15"/>
      <c r="AG207" s="15"/>
      <c r="AH207" s="15"/>
      <c r="AI207" s="15"/>
      <c r="AJ207" s="16"/>
      <c r="AK207" s="32"/>
      <c r="AL207" s="15"/>
      <c r="AM207" s="15"/>
      <c r="AN207" s="16"/>
    </row>
    <row r="208" spans="1:40" x14ac:dyDescent="0.45">
      <c r="A208" s="19">
        <v>196</v>
      </c>
      <c r="B208" s="57"/>
      <c r="C208" s="58"/>
      <c r="D208" s="59"/>
      <c r="E208" s="60"/>
      <c r="F208" s="61"/>
      <c r="G208" s="61"/>
      <c r="H208" s="61"/>
      <c r="I208" s="61"/>
      <c r="J208" s="62"/>
      <c r="K208" s="28"/>
      <c r="L208" s="69"/>
      <c r="M208" s="29"/>
      <c r="N208" s="71"/>
      <c r="O208" s="35"/>
      <c r="P208" s="16"/>
      <c r="Q208" s="57"/>
      <c r="R208" s="58"/>
      <c r="S208" s="58"/>
      <c r="T208" s="58"/>
      <c r="U208" s="58"/>
      <c r="V208" s="73"/>
      <c r="W208" s="74"/>
      <c r="X208" s="75"/>
      <c r="Y208" s="76"/>
      <c r="Z208" s="74"/>
      <c r="AA208" s="61"/>
      <c r="AB208" s="77"/>
      <c r="AC208" s="35"/>
      <c r="AD208" s="15"/>
      <c r="AE208" s="15"/>
      <c r="AF208" s="15"/>
      <c r="AG208" s="15"/>
      <c r="AH208" s="15"/>
      <c r="AI208" s="15"/>
      <c r="AJ208" s="16"/>
      <c r="AK208" s="32"/>
      <c r="AL208" s="15"/>
      <c r="AM208" s="15"/>
      <c r="AN208" s="16"/>
    </row>
    <row r="209" spans="1:40" x14ac:dyDescent="0.45">
      <c r="A209" s="19">
        <v>197</v>
      </c>
      <c r="B209" s="57"/>
      <c r="C209" s="58"/>
      <c r="D209" s="59"/>
      <c r="E209" s="60"/>
      <c r="F209" s="61"/>
      <c r="G209" s="61"/>
      <c r="H209" s="61"/>
      <c r="I209" s="61"/>
      <c r="J209" s="62"/>
      <c r="K209" s="28"/>
      <c r="L209" s="69"/>
      <c r="M209" s="29"/>
      <c r="N209" s="71"/>
      <c r="O209" s="35"/>
      <c r="P209" s="16"/>
      <c r="Q209" s="57"/>
      <c r="R209" s="58"/>
      <c r="S209" s="58"/>
      <c r="T209" s="58"/>
      <c r="U209" s="58"/>
      <c r="V209" s="73"/>
      <c r="W209" s="74"/>
      <c r="X209" s="75"/>
      <c r="Y209" s="76"/>
      <c r="Z209" s="74"/>
      <c r="AA209" s="61"/>
      <c r="AB209" s="77"/>
      <c r="AC209" s="35"/>
      <c r="AD209" s="15"/>
      <c r="AE209" s="15"/>
      <c r="AF209" s="15"/>
      <c r="AG209" s="15"/>
      <c r="AH209" s="15"/>
      <c r="AI209" s="15"/>
      <c r="AJ209" s="16"/>
      <c r="AK209" s="32"/>
      <c r="AL209" s="15"/>
      <c r="AM209" s="15"/>
      <c r="AN209" s="16"/>
    </row>
    <row r="210" spans="1:40" x14ac:dyDescent="0.45">
      <c r="A210" s="19">
        <v>198</v>
      </c>
      <c r="B210" s="57"/>
      <c r="C210" s="58"/>
      <c r="D210" s="59"/>
      <c r="E210" s="60"/>
      <c r="F210" s="61"/>
      <c r="G210" s="61"/>
      <c r="H210" s="61"/>
      <c r="I210" s="61"/>
      <c r="J210" s="62"/>
      <c r="K210" s="28"/>
      <c r="L210" s="69"/>
      <c r="M210" s="29"/>
      <c r="N210" s="71"/>
      <c r="O210" s="35"/>
      <c r="P210" s="16"/>
      <c r="Q210" s="57"/>
      <c r="R210" s="58"/>
      <c r="S210" s="58"/>
      <c r="T210" s="58"/>
      <c r="U210" s="58"/>
      <c r="V210" s="73"/>
      <c r="W210" s="74"/>
      <c r="X210" s="75"/>
      <c r="Y210" s="76"/>
      <c r="Z210" s="74"/>
      <c r="AA210" s="61"/>
      <c r="AB210" s="77"/>
      <c r="AC210" s="35"/>
      <c r="AD210" s="15"/>
      <c r="AE210" s="15"/>
      <c r="AF210" s="15"/>
      <c r="AG210" s="15"/>
      <c r="AH210" s="15"/>
      <c r="AI210" s="15"/>
      <c r="AJ210" s="16"/>
      <c r="AK210" s="32"/>
      <c r="AL210" s="15"/>
      <c r="AM210" s="15"/>
      <c r="AN210" s="16"/>
    </row>
    <row r="211" spans="1:40" x14ac:dyDescent="0.45">
      <c r="A211" s="19">
        <v>199</v>
      </c>
      <c r="B211" s="57"/>
      <c r="C211" s="58"/>
      <c r="D211" s="59"/>
      <c r="E211" s="60"/>
      <c r="F211" s="61"/>
      <c r="G211" s="61"/>
      <c r="H211" s="61"/>
      <c r="I211" s="61"/>
      <c r="J211" s="62"/>
      <c r="K211" s="28"/>
      <c r="L211" s="69"/>
      <c r="M211" s="29"/>
      <c r="N211" s="71"/>
      <c r="O211" s="35"/>
      <c r="P211" s="16"/>
      <c r="Q211" s="57"/>
      <c r="R211" s="58"/>
      <c r="S211" s="58"/>
      <c r="T211" s="58"/>
      <c r="U211" s="58"/>
      <c r="V211" s="73"/>
      <c r="W211" s="74"/>
      <c r="X211" s="75"/>
      <c r="Y211" s="76"/>
      <c r="Z211" s="74"/>
      <c r="AA211" s="61"/>
      <c r="AB211" s="77"/>
      <c r="AC211" s="35"/>
      <c r="AD211" s="15"/>
      <c r="AE211" s="15"/>
      <c r="AF211" s="15"/>
      <c r="AG211" s="15"/>
      <c r="AH211" s="15"/>
      <c r="AI211" s="15"/>
      <c r="AJ211" s="16"/>
      <c r="AK211" s="32"/>
      <c r="AL211" s="15"/>
      <c r="AM211" s="15"/>
      <c r="AN211" s="16"/>
    </row>
    <row r="212" spans="1:40" x14ac:dyDescent="0.45">
      <c r="A212" s="19">
        <v>200</v>
      </c>
      <c r="B212" s="57"/>
      <c r="C212" s="58"/>
      <c r="D212" s="59"/>
      <c r="E212" s="60"/>
      <c r="F212" s="61"/>
      <c r="G212" s="61"/>
      <c r="H212" s="61"/>
      <c r="I212" s="61"/>
      <c r="J212" s="62"/>
      <c r="K212" s="28"/>
      <c r="L212" s="69"/>
      <c r="M212" s="29"/>
      <c r="N212" s="71"/>
      <c r="O212" s="35"/>
      <c r="P212" s="16"/>
      <c r="Q212" s="57"/>
      <c r="R212" s="58"/>
      <c r="S212" s="58"/>
      <c r="T212" s="58"/>
      <c r="U212" s="58"/>
      <c r="V212" s="73"/>
      <c r="W212" s="74"/>
      <c r="X212" s="75"/>
      <c r="Y212" s="76"/>
      <c r="Z212" s="74"/>
      <c r="AA212" s="61"/>
      <c r="AB212" s="77"/>
      <c r="AC212" s="35"/>
      <c r="AD212" s="15"/>
      <c r="AE212" s="15"/>
      <c r="AF212" s="15"/>
      <c r="AG212" s="15"/>
      <c r="AH212" s="15"/>
      <c r="AI212" s="15"/>
      <c r="AJ212" s="16"/>
      <c r="AK212" s="32"/>
      <c r="AL212" s="15"/>
      <c r="AM212" s="15"/>
      <c r="AN212" s="16"/>
    </row>
    <row r="213" spans="1:40" x14ac:dyDescent="0.45">
      <c r="B213" s="63"/>
      <c r="C213" s="64"/>
      <c r="D213" s="65"/>
      <c r="E213" s="66"/>
      <c r="F213" s="67"/>
      <c r="G213" s="67"/>
      <c r="H213" s="67"/>
      <c r="I213" s="67"/>
      <c r="J213" s="68"/>
      <c r="K213" s="30"/>
      <c r="L213" s="70"/>
      <c r="M213" s="31"/>
      <c r="N213" s="72"/>
      <c r="O213" s="36"/>
      <c r="P213" s="18"/>
      <c r="Q213" s="63"/>
      <c r="R213" s="64"/>
      <c r="S213" s="64"/>
      <c r="T213" s="64"/>
      <c r="U213" s="64"/>
      <c r="V213" s="64"/>
      <c r="W213" s="67"/>
      <c r="X213" s="67"/>
      <c r="Y213" s="78"/>
      <c r="Z213" s="78"/>
      <c r="AA213" s="78"/>
      <c r="AB213" s="79"/>
      <c r="AC213" s="37"/>
      <c r="AD213" s="17"/>
      <c r="AE213" s="17"/>
      <c r="AF213" s="17"/>
      <c r="AG213" s="17"/>
      <c r="AH213" s="17"/>
      <c r="AI213" s="17"/>
      <c r="AJ213" s="18"/>
      <c r="AK213" s="33"/>
      <c r="AL213" s="17"/>
      <c r="AM213" s="17"/>
      <c r="AN213" s="18"/>
    </row>
    <row r="214" spans="1:40" x14ac:dyDescent="0.45">
      <c r="E214" s="8"/>
    </row>
  </sheetData>
  <mergeCells count="48">
    <mergeCell ref="E3:J4"/>
    <mergeCell ref="K3:M4"/>
    <mergeCell ref="L9:L12"/>
    <mergeCell ref="B5:C8"/>
    <mergeCell ref="B9:B12"/>
    <mergeCell ref="C9:C12"/>
    <mergeCell ref="D9:D12"/>
    <mergeCell ref="B3:D4"/>
    <mergeCell ref="E9:E12"/>
    <mergeCell ref="F9:F12"/>
    <mergeCell ref="G9:G12"/>
    <mergeCell ref="H9:H12"/>
    <mergeCell ref="I9:I12"/>
    <mergeCell ref="J9:J12"/>
    <mergeCell ref="Q5:T8"/>
    <mergeCell ref="T9:T12"/>
    <mergeCell ref="U9:U12"/>
    <mergeCell ref="V9:V12"/>
    <mergeCell ref="W9:W12"/>
    <mergeCell ref="Q9:Q12"/>
    <mergeCell ref="R9:R12"/>
    <mergeCell ref="S9:S12"/>
    <mergeCell ref="N3:N4"/>
    <mergeCell ref="O3:P4"/>
    <mergeCell ref="Q3:AB4"/>
    <mergeCell ref="AC3:AJ4"/>
    <mergeCell ref="AK3:AN4"/>
    <mergeCell ref="AN10:AN12"/>
    <mergeCell ref="AM10:AM12"/>
    <mergeCell ref="AL10:AL12"/>
    <mergeCell ref="AK10:AK12"/>
    <mergeCell ref="AJ10:AJ12"/>
    <mergeCell ref="AI10:AI12"/>
    <mergeCell ref="AH10:AH12"/>
    <mergeCell ref="AG10:AG12"/>
    <mergeCell ref="AF10:AF12"/>
    <mergeCell ref="AE10:AE12"/>
    <mergeCell ref="AD10:AD12"/>
    <mergeCell ref="AC10:AC12"/>
    <mergeCell ref="M10:M12"/>
    <mergeCell ref="O10:O12"/>
    <mergeCell ref="P10:P12"/>
    <mergeCell ref="Z9:Z12"/>
    <mergeCell ref="AA9:AA12"/>
    <mergeCell ref="AB9:AB12"/>
    <mergeCell ref="X9:X12"/>
    <mergeCell ref="N9:N12"/>
    <mergeCell ref="Y9:Y12"/>
  </mergeCells>
  <pageMargins left="0.7" right="0.7" top="0.75" bottom="0.75" header="0.3" footer="0.3"/>
  <pageSetup orientation="portrait" r:id="rId1"/>
  <drawing r:id="rId2"/>
  <legacyDrawing r:id="rId3"/>
  <oleObjects>
    <mc:AlternateContent xmlns:mc="http://schemas.openxmlformats.org/markup-compatibility/2006">
      <mc:Choice Requires="x14">
        <oleObject progId="Equation.DSMT4" shapeId="25683" r:id="rId4">
          <objectPr defaultSize="0" r:id="rId5">
            <anchor moveWithCells="1">
              <from>
                <xdr:col>31</xdr:col>
                <xdr:colOff>114300</xdr:colOff>
                <xdr:row>9</xdr:row>
                <xdr:rowOff>66675</xdr:rowOff>
              </from>
              <to>
                <xdr:col>31</xdr:col>
                <xdr:colOff>1514475</xdr:colOff>
                <xdr:row>11</xdr:row>
                <xdr:rowOff>171450</xdr:rowOff>
              </to>
            </anchor>
          </objectPr>
        </oleObject>
      </mc:Choice>
      <mc:Fallback>
        <oleObject progId="Equation.DSMT4" shapeId="25683" r:id="rId4"/>
      </mc:Fallback>
    </mc:AlternateContent>
    <mc:AlternateContent xmlns:mc="http://schemas.openxmlformats.org/markup-compatibility/2006">
      <mc:Choice Requires="x14">
        <oleObject progId="Equation.DSMT4" shapeId="25685" r:id="rId6">
          <objectPr defaultSize="0" r:id="rId7">
            <anchor moveWithCells="1">
              <from>
                <xdr:col>35</xdr:col>
                <xdr:colOff>85725</xdr:colOff>
                <xdr:row>9</xdr:row>
                <xdr:rowOff>57150</xdr:rowOff>
              </from>
              <to>
                <xdr:col>35</xdr:col>
                <xdr:colOff>1390650</xdr:colOff>
                <xdr:row>11</xdr:row>
                <xdr:rowOff>161925</xdr:rowOff>
              </to>
            </anchor>
          </objectPr>
        </oleObject>
      </mc:Choice>
      <mc:Fallback>
        <oleObject progId="Equation.DSMT4" shapeId="25685" r:id="rId6"/>
      </mc:Fallback>
    </mc:AlternateContent>
    <mc:AlternateContent xmlns:mc="http://schemas.openxmlformats.org/markup-compatibility/2006">
      <mc:Choice Requires="x14">
        <oleObject progId="Equation.DSMT4" shapeId="25687" r:id="rId8">
          <objectPr defaultSize="0" r:id="rId9">
            <anchor moveWithCells="1">
              <from>
                <xdr:col>34</xdr:col>
                <xdr:colOff>104775</xdr:colOff>
                <xdr:row>9</xdr:row>
                <xdr:rowOff>66675</xdr:rowOff>
              </from>
              <to>
                <xdr:col>34</xdr:col>
                <xdr:colOff>1485900</xdr:colOff>
                <xdr:row>11</xdr:row>
                <xdr:rowOff>180975</xdr:rowOff>
              </to>
            </anchor>
          </objectPr>
        </oleObject>
      </mc:Choice>
      <mc:Fallback>
        <oleObject progId="Equation.DSMT4" shapeId="25687" r:id="rId8"/>
      </mc:Fallback>
    </mc:AlternateContent>
    <mc:AlternateContent xmlns:mc="http://schemas.openxmlformats.org/markup-compatibility/2006">
      <mc:Choice Requires="x14">
        <oleObject progId="Equation.DSMT4" shapeId="25688" r:id="rId10">
          <objectPr defaultSize="0" r:id="rId11">
            <anchor moveWithCells="1">
              <from>
                <xdr:col>29</xdr:col>
                <xdr:colOff>133350</xdr:colOff>
                <xdr:row>9</xdr:row>
                <xdr:rowOff>180975</xdr:rowOff>
              </from>
              <to>
                <xdr:col>29</xdr:col>
                <xdr:colOff>1085850</xdr:colOff>
                <xdr:row>11</xdr:row>
                <xdr:rowOff>28575</xdr:rowOff>
              </to>
            </anchor>
          </objectPr>
        </oleObject>
      </mc:Choice>
      <mc:Fallback>
        <oleObject progId="Equation.DSMT4" shapeId="25688" r:id="rId10"/>
      </mc:Fallback>
    </mc:AlternateContent>
    <mc:AlternateContent xmlns:mc="http://schemas.openxmlformats.org/markup-compatibility/2006">
      <mc:Choice Requires="x14">
        <oleObject progId="Equation.DSMT4" shapeId="25689" r:id="rId12">
          <objectPr defaultSize="0" autoPict="0" r:id="rId13">
            <anchor moveWithCells="1">
              <from>
                <xdr:col>30</xdr:col>
                <xdr:colOff>142875</xdr:colOff>
                <xdr:row>9</xdr:row>
                <xdr:rowOff>28575</xdr:rowOff>
              </from>
              <to>
                <xdr:col>30</xdr:col>
                <xdr:colOff>1362075</xdr:colOff>
                <xdr:row>11</xdr:row>
                <xdr:rowOff>152400</xdr:rowOff>
              </to>
            </anchor>
          </objectPr>
        </oleObject>
      </mc:Choice>
      <mc:Fallback>
        <oleObject progId="Equation.DSMT4" shapeId="25689" r:id="rId12"/>
      </mc:Fallback>
    </mc:AlternateContent>
    <mc:AlternateContent xmlns:mc="http://schemas.openxmlformats.org/markup-compatibility/2006">
      <mc:Choice Requires="x14">
        <oleObject progId="Equation.DSMT4" shapeId="25690" r:id="rId14">
          <objectPr defaultSize="0" r:id="rId15">
            <anchor moveWithCells="1">
              <from>
                <xdr:col>32</xdr:col>
                <xdr:colOff>133350</xdr:colOff>
                <xdr:row>9</xdr:row>
                <xdr:rowOff>57150</xdr:rowOff>
              </from>
              <to>
                <xdr:col>32</xdr:col>
                <xdr:colOff>1400175</xdr:colOff>
                <xdr:row>12</xdr:row>
                <xdr:rowOff>9525</xdr:rowOff>
              </to>
            </anchor>
          </objectPr>
        </oleObject>
      </mc:Choice>
      <mc:Fallback>
        <oleObject progId="Equation.DSMT4" shapeId="25690" r:id="rId14"/>
      </mc:Fallback>
    </mc:AlternateContent>
    <mc:AlternateContent xmlns:mc="http://schemas.openxmlformats.org/markup-compatibility/2006">
      <mc:Choice Requires="x14">
        <oleObject progId="Equation.DSMT4" shapeId="25691" r:id="rId16">
          <objectPr defaultSize="0" r:id="rId17">
            <anchor moveWithCells="1">
              <from>
                <xdr:col>33</xdr:col>
                <xdr:colOff>85725</xdr:colOff>
                <xdr:row>10</xdr:row>
                <xdr:rowOff>47625</xdr:rowOff>
              </from>
              <to>
                <xdr:col>33</xdr:col>
                <xdr:colOff>2162175</xdr:colOff>
                <xdr:row>11</xdr:row>
                <xdr:rowOff>76200</xdr:rowOff>
              </to>
            </anchor>
          </objectPr>
        </oleObject>
      </mc:Choice>
      <mc:Fallback>
        <oleObject progId="Equation.DSMT4" shapeId="25691" r:id="rId16"/>
      </mc:Fallback>
    </mc:AlternateContent>
    <mc:AlternateContent xmlns:mc="http://schemas.openxmlformats.org/markup-compatibility/2006">
      <mc:Choice Requires="x14">
        <oleObject progId="Equation.DSMT4" shapeId="25698" r:id="rId18">
          <objectPr defaultSize="0" r:id="rId19">
            <anchor moveWithCells="1">
              <from>
                <xdr:col>28</xdr:col>
                <xdr:colOff>114300</xdr:colOff>
                <xdr:row>9</xdr:row>
                <xdr:rowOff>66675</xdr:rowOff>
              </from>
              <to>
                <xdr:col>28</xdr:col>
                <xdr:colOff>2362200</xdr:colOff>
                <xdr:row>11</xdr:row>
                <xdr:rowOff>142875</xdr:rowOff>
              </to>
            </anchor>
          </objectPr>
        </oleObject>
      </mc:Choice>
      <mc:Fallback>
        <oleObject progId="Equation.DSMT4" shapeId="25698" r:id="rId18"/>
      </mc:Fallback>
    </mc:AlternateContent>
    <mc:AlternateContent xmlns:mc="http://schemas.openxmlformats.org/markup-compatibility/2006">
      <mc:Choice Requires="x14">
        <oleObject progId="Equation.DSMT4" shapeId="25699" r:id="rId20">
          <objectPr defaultSize="0" r:id="rId21">
            <anchor moveWithCells="1">
              <from>
                <xdr:col>14</xdr:col>
                <xdr:colOff>209550</xdr:colOff>
                <xdr:row>9</xdr:row>
                <xdr:rowOff>133350</xdr:rowOff>
              </from>
              <to>
                <xdr:col>14</xdr:col>
                <xdr:colOff>1009650</xdr:colOff>
                <xdr:row>11</xdr:row>
                <xdr:rowOff>19050</xdr:rowOff>
              </to>
            </anchor>
          </objectPr>
        </oleObject>
      </mc:Choice>
      <mc:Fallback>
        <oleObject progId="Equation.DSMT4" shapeId="25699" r:id="rId20"/>
      </mc:Fallback>
    </mc:AlternateContent>
    <mc:AlternateContent xmlns:mc="http://schemas.openxmlformats.org/markup-compatibility/2006">
      <mc:Choice Requires="x14">
        <oleObject progId="Equation.DSMT4" shapeId="25700" r:id="rId22">
          <objectPr defaultSize="0" autoPict="0" r:id="rId23">
            <anchor moveWithCells="1">
              <from>
                <xdr:col>15</xdr:col>
                <xdr:colOff>114300</xdr:colOff>
                <xdr:row>9</xdr:row>
                <xdr:rowOff>0</xdr:rowOff>
              </from>
              <to>
                <xdr:col>15</xdr:col>
                <xdr:colOff>1485900</xdr:colOff>
                <xdr:row>12</xdr:row>
                <xdr:rowOff>19050</xdr:rowOff>
              </to>
            </anchor>
          </objectPr>
        </oleObject>
      </mc:Choice>
      <mc:Fallback>
        <oleObject progId="Equation.DSMT4" shapeId="25700" r:id="rId22"/>
      </mc:Fallback>
    </mc:AlternateContent>
    <mc:AlternateContent xmlns:mc="http://schemas.openxmlformats.org/markup-compatibility/2006">
      <mc:Choice Requires="x14">
        <oleObject progId="Equation.DSMT4" shapeId="25702" r:id="rId24">
          <objectPr defaultSize="0" r:id="rId25">
            <anchor moveWithCells="1">
              <from>
                <xdr:col>37</xdr:col>
                <xdr:colOff>114300</xdr:colOff>
                <xdr:row>9</xdr:row>
                <xdr:rowOff>95250</xdr:rowOff>
              </from>
              <to>
                <xdr:col>37</xdr:col>
                <xdr:colOff>1152525</xdr:colOff>
                <xdr:row>11</xdr:row>
                <xdr:rowOff>123825</xdr:rowOff>
              </to>
            </anchor>
          </objectPr>
        </oleObject>
      </mc:Choice>
      <mc:Fallback>
        <oleObject progId="Equation.DSMT4" shapeId="25702" r:id="rId24"/>
      </mc:Fallback>
    </mc:AlternateContent>
    <mc:AlternateContent xmlns:mc="http://schemas.openxmlformats.org/markup-compatibility/2006">
      <mc:Choice Requires="x14">
        <oleObject progId="Equation.DSMT4" shapeId="25703" r:id="rId26">
          <objectPr defaultSize="0" r:id="rId27">
            <anchor moveWithCells="1">
              <from>
                <xdr:col>38</xdr:col>
                <xdr:colOff>114300</xdr:colOff>
                <xdr:row>9</xdr:row>
                <xdr:rowOff>104775</xdr:rowOff>
              </from>
              <to>
                <xdr:col>38</xdr:col>
                <xdr:colOff>971550</xdr:colOff>
                <xdr:row>11</xdr:row>
                <xdr:rowOff>171450</xdr:rowOff>
              </to>
            </anchor>
          </objectPr>
        </oleObject>
      </mc:Choice>
      <mc:Fallback>
        <oleObject progId="Equation.DSMT4" shapeId="25703" r:id="rId26"/>
      </mc:Fallback>
    </mc:AlternateContent>
    <mc:AlternateContent xmlns:mc="http://schemas.openxmlformats.org/markup-compatibility/2006">
      <mc:Choice Requires="x14">
        <oleObject progId="Equation.DSMT4" shapeId="25704" r:id="rId28">
          <objectPr defaultSize="0" r:id="rId29">
            <anchor moveWithCells="1">
              <from>
                <xdr:col>39</xdr:col>
                <xdr:colOff>285750</xdr:colOff>
                <xdr:row>9</xdr:row>
                <xdr:rowOff>114300</xdr:rowOff>
              </from>
              <to>
                <xdr:col>39</xdr:col>
                <xdr:colOff>819150</xdr:colOff>
                <xdr:row>11</xdr:row>
                <xdr:rowOff>142875</xdr:rowOff>
              </to>
            </anchor>
          </objectPr>
        </oleObject>
      </mc:Choice>
      <mc:Fallback>
        <oleObject progId="Equation.DSMT4" shapeId="25704" r:id="rId28"/>
      </mc:Fallback>
    </mc:AlternateContent>
    <mc:AlternateContent xmlns:mc="http://schemas.openxmlformats.org/markup-compatibility/2006">
      <mc:Choice Requires="x14">
        <oleObject progId="Equation.DSMT4" shapeId="25705" r:id="rId30">
          <objectPr defaultSize="0" autoPict="0" r:id="rId31">
            <anchor moveWithCells="1">
              <from>
                <xdr:col>10</xdr:col>
                <xdr:colOff>57150</xdr:colOff>
                <xdr:row>9</xdr:row>
                <xdr:rowOff>76200</xdr:rowOff>
              </from>
              <to>
                <xdr:col>10</xdr:col>
                <xdr:colOff>1571625</xdr:colOff>
                <xdr:row>11</xdr:row>
                <xdr:rowOff>114300</xdr:rowOff>
              </to>
            </anchor>
          </objectPr>
        </oleObject>
      </mc:Choice>
      <mc:Fallback>
        <oleObject progId="Equation.DSMT4" shapeId="25705" r:id="rId30"/>
      </mc:Fallback>
    </mc:AlternateContent>
    <mc:AlternateContent xmlns:mc="http://schemas.openxmlformats.org/markup-compatibility/2006">
      <mc:Choice Requires="x14">
        <oleObject progId="Equation.DSMT4" shapeId="25706" r:id="rId32">
          <objectPr defaultSize="0" r:id="rId33">
            <anchor moveWithCells="1">
              <from>
                <xdr:col>12</xdr:col>
                <xdr:colOff>114300</xdr:colOff>
                <xdr:row>9</xdr:row>
                <xdr:rowOff>47625</xdr:rowOff>
              </from>
              <to>
                <xdr:col>12</xdr:col>
                <xdr:colOff>2133600</xdr:colOff>
                <xdr:row>11</xdr:row>
                <xdr:rowOff>142875</xdr:rowOff>
              </to>
            </anchor>
          </objectPr>
        </oleObject>
      </mc:Choice>
      <mc:Fallback>
        <oleObject progId="Equation.DSMT4" shapeId="25706" r:id="rId32"/>
      </mc:Fallback>
    </mc:AlternateContent>
  </oleObjec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986350-AC8F-4272-BDA8-57B6A0F9A20E}">
  <dimension ref="A1:AX160"/>
  <sheetViews>
    <sheetView showGridLines="0" zoomScale="115" zoomScaleNormal="115" workbookViewId="0">
      <pane ySplit="1" topLeftCell="A2" activePane="bottomLeft" state="frozen"/>
      <selection pane="bottomLeft" activeCell="A2" sqref="A2"/>
    </sheetView>
  </sheetViews>
  <sheetFormatPr defaultColWidth="11.265625" defaultRowHeight="15.4" x14ac:dyDescent="0.45"/>
  <cols>
    <col min="1" max="1" width="8.59765625" style="38" bestFit="1" customWidth="1"/>
    <col min="2" max="2" width="11.265625" style="38" bestFit="1" customWidth="1"/>
    <col min="3" max="3" width="8.73046875" style="38" bestFit="1" customWidth="1"/>
    <col min="4" max="4" width="8.86328125" style="38" bestFit="1" customWidth="1"/>
    <col min="5" max="5" width="13.59765625" style="38" bestFit="1" customWidth="1"/>
    <col min="6" max="6" width="16.3984375" style="38" bestFit="1" customWidth="1"/>
    <col min="7" max="7" width="13.73046875" style="38" bestFit="1" customWidth="1"/>
    <col min="8" max="8" width="15.59765625" style="38" bestFit="1" customWidth="1"/>
    <col min="9" max="9" width="8.265625" style="38" bestFit="1" customWidth="1"/>
    <col min="10" max="10" width="7.59765625" style="38" bestFit="1" customWidth="1"/>
    <col min="11" max="11" width="11" style="38" bestFit="1" customWidth="1"/>
    <col min="12" max="12" width="11.265625" style="38" bestFit="1" customWidth="1"/>
    <col min="13" max="13" width="10.1328125" style="38" bestFit="1" customWidth="1"/>
    <col min="14" max="14" width="11.265625" style="38"/>
    <col min="15" max="15" width="8.265625" style="38" bestFit="1" customWidth="1"/>
    <col min="16" max="16" width="9.265625" style="38" bestFit="1" customWidth="1"/>
    <col min="17" max="17" width="8.59765625" style="38" bestFit="1" customWidth="1"/>
    <col min="18" max="19" width="8.1328125" style="38" bestFit="1" customWidth="1"/>
    <col min="20" max="21" width="11.265625" style="38"/>
    <col min="22" max="22" width="11" style="38" bestFit="1" customWidth="1"/>
    <col min="23" max="23" width="8.1328125" style="38" bestFit="1" customWidth="1"/>
    <col min="24" max="24" width="8.73046875" style="38" bestFit="1" customWidth="1"/>
    <col min="25" max="25" width="10.1328125" style="38" bestFit="1" customWidth="1"/>
    <col min="26" max="27" width="8.1328125" style="38" bestFit="1" customWidth="1"/>
    <col min="28" max="28" width="8.73046875" style="38" bestFit="1" customWidth="1"/>
    <col min="29" max="29" width="10.86328125" style="38" bestFit="1" customWidth="1"/>
    <col min="30" max="30" width="10.1328125" style="38" bestFit="1" customWidth="1"/>
    <col min="31" max="31" width="10.265625" style="38" bestFit="1" customWidth="1"/>
    <col min="32" max="32" width="10.59765625" style="38" bestFit="1" customWidth="1"/>
    <col min="33" max="33" width="11" style="38" bestFit="1" customWidth="1"/>
    <col min="34" max="34" width="11.59765625" style="38" bestFit="1" customWidth="1"/>
    <col min="35" max="35" width="10.59765625" style="38" bestFit="1" customWidth="1"/>
    <col min="36" max="36" width="10.265625" style="38" bestFit="1" customWidth="1"/>
    <col min="37" max="37" width="8.3984375" style="38" bestFit="1" customWidth="1"/>
    <col min="38" max="38" width="11.265625" style="38"/>
    <col min="39" max="39" width="9" style="38" bestFit="1" customWidth="1"/>
    <col min="40" max="40" width="8.3984375" style="38" bestFit="1" customWidth="1"/>
    <col min="41" max="41" width="10.59765625" style="38" bestFit="1" customWidth="1"/>
    <col min="42" max="42" width="9.265625" style="38" bestFit="1" customWidth="1"/>
    <col min="43" max="43" width="8.59765625" style="38" bestFit="1" customWidth="1"/>
    <col min="44" max="44" width="9.59765625" style="38" bestFit="1" customWidth="1"/>
    <col min="45" max="45" width="10" style="38" bestFit="1" customWidth="1"/>
    <col min="46" max="46" width="11.59765625" style="38" bestFit="1" customWidth="1"/>
    <col min="47" max="47" width="12" style="38" bestFit="1" customWidth="1"/>
    <col min="48" max="48" width="9.1328125" style="38" bestFit="1" customWidth="1"/>
    <col min="49" max="49" width="8.1328125" style="38" bestFit="1" customWidth="1"/>
    <col min="50" max="50" width="11" style="38" bestFit="1" customWidth="1"/>
    <col min="51" max="16384" width="11.265625" style="38"/>
  </cols>
  <sheetData>
    <row r="1" spans="1:50" x14ac:dyDescent="0.45">
      <c r="A1" s="38" t="s">
        <v>69</v>
      </c>
      <c r="B1" s="38" t="s">
        <v>70</v>
      </c>
      <c r="C1" s="38" t="s">
        <v>71</v>
      </c>
      <c r="D1" s="38" t="s">
        <v>72</v>
      </c>
      <c r="E1" s="38" t="s">
        <v>73</v>
      </c>
      <c r="F1" s="38" t="s">
        <v>234</v>
      </c>
      <c r="G1" s="38" t="s">
        <v>74</v>
      </c>
      <c r="H1" s="38" t="s">
        <v>460</v>
      </c>
      <c r="I1" s="38" t="s">
        <v>75</v>
      </c>
      <c r="J1" s="38" t="s">
        <v>76</v>
      </c>
      <c r="K1" s="38" t="s">
        <v>77</v>
      </c>
      <c r="L1" s="38" t="s">
        <v>78</v>
      </c>
      <c r="M1" s="38" t="s">
        <v>79</v>
      </c>
      <c r="N1" s="38" t="s">
        <v>80</v>
      </c>
      <c r="O1" s="38" t="s">
        <v>81</v>
      </c>
      <c r="P1" s="38" t="s">
        <v>82</v>
      </c>
      <c r="Q1" s="38" t="s">
        <v>83</v>
      </c>
      <c r="R1" s="38" t="s">
        <v>84</v>
      </c>
      <c r="S1" s="38" t="s">
        <v>85</v>
      </c>
      <c r="T1" s="38" t="s">
        <v>86</v>
      </c>
      <c r="U1" s="38" t="s">
        <v>87</v>
      </c>
      <c r="V1" s="38" t="s">
        <v>88</v>
      </c>
      <c r="W1" s="38" t="s">
        <v>89</v>
      </c>
      <c r="X1" s="38" t="s">
        <v>90</v>
      </c>
      <c r="Y1" s="38" t="s">
        <v>91</v>
      </c>
      <c r="Z1" s="38" t="s">
        <v>92</v>
      </c>
      <c r="AA1" s="38" t="s">
        <v>93</v>
      </c>
      <c r="AB1" s="38" t="s">
        <v>94</v>
      </c>
      <c r="AC1" s="38" t="s">
        <v>95</v>
      </c>
      <c r="AD1" s="38" t="s">
        <v>96</v>
      </c>
      <c r="AE1" s="38" t="s">
        <v>97</v>
      </c>
      <c r="AF1" s="38" t="s">
        <v>98</v>
      </c>
      <c r="AG1" s="38" t="s">
        <v>99</v>
      </c>
      <c r="AH1" s="38" t="s">
        <v>100</v>
      </c>
      <c r="AI1" s="38" t="s">
        <v>101</v>
      </c>
      <c r="AJ1" s="38" t="s">
        <v>102</v>
      </c>
      <c r="AK1" s="38" t="s">
        <v>103</v>
      </c>
      <c r="AL1" s="38" t="s">
        <v>104</v>
      </c>
      <c r="AM1" s="38" t="s">
        <v>105</v>
      </c>
      <c r="AN1" s="38" t="s">
        <v>106</v>
      </c>
      <c r="AO1" s="38" t="s">
        <v>107</v>
      </c>
      <c r="AP1" s="38" t="s">
        <v>108</v>
      </c>
      <c r="AQ1" s="38" t="s">
        <v>109</v>
      </c>
      <c r="AR1" s="38" t="s">
        <v>110</v>
      </c>
      <c r="AS1" s="38" t="s">
        <v>111</v>
      </c>
      <c r="AT1" s="38" t="s">
        <v>112</v>
      </c>
      <c r="AU1" s="38" t="s">
        <v>113</v>
      </c>
      <c r="AV1" s="38" t="s">
        <v>114</v>
      </c>
      <c r="AW1" s="38" t="s">
        <v>115</v>
      </c>
      <c r="AX1" s="38" t="s">
        <v>116</v>
      </c>
    </row>
    <row r="2" spans="1:50" x14ac:dyDescent="0.45">
      <c r="A2" s="38" t="s">
        <v>117</v>
      </c>
      <c r="B2" s="38">
        <v>1</v>
      </c>
      <c r="C2" s="38" t="s">
        <v>118</v>
      </c>
      <c r="D2" s="38">
        <v>1</v>
      </c>
      <c r="E2" s="38">
        <v>19600</v>
      </c>
      <c r="F2" s="38">
        <f>E2/1000</f>
        <v>19.600000000000001</v>
      </c>
      <c r="G2" s="38">
        <v>9235468.75</v>
      </c>
      <c r="H2" s="38">
        <f>G2/(1000*1000)</f>
        <v>9.2354687500000008</v>
      </c>
      <c r="I2" s="38">
        <v>2567</v>
      </c>
      <c r="J2" s="38">
        <v>2567</v>
      </c>
      <c r="K2" s="38" t="s">
        <v>119</v>
      </c>
      <c r="L2" s="38" t="s">
        <v>119</v>
      </c>
      <c r="M2" s="38" t="s">
        <v>119</v>
      </c>
      <c r="N2" s="38">
        <v>60.379257000000003</v>
      </c>
      <c r="O2" s="38" t="s">
        <v>120</v>
      </c>
      <c r="P2" s="38" t="s">
        <v>120</v>
      </c>
      <c r="Q2" s="38" t="s">
        <v>119</v>
      </c>
      <c r="R2" s="38" t="s">
        <v>119</v>
      </c>
      <c r="S2" s="38" t="s">
        <v>119</v>
      </c>
      <c r="T2" s="38">
        <v>81.059149000000005</v>
      </c>
      <c r="U2" s="38">
        <v>84.421887999999996</v>
      </c>
      <c r="V2" s="38" t="s">
        <v>119</v>
      </c>
      <c r="W2" s="38" t="s">
        <v>119</v>
      </c>
      <c r="X2" s="38" t="s">
        <v>119</v>
      </c>
      <c r="Y2" s="38" t="s">
        <v>119</v>
      </c>
      <c r="Z2" s="38" t="s">
        <v>119</v>
      </c>
      <c r="AA2" s="38" t="s">
        <v>119</v>
      </c>
      <c r="AB2" s="38" t="s">
        <v>119</v>
      </c>
      <c r="AC2" s="38" t="s">
        <v>119</v>
      </c>
      <c r="AD2" s="38" t="s">
        <v>119</v>
      </c>
      <c r="AE2" s="38" t="s">
        <v>119</v>
      </c>
      <c r="AF2" s="38" t="s">
        <v>119</v>
      </c>
      <c r="AG2" s="38" t="s">
        <v>119</v>
      </c>
      <c r="AH2" s="38" t="s">
        <v>119</v>
      </c>
      <c r="AI2" s="38" t="s">
        <v>119</v>
      </c>
      <c r="AJ2" s="38" t="s">
        <v>119</v>
      </c>
      <c r="AK2" s="38" t="s">
        <v>119</v>
      </c>
      <c r="AL2" s="38" t="s">
        <v>119</v>
      </c>
      <c r="AM2" s="38" t="s">
        <v>119</v>
      </c>
      <c r="AN2" s="38" t="s">
        <v>119</v>
      </c>
      <c r="AO2" s="38" t="s">
        <v>119</v>
      </c>
      <c r="AP2" s="38" t="s">
        <v>119</v>
      </c>
      <c r="AQ2" s="38" t="s">
        <v>119</v>
      </c>
      <c r="AR2" s="38" t="s">
        <v>119</v>
      </c>
      <c r="AS2" s="38" t="s">
        <v>119</v>
      </c>
      <c r="AT2" s="38" t="s">
        <v>119</v>
      </c>
      <c r="AU2" s="38" t="s">
        <v>119</v>
      </c>
      <c r="AV2" s="38" t="s">
        <v>119</v>
      </c>
      <c r="AW2" s="38" t="s">
        <v>119</v>
      </c>
      <c r="AX2" s="38" t="s">
        <v>119</v>
      </c>
    </row>
    <row r="3" spans="1:50" x14ac:dyDescent="0.45">
      <c r="A3" s="38" t="s">
        <v>121</v>
      </c>
      <c r="B3" s="38">
        <v>2</v>
      </c>
      <c r="C3" s="38" t="s">
        <v>118</v>
      </c>
      <c r="D3" s="38">
        <v>2</v>
      </c>
      <c r="E3" s="38">
        <v>23550</v>
      </c>
      <c r="F3" s="38">
        <f t="shared" ref="F3:F66" si="0">E3/1000</f>
        <v>23.55</v>
      </c>
      <c r="G3" s="38">
        <v>10445468.75</v>
      </c>
      <c r="H3" s="38">
        <f t="shared" ref="H3:H66" si="1">G3/(1000*1000)</f>
        <v>10.44546875</v>
      </c>
      <c r="I3" s="38">
        <v>2568</v>
      </c>
      <c r="J3" s="38">
        <v>2568</v>
      </c>
      <c r="K3" s="38" t="s">
        <v>119</v>
      </c>
      <c r="L3" s="38" t="s">
        <v>119</v>
      </c>
      <c r="M3" s="38" t="s">
        <v>119</v>
      </c>
      <c r="N3" s="38">
        <v>67.902198999999996</v>
      </c>
      <c r="O3" s="38" t="s">
        <v>120</v>
      </c>
      <c r="P3" s="38" t="s">
        <v>120</v>
      </c>
      <c r="Q3" s="38" t="s">
        <v>119</v>
      </c>
      <c r="R3" s="38" t="s">
        <v>119</v>
      </c>
      <c r="S3" s="38" t="s">
        <v>119</v>
      </c>
      <c r="T3" s="38">
        <v>81.821432000000001</v>
      </c>
      <c r="U3" s="38">
        <v>84.029600000000002</v>
      </c>
      <c r="V3" s="38" t="s">
        <v>119</v>
      </c>
      <c r="W3" s="38" t="s">
        <v>119</v>
      </c>
      <c r="X3" s="38" t="s">
        <v>119</v>
      </c>
      <c r="Y3" s="38" t="s">
        <v>119</v>
      </c>
      <c r="Z3" s="38" t="s">
        <v>119</v>
      </c>
      <c r="AA3" s="38" t="s">
        <v>119</v>
      </c>
      <c r="AB3" s="38" t="s">
        <v>119</v>
      </c>
      <c r="AC3" s="38" t="s">
        <v>119</v>
      </c>
      <c r="AD3" s="38" t="s">
        <v>119</v>
      </c>
      <c r="AE3" s="38" t="s">
        <v>119</v>
      </c>
      <c r="AF3" s="38" t="s">
        <v>119</v>
      </c>
      <c r="AG3" s="38" t="s">
        <v>119</v>
      </c>
      <c r="AH3" s="38" t="s">
        <v>119</v>
      </c>
      <c r="AI3" s="38" t="s">
        <v>119</v>
      </c>
      <c r="AJ3" s="38" t="s">
        <v>119</v>
      </c>
      <c r="AK3" s="38" t="s">
        <v>119</v>
      </c>
      <c r="AL3" s="38" t="s">
        <v>119</v>
      </c>
      <c r="AM3" s="38" t="s">
        <v>119</v>
      </c>
      <c r="AN3" s="38" t="s">
        <v>119</v>
      </c>
      <c r="AO3" s="38" t="s">
        <v>119</v>
      </c>
      <c r="AP3" s="38" t="s">
        <v>119</v>
      </c>
      <c r="AQ3" s="38" t="s">
        <v>119</v>
      </c>
      <c r="AR3" s="38" t="s">
        <v>119</v>
      </c>
      <c r="AS3" s="38" t="s">
        <v>119</v>
      </c>
      <c r="AT3" s="38" t="s">
        <v>119</v>
      </c>
      <c r="AU3" s="38" t="s">
        <v>119</v>
      </c>
      <c r="AV3" s="38" t="s">
        <v>119</v>
      </c>
      <c r="AW3" s="38" t="s">
        <v>119</v>
      </c>
      <c r="AX3" s="38" t="s">
        <v>119</v>
      </c>
    </row>
    <row r="4" spans="1:50" x14ac:dyDescent="0.45">
      <c r="A4" s="38" t="s">
        <v>122</v>
      </c>
      <c r="B4" s="38">
        <v>3</v>
      </c>
      <c r="C4" s="38" t="s">
        <v>118</v>
      </c>
      <c r="D4" s="38">
        <v>3</v>
      </c>
      <c r="E4" s="38">
        <v>20050</v>
      </c>
      <c r="F4" s="38">
        <f t="shared" si="0"/>
        <v>20.05</v>
      </c>
      <c r="G4" s="38">
        <v>11585625</v>
      </c>
      <c r="H4" s="38">
        <f t="shared" si="1"/>
        <v>11.585625</v>
      </c>
      <c r="I4" s="38">
        <v>2569</v>
      </c>
      <c r="J4" s="38">
        <v>2569</v>
      </c>
      <c r="K4" s="38" t="s">
        <v>119</v>
      </c>
      <c r="L4" s="38" t="s">
        <v>119</v>
      </c>
      <c r="M4" s="38" t="s">
        <v>119</v>
      </c>
      <c r="N4" s="38">
        <v>54.088684000000001</v>
      </c>
      <c r="O4" s="38" t="s">
        <v>120</v>
      </c>
      <c r="P4" s="38" t="s">
        <v>120</v>
      </c>
      <c r="Q4" s="38" t="s">
        <v>119</v>
      </c>
      <c r="R4" s="38" t="s">
        <v>119</v>
      </c>
      <c r="S4" s="38" t="s">
        <v>119</v>
      </c>
      <c r="T4" s="38">
        <v>87.977547000000001</v>
      </c>
      <c r="U4" s="38">
        <v>84.011551999999995</v>
      </c>
      <c r="V4" s="38" t="s">
        <v>119</v>
      </c>
      <c r="W4" s="38" t="s">
        <v>119</v>
      </c>
      <c r="X4" s="38" t="s">
        <v>119</v>
      </c>
      <c r="Y4" s="38" t="s">
        <v>119</v>
      </c>
      <c r="Z4" s="38" t="s">
        <v>119</v>
      </c>
      <c r="AA4" s="38" t="s">
        <v>119</v>
      </c>
      <c r="AB4" s="38" t="s">
        <v>119</v>
      </c>
      <c r="AC4" s="38" t="s">
        <v>119</v>
      </c>
      <c r="AD4" s="38" t="s">
        <v>119</v>
      </c>
      <c r="AE4" s="38" t="s">
        <v>119</v>
      </c>
      <c r="AF4" s="38" t="s">
        <v>119</v>
      </c>
      <c r="AG4" s="38" t="s">
        <v>119</v>
      </c>
      <c r="AH4" s="38" t="s">
        <v>119</v>
      </c>
      <c r="AI4" s="38" t="s">
        <v>119</v>
      </c>
      <c r="AJ4" s="38" t="s">
        <v>119</v>
      </c>
      <c r="AK4" s="38" t="s">
        <v>119</v>
      </c>
      <c r="AL4" s="38" t="s">
        <v>119</v>
      </c>
      <c r="AM4" s="38" t="s">
        <v>119</v>
      </c>
      <c r="AN4" s="38" t="s">
        <v>119</v>
      </c>
      <c r="AO4" s="38" t="s">
        <v>119</v>
      </c>
      <c r="AP4" s="38" t="s">
        <v>119</v>
      </c>
      <c r="AQ4" s="38" t="s">
        <v>119</v>
      </c>
      <c r="AR4" s="38" t="s">
        <v>119</v>
      </c>
      <c r="AS4" s="38" t="s">
        <v>119</v>
      </c>
      <c r="AT4" s="38" t="s">
        <v>119</v>
      </c>
      <c r="AU4" s="38" t="s">
        <v>119</v>
      </c>
      <c r="AV4" s="38" t="s">
        <v>119</v>
      </c>
      <c r="AW4" s="38" t="s">
        <v>119</v>
      </c>
      <c r="AX4" s="38" t="s">
        <v>119</v>
      </c>
    </row>
    <row r="5" spans="1:50" x14ac:dyDescent="0.45">
      <c r="A5" s="38" t="s">
        <v>123</v>
      </c>
      <c r="B5" s="38">
        <v>4</v>
      </c>
      <c r="C5" s="38" t="s">
        <v>118</v>
      </c>
      <c r="D5" s="38">
        <v>4</v>
      </c>
      <c r="E5" s="38">
        <v>21700</v>
      </c>
      <c r="F5" s="38">
        <f t="shared" si="0"/>
        <v>21.7</v>
      </c>
      <c r="G5" s="38">
        <v>11447187.5</v>
      </c>
      <c r="H5" s="38">
        <f t="shared" si="1"/>
        <v>11.4471875</v>
      </c>
      <c r="I5" s="38">
        <v>2570</v>
      </c>
      <c r="J5" s="38">
        <v>2570</v>
      </c>
      <c r="K5" s="38" t="s">
        <v>119</v>
      </c>
      <c r="L5" s="38" t="s">
        <v>119</v>
      </c>
      <c r="M5" s="38" t="s">
        <v>119</v>
      </c>
      <c r="N5" s="38">
        <v>53.386631000000001</v>
      </c>
      <c r="O5" s="38" t="s">
        <v>120</v>
      </c>
      <c r="P5" s="38" t="s">
        <v>120</v>
      </c>
      <c r="Q5" s="38" t="s">
        <v>119</v>
      </c>
      <c r="R5" s="38" t="s">
        <v>119</v>
      </c>
      <c r="S5" s="38" t="s">
        <v>119</v>
      </c>
      <c r="T5" s="38">
        <v>83.772160999999997</v>
      </c>
      <c r="U5" s="38">
        <v>83.532331999999997</v>
      </c>
      <c r="V5" s="38" t="s">
        <v>119</v>
      </c>
      <c r="W5" s="38" t="s">
        <v>119</v>
      </c>
      <c r="X5" s="38" t="s">
        <v>119</v>
      </c>
      <c r="Y5" s="38" t="s">
        <v>119</v>
      </c>
      <c r="Z5" s="38" t="s">
        <v>119</v>
      </c>
      <c r="AA5" s="38" t="s">
        <v>119</v>
      </c>
      <c r="AB5" s="38" t="s">
        <v>119</v>
      </c>
      <c r="AC5" s="38" t="s">
        <v>119</v>
      </c>
      <c r="AD5" s="38" t="s">
        <v>119</v>
      </c>
      <c r="AE5" s="38" t="s">
        <v>119</v>
      </c>
      <c r="AF5" s="38" t="s">
        <v>119</v>
      </c>
      <c r="AG5" s="38" t="s">
        <v>119</v>
      </c>
      <c r="AH5" s="38" t="s">
        <v>119</v>
      </c>
      <c r="AI5" s="38" t="s">
        <v>119</v>
      </c>
      <c r="AJ5" s="38" t="s">
        <v>119</v>
      </c>
      <c r="AK5" s="38" t="s">
        <v>119</v>
      </c>
      <c r="AL5" s="38" t="s">
        <v>119</v>
      </c>
      <c r="AM5" s="38" t="s">
        <v>119</v>
      </c>
      <c r="AN5" s="38" t="s">
        <v>119</v>
      </c>
      <c r="AO5" s="38" t="s">
        <v>119</v>
      </c>
      <c r="AP5" s="38" t="s">
        <v>119</v>
      </c>
      <c r="AQ5" s="38" t="s">
        <v>119</v>
      </c>
      <c r="AR5" s="38" t="s">
        <v>119</v>
      </c>
      <c r="AS5" s="38" t="s">
        <v>119</v>
      </c>
      <c r="AT5" s="38" t="s">
        <v>119</v>
      </c>
      <c r="AU5" s="38" t="s">
        <v>119</v>
      </c>
      <c r="AV5" s="38" t="s">
        <v>119</v>
      </c>
      <c r="AW5" s="38" t="s">
        <v>119</v>
      </c>
      <c r="AX5" s="38" t="s">
        <v>119</v>
      </c>
    </row>
    <row r="6" spans="1:50" x14ac:dyDescent="0.45">
      <c r="A6" s="38" t="s">
        <v>124</v>
      </c>
      <c r="B6" s="38">
        <v>5</v>
      </c>
      <c r="C6" s="38" t="s">
        <v>118</v>
      </c>
      <c r="D6" s="38">
        <v>5</v>
      </c>
      <c r="E6" s="38">
        <v>18600</v>
      </c>
      <c r="F6" s="38">
        <f t="shared" si="0"/>
        <v>18.600000000000001</v>
      </c>
      <c r="G6" s="38">
        <v>12049218.75</v>
      </c>
      <c r="H6" s="38">
        <f t="shared" si="1"/>
        <v>12.04921875</v>
      </c>
      <c r="I6" s="38">
        <v>2571</v>
      </c>
      <c r="J6" s="38">
        <v>2571</v>
      </c>
      <c r="K6" s="38" t="s">
        <v>119</v>
      </c>
      <c r="L6" s="38" t="s">
        <v>119</v>
      </c>
      <c r="M6" s="38" t="s">
        <v>119</v>
      </c>
      <c r="N6" s="38">
        <v>65.864470999999995</v>
      </c>
      <c r="O6" s="38" t="s">
        <v>120</v>
      </c>
      <c r="P6" s="38" t="s">
        <v>120</v>
      </c>
      <c r="Q6" s="38" t="s">
        <v>119</v>
      </c>
      <c r="R6" s="38" t="s">
        <v>119</v>
      </c>
      <c r="S6" s="38" t="s">
        <v>119</v>
      </c>
      <c r="T6" s="38">
        <v>85.266959</v>
      </c>
      <c r="U6" s="38">
        <v>83.071986999999993</v>
      </c>
      <c r="V6" s="38" t="s">
        <v>119</v>
      </c>
      <c r="W6" s="38" t="s">
        <v>119</v>
      </c>
      <c r="X6" s="38" t="s">
        <v>119</v>
      </c>
      <c r="Y6" s="38" t="s">
        <v>119</v>
      </c>
      <c r="Z6" s="38" t="s">
        <v>119</v>
      </c>
      <c r="AA6" s="38" t="s">
        <v>119</v>
      </c>
      <c r="AB6" s="38" t="s">
        <v>119</v>
      </c>
      <c r="AC6" s="38" t="s">
        <v>119</v>
      </c>
      <c r="AD6" s="38" t="s">
        <v>119</v>
      </c>
      <c r="AE6" s="38" t="s">
        <v>119</v>
      </c>
      <c r="AF6" s="38" t="s">
        <v>119</v>
      </c>
      <c r="AG6" s="38" t="s">
        <v>119</v>
      </c>
      <c r="AH6" s="38" t="s">
        <v>119</v>
      </c>
      <c r="AI6" s="38" t="s">
        <v>119</v>
      </c>
      <c r="AJ6" s="38" t="s">
        <v>119</v>
      </c>
      <c r="AK6" s="38" t="s">
        <v>119</v>
      </c>
      <c r="AL6" s="38" t="s">
        <v>119</v>
      </c>
      <c r="AM6" s="38" t="s">
        <v>119</v>
      </c>
      <c r="AN6" s="38" t="s">
        <v>119</v>
      </c>
      <c r="AO6" s="38" t="s">
        <v>119</v>
      </c>
      <c r="AP6" s="38" t="s">
        <v>119</v>
      </c>
      <c r="AQ6" s="38" t="s">
        <v>119</v>
      </c>
      <c r="AR6" s="38" t="s">
        <v>119</v>
      </c>
      <c r="AS6" s="38" t="s">
        <v>119</v>
      </c>
      <c r="AT6" s="38" t="s">
        <v>119</v>
      </c>
      <c r="AU6" s="38" t="s">
        <v>119</v>
      </c>
      <c r="AV6" s="38" t="s">
        <v>119</v>
      </c>
      <c r="AW6" s="38" t="s">
        <v>119</v>
      </c>
      <c r="AX6" s="38" t="s">
        <v>119</v>
      </c>
    </row>
    <row r="7" spans="1:50" x14ac:dyDescent="0.45">
      <c r="A7" s="38" t="s">
        <v>125</v>
      </c>
      <c r="B7" s="38">
        <v>6</v>
      </c>
      <c r="C7" s="38" t="s">
        <v>118</v>
      </c>
      <c r="D7" s="38">
        <v>6</v>
      </c>
      <c r="E7" s="38">
        <v>13175</v>
      </c>
      <c r="F7" s="38">
        <f t="shared" si="0"/>
        <v>13.175000000000001</v>
      </c>
      <c r="G7" s="38">
        <v>4960781.25</v>
      </c>
      <c r="H7" s="38">
        <f t="shared" si="1"/>
        <v>4.9607812500000001</v>
      </c>
      <c r="I7" s="38">
        <v>2572</v>
      </c>
      <c r="J7" s="38">
        <v>2572</v>
      </c>
      <c r="K7" s="38" t="s">
        <v>119</v>
      </c>
      <c r="L7" s="38" t="s">
        <v>119</v>
      </c>
      <c r="M7" s="38" t="s">
        <v>119</v>
      </c>
      <c r="N7" s="38">
        <v>55.396495999999999</v>
      </c>
      <c r="O7" s="38" t="s">
        <v>120</v>
      </c>
      <c r="P7" s="38" t="s">
        <v>120</v>
      </c>
      <c r="Q7" s="38" t="s">
        <v>119</v>
      </c>
      <c r="R7" s="38" t="s">
        <v>119</v>
      </c>
      <c r="S7" s="38" t="s">
        <v>119</v>
      </c>
      <c r="T7" s="38">
        <v>88</v>
      </c>
      <c r="U7" s="38">
        <v>83.913917999999995</v>
      </c>
      <c r="V7" s="38" t="s">
        <v>119</v>
      </c>
      <c r="W7" s="38" t="s">
        <v>119</v>
      </c>
      <c r="X7" s="38" t="s">
        <v>119</v>
      </c>
      <c r="Y7" s="38" t="s">
        <v>119</v>
      </c>
      <c r="Z7" s="38" t="s">
        <v>119</v>
      </c>
      <c r="AA7" s="38" t="s">
        <v>119</v>
      </c>
      <c r="AB7" s="38" t="s">
        <v>119</v>
      </c>
      <c r="AC7" s="38" t="s">
        <v>119</v>
      </c>
      <c r="AD7" s="38" t="s">
        <v>119</v>
      </c>
      <c r="AE7" s="38" t="s">
        <v>119</v>
      </c>
      <c r="AF7" s="38" t="s">
        <v>119</v>
      </c>
      <c r="AG7" s="38" t="s">
        <v>119</v>
      </c>
      <c r="AH7" s="38" t="s">
        <v>119</v>
      </c>
      <c r="AI7" s="38" t="s">
        <v>119</v>
      </c>
      <c r="AJ7" s="38" t="s">
        <v>119</v>
      </c>
      <c r="AK7" s="38" t="s">
        <v>119</v>
      </c>
      <c r="AL7" s="38" t="s">
        <v>119</v>
      </c>
      <c r="AM7" s="38" t="s">
        <v>119</v>
      </c>
      <c r="AN7" s="38" t="s">
        <v>119</v>
      </c>
      <c r="AO7" s="38" t="s">
        <v>119</v>
      </c>
      <c r="AP7" s="38" t="s">
        <v>119</v>
      </c>
      <c r="AQ7" s="38" t="s">
        <v>119</v>
      </c>
      <c r="AR7" s="38" t="s">
        <v>119</v>
      </c>
      <c r="AS7" s="38" t="s">
        <v>119</v>
      </c>
      <c r="AT7" s="38" t="s">
        <v>119</v>
      </c>
      <c r="AU7" s="38" t="s">
        <v>119</v>
      </c>
      <c r="AV7" s="38" t="s">
        <v>119</v>
      </c>
      <c r="AW7" s="38" t="s">
        <v>119</v>
      </c>
      <c r="AX7" s="38" t="s">
        <v>119</v>
      </c>
    </row>
    <row r="8" spans="1:50" x14ac:dyDescent="0.45">
      <c r="A8" s="38" t="s">
        <v>126</v>
      </c>
      <c r="B8" s="38">
        <v>7</v>
      </c>
      <c r="C8" s="38" t="s">
        <v>118</v>
      </c>
      <c r="D8" s="38">
        <v>7</v>
      </c>
      <c r="E8" s="38">
        <v>6200</v>
      </c>
      <c r="F8" s="38">
        <f t="shared" si="0"/>
        <v>6.2</v>
      </c>
      <c r="G8" s="38">
        <v>976250</v>
      </c>
      <c r="H8" s="38">
        <f t="shared" si="1"/>
        <v>0.97624999999999995</v>
      </c>
      <c r="I8" s="38">
        <v>2573</v>
      </c>
      <c r="J8" s="38">
        <v>2573</v>
      </c>
      <c r="K8" s="38" t="s">
        <v>119</v>
      </c>
      <c r="L8" s="38" t="s">
        <v>119</v>
      </c>
      <c r="M8" s="38" t="s">
        <v>119</v>
      </c>
      <c r="N8" s="38">
        <v>63.369571999999998</v>
      </c>
      <c r="O8" s="38" t="s">
        <v>120</v>
      </c>
      <c r="P8" s="38" t="s">
        <v>120</v>
      </c>
      <c r="Q8" s="38" t="s">
        <v>119</v>
      </c>
      <c r="R8" s="38" t="s">
        <v>119</v>
      </c>
      <c r="S8" s="38" t="s">
        <v>119</v>
      </c>
      <c r="T8" s="38">
        <v>88</v>
      </c>
      <c r="U8" s="38">
        <v>83.516831999999994</v>
      </c>
      <c r="V8" s="38" t="s">
        <v>119</v>
      </c>
      <c r="W8" s="38" t="s">
        <v>119</v>
      </c>
      <c r="X8" s="38" t="s">
        <v>119</v>
      </c>
      <c r="Y8" s="38" t="s">
        <v>119</v>
      </c>
      <c r="Z8" s="38" t="s">
        <v>119</v>
      </c>
      <c r="AA8" s="38" t="s">
        <v>119</v>
      </c>
      <c r="AB8" s="38" t="s">
        <v>119</v>
      </c>
      <c r="AC8" s="38" t="s">
        <v>119</v>
      </c>
      <c r="AD8" s="38" t="s">
        <v>119</v>
      </c>
      <c r="AE8" s="38" t="s">
        <v>119</v>
      </c>
      <c r="AF8" s="38" t="s">
        <v>119</v>
      </c>
      <c r="AG8" s="38" t="s">
        <v>119</v>
      </c>
      <c r="AH8" s="38" t="s">
        <v>119</v>
      </c>
      <c r="AI8" s="38" t="s">
        <v>119</v>
      </c>
      <c r="AJ8" s="38" t="s">
        <v>119</v>
      </c>
      <c r="AK8" s="38" t="s">
        <v>119</v>
      </c>
      <c r="AL8" s="38" t="s">
        <v>119</v>
      </c>
      <c r="AM8" s="38" t="s">
        <v>119</v>
      </c>
      <c r="AN8" s="38" t="s">
        <v>119</v>
      </c>
      <c r="AO8" s="38" t="s">
        <v>119</v>
      </c>
      <c r="AP8" s="38" t="s">
        <v>119</v>
      </c>
      <c r="AQ8" s="38" t="s">
        <v>119</v>
      </c>
      <c r="AR8" s="38" t="s">
        <v>119</v>
      </c>
      <c r="AS8" s="38" t="s">
        <v>119</v>
      </c>
      <c r="AT8" s="38" t="s">
        <v>119</v>
      </c>
      <c r="AU8" s="38" t="s">
        <v>119</v>
      </c>
      <c r="AV8" s="38" t="s">
        <v>119</v>
      </c>
      <c r="AW8" s="38" t="s">
        <v>119</v>
      </c>
      <c r="AX8" s="38" t="s">
        <v>119</v>
      </c>
    </row>
    <row r="9" spans="1:50" x14ac:dyDescent="0.45">
      <c r="A9" s="38" t="s">
        <v>127</v>
      </c>
      <c r="B9" s="38">
        <v>8</v>
      </c>
      <c r="C9" s="38" t="s">
        <v>118</v>
      </c>
      <c r="D9" s="38">
        <v>8</v>
      </c>
      <c r="E9" s="38">
        <v>23425</v>
      </c>
      <c r="F9" s="38">
        <f t="shared" si="0"/>
        <v>23.425000000000001</v>
      </c>
      <c r="G9" s="38">
        <v>8629218.75</v>
      </c>
      <c r="H9" s="38">
        <f t="shared" si="1"/>
        <v>8.6292187499999997</v>
      </c>
      <c r="I9" s="38">
        <v>2574</v>
      </c>
      <c r="J9" s="38">
        <v>2574</v>
      </c>
      <c r="K9" s="38" t="s">
        <v>119</v>
      </c>
      <c r="L9" s="38" t="s">
        <v>119</v>
      </c>
      <c r="M9" s="38" t="s">
        <v>119</v>
      </c>
      <c r="N9" s="38">
        <v>53.371898999999999</v>
      </c>
      <c r="O9" s="38" t="s">
        <v>120</v>
      </c>
      <c r="P9" s="38" t="s">
        <v>120</v>
      </c>
      <c r="Q9" s="38" t="s">
        <v>119</v>
      </c>
      <c r="R9" s="38" t="s">
        <v>119</v>
      </c>
      <c r="S9" s="38" t="s">
        <v>119</v>
      </c>
      <c r="T9" s="38">
        <v>86.727531999999997</v>
      </c>
      <c r="U9" s="38">
        <v>83.355788000000004</v>
      </c>
      <c r="V9" s="38" t="s">
        <v>119</v>
      </c>
      <c r="W9" s="38" t="s">
        <v>119</v>
      </c>
      <c r="X9" s="38" t="s">
        <v>119</v>
      </c>
      <c r="Y9" s="38" t="s">
        <v>119</v>
      </c>
      <c r="Z9" s="38" t="s">
        <v>119</v>
      </c>
      <c r="AA9" s="38" t="s">
        <v>119</v>
      </c>
      <c r="AB9" s="38" t="s">
        <v>119</v>
      </c>
      <c r="AC9" s="38" t="s">
        <v>119</v>
      </c>
      <c r="AD9" s="38" t="s">
        <v>119</v>
      </c>
      <c r="AE9" s="38" t="s">
        <v>119</v>
      </c>
      <c r="AF9" s="38" t="s">
        <v>119</v>
      </c>
      <c r="AG9" s="38" t="s">
        <v>119</v>
      </c>
      <c r="AH9" s="38" t="s">
        <v>119</v>
      </c>
      <c r="AI9" s="38" t="s">
        <v>119</v>
      </c>
      <c r="AJ9" s="38" t="s">
        <v>119</v>
      </c>
      <c r="AK9" s="38" t="s">
        <v>119</v>
      </c>
      <c r="AL9" s="38" t="s">
        <v>119</v>
      </c>
      <c r="AM9" s="38" t="s">
        <v>119</v>
      </c>
      <c r="AN9" s="38" t="s">
        <v>119</v>
      </c>
      <c r="AO9" s="38" t="s">
        <v>119</v>
      </c>
      <c r="AP9" s="38" t="s">
        <v>119</v>
      </c>
      <c r="AQ9" s="38" t="s">
        <v>119</v>
      </c>
      <c r="AR9" s="38" t="s">
        <v>119</v>
      </c>
      <c r="AS9" s="38" t="s">
        <v>119</v>
      </c>
      <c r="AT9" s="38" t="s">
        <v>119</v>
      </c>
      <c r="AU9" s="38" t="s">
        <v>119</v>
      </c>
      <c r="AV9" s="38" t="s">
        <v>119</v>
      </c>
      <c r="AW9" s="38" t="s">
        <v>119</v>
      </c>
      <c r="AX9" s="38" t="s">
        <v>119</v>
      </c>
    </row>
    <row r="10" spans="1:50" x14ac:dyDescent="0.45">
      <c r="A10" s="38" t="s">
        <v>128</v>
      </c>
      <c r="B10" s="38">
        <v>9</v>
      </c>
      <c r="C10" s="38" t="s">
        <v>118</v>
      </c>
      <c r="D10" s="38">
        <v>9</v>
      </c>
      <c r="E10" s="38">
        <v>26250</v>
      </c>
      <c r="F10" s="38">
        <f t="shared" si="0"/>
        <v>26.25</v>
      </c>
      <c r="G10" s="38">
        <v>17620312.5</v>
      </c>
      <c r="H10" s="38">
        <f t="shared" si="1"/>
        <v>17.620312500000001</v>
      </c>
      <c r="I10" s="38">
        <v>2575</v>
      </c>
      <c r="J10" s="38">
        <v>2575</v>
      </c>
      <c r="K10" s="38" t="s">
        <v>119</v>
      </c>
      <c r="L10" s="38" t="s">
        <v>119</v>
      </c>
      <c r="M10" s="38" t="s">
        <v>119</v>
      </c>
      <c r="N10" s="38">
        <v>51.945838999999999</v>
      </c>
      <c r="O10" s="38" t="s">
        <v>120</v>
      </c>
      <c r="P10" s="38" t="s">
        <v>120</v>
      </c>
      <c r="Q10" s="38" t="s">
        <v>119</v>
      </c>
      <c r="R10" s="38" t="s">
        <v>119</v>
      </c>
      <c r="S10" s="38" t="s">
        <v>119</v>
      </c>
      <c r="T10" s="38">
        <v>79.826695999999998</v>
      </c>
      <c r="U10" s="38">
        <v>82.262120999999993</v>
      </c>
      <c r="V10" s="38" t="s">
        <v>119</v>
      </c>
      <c r="W10" s="38" t="s">
        <v>119</v>
      </c>
      <c r="X10" s="38" t="s">
        <v>119</v>
      </c>
      <c r="Y10" s="38" t="s">
        <v>119</v>
      </c>
      <c r="Z10" s="38" t="s">
        <v>119</v>
      </c>
      <c r="AA10" s="38" t="s">
        <v>119</v>
      </c>
      <c r="AB10" s="38" t="s">
        <v>119</v>
      </c>
      <c r="AC10" s="38" t="s">
        <v>119</v>
      </c>
      <c r="AD10" s="38" t="s">
        <v>119</v>
      </c>
      <c r="AE10" s="38" t="s">
        <v>119</v>
      </c>
      <c r="AF10" s="38" t="s">
        <v>119</v>
      </c>
      <c r="AG10" s="38" t="s">
        <v>119</v>
      </c>
      <c r="AH10" s="38" t="s">
        <v>119</v>
      </c>
      <c r="AI10" s="38" t="s">
        <v>119</v>
      </c>
      <c r="AJ10" s="38" t="s">
        <v>119</v>
      </c>
      <c r="AK10" s="38" t="s">
        <v>119</v>
      </c>
      <c r="AL10" s="38" t="s">
        <v>119</v>
      </c>
      <c r="AM10" s="38" t="s">
        <v>119</v>
      </c>
      <c r="AN10" s="38" t="s">
        <v>119</v>
      </c>
      <c r="AO10" s="38" t="s">
        <v>119</v>
      </c>
      <c r="AP10" s="38" t="s">
        <v>119</v>
      </c>
      <c r="AQ10" s="38" t="s">
        <v>119</v>
      </c>
      <c r="AR10" s="38" t="s">
        <v>119</v>
      </c>
      <c r="AS10" s="38" t="s">
        <v>119</v>
      </c>
      <c r="AT10" s="38" t="s">
        <v>119</v>
      </c>
      <c r="AU10" s="38" t="s">
        <v>119</v>
      </c>
      <c r="AV10" s="38" t="s">
        <v>119</v>
      </c>
      <c r="AW10" s="38" t="s">
        <v>119</v>
      </c>
      <c r="AX10" s="38" t="s">
        <v>119</v>
      </c>
    </row>
    <row r="11" spans="1:50" x14ac:dyDescent="0.45">
      <c r="A11" s="38" t="s">
        <v>129</v>
      </c>
      <c r="B11" s="38">
        <v>10</v>
      </c>
      <c r="C11" s="38" t="s">
        <v>118</v>
      </c>
      <c r="D11" s="38">
        <v>10</v>
      </c>
      <c r="E11" s="38">
        <v>17150</v>
      </c>
      <c r="F11" s="38">
        <f t="shared" si="0"/>
        <v>17.149999999999999</v>
      </c>
      <c r="G11" s="38">
        <v>8473593.75</v>
      </c>
      <c r="H11" s="38">
        <f t="shared" si="1"/>
        <v>8.4735937499999991</v>
      </c>
      <c r="I11" s="38">
        <v>2576</v>
      </c>
      <c r="J11" s="38">
        <v>2576</v>
      </c>
      <c r="K11" s="38" t="s">
        <v>119</v>
      </c>
      <c r="L11" s="38" t="s">
        <v>119</v>
      </c>
      <c r="M11" s="38" t="s">
        <v>119</v>
      </c>
      <c r="N11" s="38">
        <v>50.481113000000001</v>
      </c>
      <c r="O11" s="38" t="s">
        <v>120</v>
      </c>
      <c r="P11" s="38" t="s">
        <v>120</v>
      </c>
      <c r="Q11" s="38" t="s">
        <v>119</v>
      </c>
      <c r="R11" s="38" t="s">
        <v>119</v>
      </c>
      <c r="S11" s="38" t="s">
        <v>119</v>
      </c>
      <c r="T11" s="38">
        <v>86.475914000000003</v>
      </c>
      <c r="U11" s="38">
        <v>83.695907000000005</v>
      </c>
      <c r="V11" s="38" t="s">
        <v>119</v>
      </c>
      <c r="W11" s="38" t="s">
        <v>119</v>
      </c>
      <c r="X11" s="38" t="s">
        <v>119</v>
      </c>
      <c r="Y11" s="38" t="s">
        <v>119</v>
      </c>
      <c r="Z11" s="38" t="s">
        <v>119</v>
      </c>
      <c r="AA11" s="38" t="s">
        <v>119</v>
      </c>
      <c r="AB11" s="38" t="s">
        <v>119</v>
      </c>
      <c r="AC11" s="38" t="s">
        <v>119</v>
      </c>
      <c r="AD11" s="38" t="s">
        <v>119</v>
      </c>
      <c r="AE11" s="38" t="s">
        <v>119</v>
      </c>
      <c r="AF11" s="38" t="s">
        <v>119</v>
      </c>
      <c r="AG11" s="38" t="s">
        <v>119</v>
      </c>
      <c r="AH11" s="38" t="s">
        <v>119</v>
      </c>
      <c r="AI11" s="38" t="s">
        <v>119</v>
      </c>
      <c r="AJ11" s="38" t="s">
        <v>119</v>
      </c>
      <c r="AK11" s="38" t="s">
        <v>119</v>
      </c>
      <c r="AL11" s="38" t="s">
        <v>119</v>
      </c>
      <c r="AM11" s="38" t="s">
        <v>119</v>
      </c>
      <c r="AN11" s="38" t="s">
        <v>119</v>
      </c>
      <c r="AO11" s="38" t="s">
        <v>119</v>
      </c>
      <c r="AP11" s="38" t="s">
        <v>119</v>
      </c>
      <c r="AQ11" s="38" t="s">
        <v>119</v>
      </c>
      <c r="AR11" s="38" t="s">
        <v>119</v>
      </c>
      <c r="AS11" s="38" t="s">
        <v>119</v>
      </c>
      <c r="AT11" s="38" t="s">
        <v>119</v>
      </c>
      <c r="AU11" s="38" t="s">
        <v>119</v>
      </c>
      <c r="AV11" s="38" t="s">
        <v>119</v>
      </c>
      <c r="AW11" s="38" t="s">
        <v>119</v>
      </c>
      <c r="AX11" s="38" t="s">
        <v>119</v>
      </c>
    </row>
    <row r="12" spans="1:50" x14ac:dyDescent="0.45">
      <c r="A12" s="38" t="s">
        <v>130</v>
      </c>
      <c r="B12" s="38">
        <v>11</v>
      </c>
      <c r="C12" s="38" t="s">
        <v>118</v>
      </c>
      <c r="D12" s="38">
        <v>11</v>
      </c>
      <c r="E12" s="38">
        <v>13600</v>
      </c>
      <c r="F12" s="38">
        <f t="shared" si="0"/>
        <v>13.6</v>
      </c>
      <c r="G12" s="38">
        <v>4996718.75</v>
      </c>
      <c r="H12" s="38">
        <f t="shared" si="1"/>
        <v>4.9967187500000003</v>
      </c>
      <c r="I12" s="38">
        <v>2577</v>
      </c>
      <c r="J12" s="38">
        <v>2577</v>
      </c>
      <c r="K12" s="38" t="s">
        <v>119</v>
      </c>
      <c r="L12" s="38" t="s">
        <v>119</v>
      </c>
      <c r="M12" s="38" t="s">
        <v>119</v>
      </c>
      <c r="N12" s="38">
        <v>68.474463999999998</v>
      </c>
      <c r="O12" s="38" t="s">
        <v>120</v>
      </c>
      <c r="P12" s="38" t="s">
        <v>120</v>
      </c>
      <c r="Q12" s="38" t="s">
        <v>119</v>
      </c>
      <c r="R12" s="38" t="s">
        <v>119</v>
      </c>
      <c r="S12" s="38" t="s">
        <v>119</v>
      </c>
      <c r="T12" s="38">
        <v>88</v>
      </c>
      <c r="U12" s="38">
        <v>82.839831000000004</v>
      </c>
      <c r="V12" s="38" t="s">
        <v>119</v>
      </c>
      <c r="W12" s="38" t="s">
        <v>119</v>
      </c>
      <c r="X12" s="38" t="s">
        <v>119</v>
      </c>
      <c r="Y12" s="38" t="s">
        <v>119</v>
      </c>
      <c r="Z12" s="38" t="s">
        <v>119</v>
      </c>
      <c r="AA12" s="38" t="s">
        <v>119</v>
      </c>
      <c r="AB12" s="38" t="s">
        <v>119</v>
      </c>
      <c r="AC12" s="38" t="s">
        <v>119</v>
      </c>
      <c r="AD12" s="38" t="s">
        <v>119</v>
      </c>
      <c r="AE12" s="38" t="s">
        <v>119</v>
      </c>
      <c r="AF12" s="38" t="s">
        <v>119</v>
      </c>
      <c r="AG12" s="38" t="s">
        <v>119</v>
      </c>
      <c r="AH12" s="38" t="s">
        <v>119</v>
      </c>
      <c r="AI12" s="38" t="s">
        <v>119</v>
      </c>
      <c r="AJ12" s="38" t="s">
        <v>119</v>
      </c>
      <c r="AK12" s="38" t="s">
        <v>119</v>
      </c>
      <c r="AL12" s="38" t="s">
        <v>119</v>
      </c>
      <c r="AM12" s="38" t="s">
        <v>119</v>
      </c>
      <c r="AN12" s="38" t="s">
        <v>119</v>
      </c>
      <c r="AO12" s="38" t="s">
        <v>119</v>
      </c>
      <c r="AP12" s="38" t="s">
        <v>119</v>
      </c>
      <c r="AQ12" s="38" t="s">
        <v>119</v>
      </c>
      <c r="AR12" s="38" t="s">
        <v>119</v>
      </c>
      <c r="AS12" s="38" t="s">
        <v>119</v>
      </c>
      <c r="AT12" s="38" t="s">
        <v>119</v>
      </c>
      <c r="AU12" s="38" t="s">
        <v>119</v>
      </c>
      <c r="AV12" s="38" t="s">
        <v>119</v>
      </c>
      <c r="AW12" s="38" t="s">
        <v>119</v>
      </c>
      <c r="AX12" s="38" t="s">
        <v>119</v>
      </c>
    </row>
    <row r="13" spans="1:50" x14ac:dyDescent="0.45">
      <c r="A13" s="38" t="s">
        <v>131</v>
      </c>
      <c r="B13" s="38">
        <v>12</v>
      </c>
      <c r="C13" s="38" t="s">
        <v>118</v>
      </c>
      <c r="D13" s="38">
        <v>12</v>
      </c>
      <c r="E13" s="38">
        <v>22050</v>
      </c>
      <c r="F13" s="38">
        <f t="shared" si="0"/>
        <v>22.05</v>
      </c>
      <c r="G13" s="38">
        <v>12197031.25</v>
      </c>
      <c r="H13" s="38">
        <f t="shared" si="1"/>
        <v>12.19703125</v>
      </c>
      <c r="I13" s="38">
        <v>2578</v>
      </c>
      <c r="J13" s="38">
        <v>2578</v>
      </c>
      <c r="K13" s="38" t="s">
        <v>119</v>
      </c>
      <c r="L13" s="38" t="s">
        <v>119</v>
      </c>
      <c r="M13" s="38" t="s">
        <v>119</v>
      </c>
      <c r="N13" s="38">
        <v>46.103938999999997</v>
      </c>
      <c r="O13" s="38" t="s">
        <v>120</v>
      </c>
      <c r="P13" s="38" t="s">
        <v>120</v>
      </c>
      <c r="Q13" s="38" t="s">
        <v>119</v>
      </c>
      <c r="R13" s="38" t="s">
        <v>119</v>
      </c>
      <c r="S13" s="38" t="s">
        <v>119</v>
      </c>
      <c r="T13" s="38">
        <v>81.322774999999993</v>
      </c>
      <c r="U13" s="38">
        <v>81.895520000000005</v>
      </c>
      <c r="V13" s="38" t="s">
        <v>119</v>
      </c>
      <c r="W13" s="38" t="s">
        <v>119</v>
      </c>
      <c r="X13" s="38" t="s">
        <v>119</v>
      </c>
      <c r="Y13" s="38" t="s">
        <v>119</v>
      </c>
      <c r="Z13" s="38" t="s">
        <v>119</v>
      </c>
      <c r="AA13" s="38" t="s">
        <v>119</v>
      </c>
      <c r="AB13" s="38" t="s">
        <v>119</v>
      </c>
      <c r="AC13" s="38" t="s">
        <v>119</v>
      </c>
      <c r="AD13" s="38" t="s">
        <v>119</v>
      </c>
      <c r="AE13" s="38" t="s">
        <v>119</v>
      </c>
      <c r="AF13" s="38" t="s">
        <v>119</v>
      </c>
      <c r="AG13" s="38" t="s">
        <v>119</v>
      </c>
      <c r="AH13" s="38" t="s">
        <v>119</v>
      </c>
      <c r="AI13" s="38" t="s">
        <v>119</v>
      </c>
      <c r="AJ13" s="38" t="s">
        <v>119</v>
      </c>
      <c r="AK13" s="38" t="s">
        <v>119</v>
      </c>
      <c r="AL13" s="38" t="s">
        <v>119</v>
      </c>
      <c r="AM13" s="38" t="s">
        <v>119</v>
      </c>
      <c r="AN13" s="38" t="s">
        <v>119</v>
      </c>
      <c r="AO13" s="38" t="s">
        <v>119</v>
      </c>
      <c r="AP13" s="38" t="s">
        <v>119</v>
      </c>
      <c r="AQ13" s="38" t="s">
        <v>119</v>
      </c>
      <c r="AR13" s="38" t="s">
        <v>119</v>
      </c>
      <c r="AS13" s="38" t="s">
        <v>119</v>
      </c>
      <c r="AT13" s="38" t="s">
        <v>119</v>
      </c>
      <c r="AU13" s="38" t="s">
        <v>119</v>
      </c>
      <c r="AV13" s="38" t="s">
        <v>119</v>
      </c>
      <c r="AW13" s="38" t="s">
        <v>119</v>
      </c>
      <c r="AX13" s="38" t="s">
        <v>119</v>
      </c>
    </row>
    <row r="14" spans="1:50" x14ac:dyDescent="0.45">
      <c r="A14" s="38" t="s">
        <v>132</v>
      </c>
      <c r="B14" s="38">
        <v>13</v>
      </c>
      <c r="C14" s="38" t="s">
        <v>118</v>
      </c>
      <c r="D14" s="38">
        <v>13</v>
      </c>
      <c r="E14" s="38">
        <v>22350</v>
      </c>
      <c r="F14" s="38">
        <f t="shared" si="0"/>
        <v>22.35</v>
      </c>
      <c r="G14" s="38">
        <v>13160937.5</v>
      </c>
      <c r="H14" s="38">
        <f t="shared" si="1"/>
        <v>13.160937499999999</v>
      </c>
      <c r="I14" s="38">
        <v>2579</v>
      </c>
      <c r="J14" s="38">
        <v>2579</v>
      </c>
      <c r="K14" s="38" t="s">
        <v>119</v>
      </c>
      <c r="L14" s="38" t="s">
        <v>119</v>
      </c>
      <c r="M14" s="38" t="s">
        <v>119</v>
      </c>
      <c r="N14" s="38">
        <v>64.515349999999998</v>
      </c>
      <c r="O14" s="38" t="s">
        <v>120</v>
      </c>
      <c r="P14" s="38" t="s">
        <v>120</v>
      </c>
      <c r="Q14" s="38" t="s">
        <v>119</v>
      </c>
      <c r="R14" s="38" t="s">
        <v>119</v>
      </c>
      <c r="S14" s="38" t="s">
        <v>119</v>
      </c>
      <c r="T14" s="38">
        <v>87.582699000000005</v>
      </c>
      <c r="U14" s="38">
        <v>82.654602999999994</v>
      </c>
      <c r="V14" s="38" t="s">
        <v>119</v>
      </c>
      <c r="W14" s="38" t="s">
        <v>119</v>
      </c>
      <c r="X14" s="38" t="s">
        <v>119</v>
      </c>
      <c r="Y14" s="38" t="s">
        <v>119</v>
      </c>
      <c r="Z14" s="38" t="s">
        <v>119</v>
      </c>
      <c r="AA14" s="38" t="s">
        <v>119</v>
      </c>
      <c r="AB14" s="38" t="s">
        <v>119</v>
      </c>
      <c r="AC14" s="38" t="s">
        <v>119</v>
      </c>
      <c r="AD14" s="38" t="s">
        <v>119</v>
      </c>
      <c r="AE14" s="38" t="s">
        <v>119</v>
      </c>
      <c r="AF14" s="38" t="s">
        <v>119</v>
      </c>
      <c r="AG14" s="38" t="s">
        <v>119</v>
      </c>
      <c r="AH14" s="38" t="s">
        <v>119</v>
      </c>
      <c r="AI14" s="38" t="s">
        <v>119</v>
      </c>
      <c r="AJ14" s="38" t="s">
        <v>119</v>
      </c>
      <c r="AK14" s="38" t="s">
        <v>119</v>
      </c>
      <c r="AL14" s="38" t="s">
        <v>119</v>
      </c>
      <c r="AM14" s="38" t="s">
        <v>119</v>
      </c>
      <c r="AN14" s="38" t="s">
        <v>119</v>
      </c>
      <c r="AO14" s="38" t="s">
        <v>119</v>
      </c>
      <c r="AP14" s="38" t="s">
        <v>119</v>
      </c>
      <c r="AQ14" s="38" t="s">
        <v>119</v>
      </c>
      <c r="AR14" s="38" t="s">
        <v>119</v>
      </c>
      <c r="AS14" s="38" t="s">
        <v>119</v>
      </c>
      <c r="AT14" s="38" t="s">
        <v>119</v>
      </c>
      <c r="AU14" s="38" t="s">
        <v>119</v>
      </c>
      <c r="AV14" s="38" t="s">
        <v>119</v>
      </c>
      <c r="AW14" s="38" t="s">
        <v>119</v>
      </c>
      <c r="AX14" s="38" t="s">
        <v>119</v>
      </c>
    </row>
    <row r="15" spans="1:50" x14ac:dyDescent="0.45">
      <c r="A15" s="38" t="s">
        <v>133</v>
      </c>
      <c r="B15" s="38">
        <v>14</v>
      </c>
      <c r="C15" s="38" t="s">
        <v>118</v>
      </c>
      <c r="D15" s="38">
        <v>14</v>
      </c>
      <c r="E15" s="38">
        <v>14350</v>
      </c>
      <c r="F15" s="38">
        <f t="shared" si="0"/>
        <v>14.35</v>
      </c>
      <c r="G15" s="38">
        <v>5737812.5</v>
      </c>
      <c r="H15" s="38">
        <f t="shared" si="1"/>
        <v>5.7378125000000004</v>
      </c>
      <c r="I15" s="38">
        <v>2580</v>
      </c>
      <c r="J15" s="38">
        <v>2580</v>
      </c>
      <c r="K15" s="38" t="s">
        <v>119</v>
      </c>
      <c r="L15" s="38" t="s">
        <v>119</v>
      </c>
      <c r="M15" s="38" t="s">
        <v>119</v>
      </c>
      <c r="N15" s="38">
        <v>56.893120000000003</v>
      </c>
      <c r="O15" s="38" t="s">
        <v>120</v>
      </c>
      <c r="P15" s="38" t="s">
        <v>120</v>
      </c>
      <c r="Q15" s="38" t="s">
        <v>119</v>
      </c>
      <c r="R15" s="38" t="s">
        <v>119</v>
      </c>
      <c r="S15" s="38" t="s">
        <v>119</v>
      </c>
      <c r="T15" s="38">
        <v>79.822627999999995</v>
      </c>
      <c r="U15" s="38">
        <v>83.018932000000007</v>
      </c>
      <c r="V15" s="38" t="s">
        <v>119</v>
      </c>
      <c r="W15" s="38" t="s">
        <v>119</v>
      </c>
      <c r="X15" s="38" t="s">
        <v>119</v>
      </c>
      <c r="Y15" s="38" t="s">
        <v>119</v>
      </c>
      <c r="Z15" s="38" t="s">
        <v>119</v>
      </c>
      <c r="AA15" s="38" t="s">
        <v>119</v>
      </c>
      <c r="AB15" s="38" t="s">
        <v>119</v>
      </c>
      <c r="AC15" s="38" t="s">
        <v>119</v>
      </c>
      <c r="AD15" s="38" t="s">
        <v>119</v>
      </c>
      <c r="AE15" s="38" t="s">
        <v>119</v>
      </c>
      <c r="AF15" s="38" t="s">
        <v>119</v>
      </c>
      <c r="AG15" s="38" t="s">
        <v>119</v>
      </c>
      <c r="AH15" s="38" t="s">
        <v>119</v>
      </c>
      <c r="AI15" s="38" t="s">
        <v>119</v>
      </c>
      <c r="AJ15" s="38" t="s">
        <v>119</v>
      </c>
      <c r="AK15" s="38" t="s">
        <v>119</v>
      </c>
      <c r="AL15" s="38" t="s">
        <v>119</v>
      </c>
      <c r="AM15" s="38" t="s">
        <v>119</v>
      </c>
      <c r="AN15" s="38" t="s">
        <v>119</v>
      </c>
      <c r="AO15" s="38" t="s">
        <v>119</v>
      </c>
      <c r="AP15" s="38" t="s">
        <v>119</v>
      </c>
      <c r="AQ15" s="38" t="s">
        <v>119</v>
      </c>
      <c r="AR15" s="38" t="s">
        <v>119</v>
      </c>
      <c r="AS15" s="38" t="s">
        <v>119</v>
      </c>
      <c r="AT15" s="38" t="s">
        <v>119</v>
      </c>
      <c r="AU15" s="38" t="s">
        <v>119</v>
      </c>
      <c r="AV15" s="38" t="s">
        <v>119</v>
      </c>
      <c r="AW15" s="38" t="s">
        <v>119</v>
      </c>
      <c r="AX15" s="38" t="s">
        <v>119</v>
      </c>
    </row>
    <row r="16" spans="1:50" x14ac:dyDescent="0.45">
      <c r="A16" s="38" t="s">
        <v>134</v>
      </c>
      <c r="B16" s="38">
        <v>15</v>
      </c>
      <c r="C16" s="38" t="s">
        <v>118</v>
      </c>
      <c r="D16" s="38">
        <v>15</v>
      </c>
      <c r="E16" s="38">
        <v>22250</v>
      </c>
      <c r="F16" s="38">
        <f t="shared" si="0"/>
        <v>22.25</v>
      </c>
      <c r="G16" s="38">
        <v>7853281.25</v>
      </c>
      <c r="H16" s="38">
        <f t="shared" si="1"/>
        <v>7.8532812500000002</v>
      </c>
      <c r="I16" s="38">
        <v>2581</v>
      </c>
      <c r="J16" s="38">
        <v>2581</v>
      </c>
      <c r="K16" s="38" t="s">
        <v>119</v>
      </c>
      <c r="L16" s="38" t="s">
        <v>119</v>
      </c>
      <c r="M16" s="38" t="s">
        <v>119</v>
      </c>
      <c r="N16" s="38">
        <v>49.270114999999997</v>
      </c>
      <c r="O16" s="38" t="s">
        <v>120</v>
      </c>
      <c r="P16" s="38" t="s">
        <v>120</v>
      </c>
      <c r="Q16" s="38" t="s">
        <v>119</v>
      </c>
      <c r="R16" s="38" t="s">
        <v>119</v>
      </c>
      <c r="S16" s="38" t="s">
        <v>119</v>
      </c>
      <c r="T16" s="38">
        <v>82.823721000000006</v>
      </c>
      <c r="U16" s="38">
        <v>83.191761</v>
      </c>
      <c r="V16" s="38" t="s">
        <v>119</v>
      </c>
      <c r="W16" s="38" t="s">
        <v>119</v>
      </c>
      <c r="X16" s="38" t="s">
        <v>119</v>
      </c>
      <c r="Y16" s="38" t="s">
        <v>119</v>
      </c>
      <c r="Z16" s="38" t="s">
        <v>119</v>
      </c>
      <c r="AA16" s="38" t="s">
        <v>119</v>
      </c>
      <c r="AB16" s="38" t="s">
        <v>119</v>
      </c>
      <c r="AC16" s="38" t="s">
        <v>119</v>
      </c>
      <c r="AD16" s="38" t="s">
        <v>119</v>
      </c>
      <c r="AE16" s="38" t="s">
        <v>119</v>
      </c>
      <c r="AF16" s="38" t="s">
        <v>119</v>
      </c>
      <c r="AG16" s="38" t="s">
        <v>119</v>
      </c>
      <c r="AH16" s="38" t="s">
        <v>119</v>
      </c>
      <c r="AI16" s="38" t="s">
        <v>119</v>
      </c>
      <c r="AJ16" s="38" t="s">
        <v>119</v>
      </c>
      <c r="AK16" s="38" t="s">
        <v>119</v>
      </c>
      <c r="AL16" s="38" t="s">
        <v>119</v>
      </c>
      <c r="AM16" s="38" t="s">
        <v>119</v>
      </c>
      <c r="AN16" s="38" t="s">
        <v>119</v>
      </c>
      <c r="AO16" s="38" t="s">
        <v>119</v>
      </c>
      <c r="AP16" s="38" t="s">
        <v>119</v>
      </c>
      <c r="AQ16" s="38" t="s">
        <v>119</v>
      </c>
      <c r="AR16" s="38" t="s">
        <v>119</v>
      </c>
      <c r="AS16" s="38" t="s">
        <v>119</v>
      </c>
      <c r="AT16" s="38" t="s">
        <v>119</v>
      </c>
      <c r="AU16" s="38" t="s">
        <v>119</v>
      </c>
      <c r="AV16" s="38" t="s">
        <v>119</v>
      </c>
      <c r="AW16" s="38" t="s">
        <v>119</v>
      </c>
      <c r="AX16" s="38" t="s">
        <v>119</v>
      </c>
    </row>
    <row r="17" spans="1:50" x14ac:dyDescent="0.45">
      <c r="A17" s="38" t="s">
        <v>135</v>
      </c>
      <c r="B17" s="38">
        <v>16</v>
      </c>
      <c r="C17" s="38" t="s">
        <v>118</v>
      </c>
      <c r="D17" s="38">
        <v>16</v>
      </c>
      <c r="E17" s="38">
        <v>13625</v>
      </c>
      <c r="F17" s="38">
        <f t="shared" si="0"/>
        <v>13.625</v>
      </c>
      <c r="G17" s="38">
        <v>4259531.25</v>
      </c>
      <c r="H17" s="38">
        <f t="shared" si="1"/>
        <v>4.2595312500000002</v>
      </c>
      <c r="I17" s="38">
        <v>2582</v>
      </c>
      <c r="J17" s="38">
        <v>2582</v>
      </c>
      <c r="K17" s="38" t="s">
        <v>119</v>
      </c>
      <c r="L17" s="38" t="s">
        <v>119</v>
      </c>
      <c r="M17" s="38" t="s">
        <v>119</v>
      </c>
      <c r="N17" s="38">
        <v>40.888241000000001</v>
      </c>
      <c r="O17" s="38" t="s">
        <v>120</v>
      </c>
      <c r="P17" s="38" t="s">
        <v>120</v>
      </c>
      <c r="Q17" s="38" t="s">
        <v>119</v>
      </c>
      <c r="R17" s="38" t="s">
        <v>119</v>
      </c>
      <c r="S17" s="38" t="s">
        <v>119</v>
      </c>
      <c r="T17" s="38">
        <v>85.792315000000002</v>
      </c>
      <c r="U17" s="38">
        <v>83.243476999999999</v>
      </c>
      <c r="V17" s="38" t="s">
        <v>119</v>
      </c>
      <c r="W17" s="38" t="s">
        <v>119</v>
      </c>
      <c r="X17" s="38" t="s">
        <v>119</v>
      </c>
      <c r="Y17" s="38" t="s">
        <v>119</v>
      </c>
      <c r="Z17" s="38" t="s">
        <v>119</v>
      </c>
      <c r="AA17" s="38" t="s">
        <v>119</v>
      </c>
      <c r="AB17" s="38" t="s">
        <v>119</v>
      </c>
      <c r="AC17" s="38" t="s">
        <v>119</v>
      </c>
      <c r="AD17" s="38" t="s">
        <v>119</v>
      </c>
      <c r="AE17" s="38" t="s">
        <v>119</v>
      </c>
      <c r="AF17" s="38" t="s">
        <v>119</v>
      </c>
      <c r="AG17" s="38" t="s">
        <v>119</v>
      </c>
      <c r="AH17" s="38" t="s">
        <v>119</v>
      </c>
      <c r="AI17" s="38" t="s">
        <v>119</v>
      </c>
      <c r="AJ17" s="38" t="s">
        <v>119</v>
      </c>
      <c r="AK17" s="38" t="s">
        <v>119</v>
      </c>
      <c r="AL17" s="38" t="s">
        <v>119</v>
      </c>
      <c r="AM17" s="38" t="s">
        <v>119</v>
      </c>
      <c r="AN17" s="38" t="s">
        <v>119</v>
      </c>
      <c r="AO17" s="38" t="s">
        <v>119</v>
      </c>
      <c r="AP17" s="38" t="s">
        <v>119</v>
      </c>
      <c r="AQ17" s="38" t="s">
        <v>119</v>
      </c>
      <c r="AR17" s="38" t="s">
        <v>119</v>
      </c>
      <c r="AS17" s="38" t="s">
        <v>119</v>
      </c>
      <c r="AT17" s="38" t="s">
        <v>119</v>
      </c>
      <c r="AU17" s="38" t="s">
        <v>119</v>
      </c>
      <c r="AV17" s="38" t="s">
        <v>119</v>
      </c>
      <c r="AW17" s="38" t="s">
        <v>119</v>
      </c>
      <c r="AX17" s="38" t="s">
        <v>119</v>
      </c>
    </row>
    <row r="18" spans="1:50" x14ac:dyDescent="0.45">
      <c r="A18" s="38" t="s">
        <v>136</v>
      </c>
      <c r="B18" s="38">
        <v>17</v>
      </c>
      <c r="C18" s="38" t="s">
        <v>118</v>
      </c>
      <c r="D18" s="38">
        <v>17</v>
      </c>
      <c r="E18" s="38">
        <v>6375</v>
      </c>
      <c r="F18" s="38">
        <f t="shared" si="0"/>
        <v>6.375</v>
      </c>
      <c r="G18" s="38">
        <v>1025468.75</v>
      </c>
      <c r="H18" s="38">
        <f t="shared" si="1"/>
        <v>1.0254687499999999</v>
      </c>
      <c r="I18" s="38">
        <v>2583</v>
      </c>
      <c r="J18" s="38">
        <v>2583</v>
      </c>
      <c r="K18" s="38" t="s">
        <v>119</v>
      </c>
      <c r="L18" s="38" t="s">
        <v>119</v>
      </c>
      <c r="M18" s="38" t="s">
        <v>119</v>
      </c>
      <c r="N18" s="38">
        <v>69.389426999999998</v>
      </c>
      <c r="O18" s="38" t="s">
        <v>120</v>
      </c>
      <c r="P18" s="38" t="s">
        <v>120</v>
      </c>
      <c r="Q18" s="38" t="s">
        <v>119</v>
      </c>
      <c r="R18" s="38" t="s">
        <v>119</v>
      </c>
      <c r="S18" s="38" t="s">
        <v>119</v>
      </c>
      <c r="T18" s="38">
        <v>73.878116000000006</v>
      </c>
      <c r="U18" s="38">
        <v>82.816376000000005</v>
      </c>
      <c r="V18" s="38" t="s">
        <v>119</v>
      </c>
      <c r="W18" s="38" t="s">
        <v>119</v>
      </c>
      <c r="X18" s="38" t="s">
        <v>119</v>
      </c>
      <c r="Y18" s="38" t="s">
        <v>119</v>
      </c>
      <c r="Z18" s="38" t="s">
        <v>119</v>
      </c>
      <c r="AA18" s="38" t="s">
        <v>119</v>
      </c>
      <c r="AB18" s="38" t="s">
        <v>119</v>
      </c>
      <c r="AC18" s="38" t="s">
        <v>119</v>
      </c>
      <c r="AD18" s="38" t="s">
        <v>119</v>
      </c>
      <c r="AE18" s="38" t="s">
        <v>119</v>
      </c>
      <c r="AF18" s="38" t="s">
        <v>119</v>
      </c>
      <c r="AG18" s="38" t="s">
        <v>119</v>
      </c>
      <c r="AH18" s="38" t="s">
        <v>119</v>
      </c>
      <c r="AI18" s="38" t="s">
        <v>119</v>
      </c>
      <c r="AJ18" s="38" t="s">
        <v>119</v>
      </c>
      <c r="AK18" s="38" t="s">
        <v>119</v>
      </c>
      <c r="AL18" s="38" t="s">
        <v>119</v>
      </c>
      <c r="AM18" s="38" t="s">
        <v>119</v>
      </c>
      <c r="AN18" s="38" t="s">
        <v>119</v>
      </c>
      <c r="AO18" s="38" t="s">
        <v>119</v>
      </c>
      <c r="AP18" s="38" t="s">
        <v>119</v>
      </c>
      <c r="AQ18" s="38" t="s">
        <v>119</v>
      </c>
      <c r="AR18" s="38" t="s">
        <v>119</v>
      </c>
      <c r="AS18" s="38" t="s">
        <v>119</v>
      </c>
      <c r="AT18" s="38" t="s">
        <v>119</v>
      </c>
      <c r="AU18" s="38" t="s">
        <v>119</v>
      </c>
      <c r="AV18" s="38" t="s">
        <v>119</v>
      </c>
      <c r="AW18" s="38" t="s">
        <v>119</v>
      </c>
      <c r="AX18" s="38" t="s">
        <v>119</v>
      </c>
    </row>
    <row r="19" spans="1:50" x14ac:dyDescent="0.45">
      <c r="A19" s="38" t="s">
        <v>137</v>
      </c>
      <c r="B19" s="38">
        <v>18</v>
      </c>
      <c r="C19" s="38" t="s">
        <v>118</v>
      </c>
      <c r="D19" s="38">
        <v>18</v>
      </c>
      <c r="E19" s="38">
        <v>18525</v>
      </c>
      <c r="F19" s="38">
        <f t="shared" si="0"/>
        <v>18.524999999999999</v>
      </c>
      <c r="G19" s="38">
        <v>7745156.25</v>
      </c>
      <c r="H19" s="38">
        <f t="shared" si="1"/>
        <v>7.74515625</v>
      </c>
      <c r="I19" s="38">
        <v>2584</v>
      </c>
      <c r="J19" s="38">
        <v>2584</v>
      </c>
      <c r="K19" s="38" t="s">
        <v>119</v>
      </c>
      <c r="L19" s="38" t="s">
        <v>119</v>
      </c>
      <c r="M19" s="38" t="s">
        <v>119</v>
      </c>
      <c r="N19" s="38">
        <v>52.719948000000002</v>
      </c>
      <c r="O19" s="38" t="s">
        <v>120</v>
      </c>
      <c r="P19" s="38" t="s">
        <v>120</v>
      </c>
      <c r="Q19" s="38" t="s">
        <v>119</v>
      </c>
      <c r="R19" s="38" t="s">
        <v>119</v>
      </c>
      <c r="S19" s="38" t="s">
        <v>119</v>
      </c>
      <c r="T19" s="38">
        <v>72.569914999999995</v>
      </c>
      <c r="U19" s="38">
        <v>82.393519999999995</v>
      </c>
      <c r="V19" s="38" t="s">
        <v>119</v>
      </c>
      <c r="W19" s="38" t="s">
        <v>119</v>
      </c>
      <c r="X19" s="38" t="s">
        <v>119</v>
      </c>
      <c r="Y19" s="38" t="s">
        <v>119</v>
      </c>
      <c r="Z19" s="38" t="s">
        <v>119</v>
      </c>
      <c r="AA19" s="38" t="s">
        <v>119</v>
      </c>
      <c r="AB19" s="38" t="s">
        <v>119</v>
      </c>
      <c r="AC19" s="38" t="s">
        <v>119</v>
      </c>
      <c r="AD19" s="38" t="s">
        <v>119</v>
      </c>
      <c r="AE19" s="38" t="s">
        <v>119</v>
      </c>
      <c r="AF19" s="38" t="s">
        <v>119</v>
      </c>
      <c r="AG19" s="38" t="s">
        <v>119</v>
      </c>
      <c r="AH19" s="38" t="s">
        <v>119</v>
      </c>
      <c r="AI19" s="38" t="s">
        <v>119</v>
      </c>
      <c r="AJ19" s="38" t="s">
        <v>119</v>
      </c>
      <c r="AK19" s="38" t="s">
        <v>119</v>
      </c>
      <c r="AL19" s="38" t="s">
        <v>119</v>
      </c>
      <c r="AM19" s="38" t="s">
        <v>119</v>
      </c>
      <c r="AN19" s="38" t="s">
        <v>119</v>
      </c>
      <c r="AO19" s="38" t="s">
        <v>119</v>
      </c>
      <c r="AP19" s="38" t="s">
        <v>119</v>
      </c>
      <c r="AQ19" s="38" t="s">
        <v>119</v>
      </c>
      <c r="AR19" s="38" t="s">
        <v>119</v>
      </c>
      <c r="AS19" s="38" t="s">
        <v>119</v>
      </c>
      <c r="AT19" s="38" t="s">
        <v>119</v>
      </c>
      <c r="AU19" s="38" t="s">
        <v>119</v>
      </c>
      <c r="AV19" s="38" t="s">
        <v>119</v>
      </c>
      <c r="AW19" s="38" t="s">
        <v>119</v>
      </c>
      <c r="AX19" s="38" t="s">
        <v>119</v>
      </c>
    </row>
    <row r="20" spans="1:50" x14ac:dyDescent="0.45">
      <c r="A20" s="38" t="s">
        <v>138</v>
      </c>
      <c r="B20" s="38">
        <v>19</v>
      </c>
      <c r="C20" s="38" t="s">
        <v>118</v>
      </c>
      <c r="D20" s="38">
        <v>19</v>
      </c>
      <c r="E20" s="38">
        <v>23200</v>
      </c>
      <c r="F20" s="38">
        <f t="shared" si="0"/>
        <v>23.2</v>
      </c>
      <c r="G20" s="38">
        <v>13525625</v>
      </c>
      <c r="H20" s="38">
        <f t="shared" si="1"/>
        <v>13.525625</v>
      </c>
      <c r="I20" s="38">
        <v>2585</v>
      </c>
      <c r="J20" s="38">
        <v>2585</v>
      </c>
      <c r="K20" s="38" t="s">
        <v>119</v>
      </c>
      <c r="L20" s="38" t="s">
        <v>119</v>
      </c>
      <c r="M20" s="38" t="s">
        <v>119</v>
      </c>
      <c r="N20" s="38">
        <v>53.061408999999998</v>
      </c>
      <c r="O20" s="38" t="s">
        <v>120</v>
      </c>
      <c r="P20" s="38" t="s">
        <v>120</v>
      </c>
      <c r="Q20" s="38" t="s">
        <v>119</v>
      </c>
      <c r="R20" s="38" t="s">
        <v>119</v>
      </c>
      <c r="S20" s="38" t="s">
        <v>119</v>
      </c>
      <c r="T20" s="38">
        <v>77.945437999999996</v>
      </c>
      <c r="U20" s="38">
        <v>82.455680000000001</v>
      </c>
      <c r="V20" s="38" t="s">
        <v>119</v>
      </c>
      <c r="W20" s="38" t="s">
        <v>119</v>
      </c>
      <c r="X20" s="38" t="s">
        <v>119</v>
      </c>
      <c r="Y20" s="38" t="s">
        <v>119</v>
      </c>
      <c r="Z20" s="38" t="s">
        <v>119</v>
      </c>
      <c r="AA20" s="38" t="s">
        <v>119</v>
      </c>
      <c r="AB20" s="38" t="s">
        <v>119</v>
      </c>
      <c r="AC20" s="38" t="s">
        <v>119</v>
      </c>
      <c r="AD20" s="38" t="s">
        <v>119</v>
      </c>
      <c r="AE20" s="38" t="s">
        <v>119</v>
      </c>
      <c r="AF20" s="38" t="s">
        <v>119</v>
      </c>
      <c r="AG20" s="38" t="s">
        <v>119</v>
      </c>
      <c r="AH20" s="38" t="s">
        <v>119</v>
      </c>
      <c r="AI20" s="38" t="s">
        <v>119</v>
      </c>
      <c r="AJ20" s="38" t="s">
        <v>119</v>
      </c>
      <c r="AK20" s="38" t="s">
        <v>119</v>
      </c>
      <c r="AL20" s="38" t="s">
        <v>119</v>
      </c>
      <c r="AM20" s="38" t="s">
        <v>119</v>
      </c>
      <c r="AN20" s="38" t="s">
        <v>119</v>
      </c>
      <c r="AO20" s="38" t="s">
        <v>119</v>
      </c>
      <c r="AP20" s="38" t="s">
        <v>119</v>
      </c>
      <c r="AQ20" s="38" t="s">
        <v>119</v>
      </c>
      <c r="AR20" s="38" t="s">
        <v>119</v>
      </c>
      <c r="AS20" s="38" t="s">
        <v>119</v>
      </c>
      <c r="AT20" s="38" t="s">
        <v>119</v>
      </c>
      <c r="AU20" s="38" t="s">
        <v>119</v>
      </c>
      <c r="AV20" s="38" t="s">
        <v>119</v>
      </c>
      <c r="AW20" s="38" t="s">
        <v>119</v>
      </c>
      <c r="AX20" s="38" t="s">
        <v>119</v>
      </c>
    </row>
    <row r="21" spans="1:50" x14ac:dyDescent="0.45">
      <c r="A21" s="38" t="s">
        <v>139</v>
      </c>
      <c r="B21" s="38">
        <v>20</v>
      </c>
      <c r="C21" s="38" t="s">
        <v>118</v>
      </c>
      <c r="D21" s="38">
        <v>20</v>
      </c>
      <c r="E21" s="38">
        <v>15600</v>
      </c>
      <c r="F21" s="38">
        <f t="shared" si="0"/>
        <v>15.6</v>
      </c>
      <c r="G21" s="38">
        <v>5458437.5</v>
      </c>
      <c r="H21" s="38">
        <f t="shared" si="1"/>
        <v>5.4584374999999996</v>
      </c>
      <c r="I21" s="38">
        <v>2586</v>
      </c>
      <c r="J21" s="38">
        <v>2586</v>
      </c>
      <c r="K21" s="38" t="s">
        <v>119</v>
      </c>
      <c r="L21" s="38" t="s">
        <v>119</v>
      </c>
      <c r="M21" s="38" t="s">
        <v>119</v>
      </c>
      <c r="N21" s="38">
        <v>45.870010000000001</v>
      </c>
      <c r="O21" s="38" t="s">
        <v>120</v>
      </c>
      <c r="P21" s="38" t="s">
        <v>120</v>
      </c>
      <c r="Q21" s="38" t="s">
        <v>119</v>
      </c>
      <c r="R21" s="38" t="s">
        <v>119</v>
      </c>
      <c r="S21" s="38" t="s">
        <v>119</v>
      </c>
      <c r="T21" s="38">
        <v>83.050736000000001</v>
      </c>
      <c r="U21" s="38">
        <v>83.034110999999996</v>
      </c>
      <c r="V21" s="38" t="s">
        <v>119</v>
      </c>
      <c r="W21" s="38" t="s">
        <v>119</v>
      </c>
      <c r="X21" s="38" t="s">
        <v>119</v>
      </c>
      <c r="Y21" s="38" t="s">
        <v>119</v>
      </c>
      <c r="Z21" s="38" t="s">
        <v>119</v>
      </c>
      <c r="AA21" s="38" t="s">
        <v>119</v>
      </c>
      <c r="AB21" s="38" t="s">
        <v>119</v>
      </c>
      <c r="AC21" s="38" t="s">
        <v>119</v>
      </c>
      <c r="AD21" s="38" t="s">
        <v>119</v>
      </c>
      <c r="AE21" s="38" t="s">
        <v>119</v>
      </c>
      <c r="AF21" s="38" t="s">
        <v>119</v>
      </c>
      <c r="AG21" s="38" t="s">
        <v>119</v>
      </c>
      <c r="AH21" s="38" t="s">
        <v>119</v>
      </c>
      <c r="AI21" s="38" t="s">
        <v>119</v>
      </c>
      <c r="AJ21" s="38" t="s">
        <v>119</v>
      </c>
      <c r="AK21" s="38" t="s">
        <v>119</v>
      </c>
      <c r="AL21" s="38" t="s">
        <v>119</v>
      </c>
      <c r="AM21" s="38" t="s">
        <v>119</v>
      </c>
      <c r="AN21" s="38" t="s">
        <v>119</v>
      </c>
      <c r="AO21" s="38" t="s">
        <v>119</v>
      </c>
      <c r="AP21" s="38" t="s">
        <v>119</v>
      </c>
      <c r="AQ21" s="38" t="s">
        <v>119</v>
      </c>
      <c r="AR21" s="38" t="s">
        <v>119</v>
      </c>
      <c r="AS21" s="38" t="s">
        <v>119</v>
      </c>
      <c r="AT21" s="38" t="s">
        <v>119</v>
      </c>
      <c r="AU21" s="38" t="s">
        <v>119</v>
      </c>
      <c r="AV21" s="38" t="s">
        <v>119</v>
      </c>
      <c r="AW21" s="38" t="s">
        <v>119</v>
      </c>
      <c r="AX21" s="38" t="s">
        <v>119</v>
      </c>
    </row>
    <row r="22" spans="1:50" x14ac:dyDescent="0.45">
      <c r="A22" s="38" t="s">
        <v>140</v>
      </c>
      <c r="B22" s="38">
        <v>21</v>
      </c>
      <c r="C22" s="38" t="s">
        <v>118</v>
      </c>
      <c r="D22" s="38">
        <v>21</v>
      </c>
      <c r="E22" s="38">
        <v>16850</v>
      </c>
      <c r="F22" s="38">
        <f t="shared" si="0"/>
        <v>16.850000000000001</v>
      </c>
      <c r="G22" s="38">
        <v>6704687.5</v>
      </c>
      <c r="H22" s="38">
        <f t="shared" si="1"/>
        <v>6.7046875000000004</v>
      </c>
      <c r="I22" s="38">
        <v>2587</v>
      </c>
      <c r="J22" s="38">
        <v>2587</v>
      </c>
      <c r="K22" s="38" t="s">
        <v>119</v>
      </c>
      <c r="L22" s="38" t="s">
        <v>119</v>
      </c>
      <c r="M22" s="38" t="s">
        <v>119</v>
      </c>
      <c r="N22" s="38">
        <v>60.315463999999999</v>
      </c>
      <c r="O22" s="38" t="s">
        <v>120</v>
      </c>
      <c r="P22" s="38" t="s">
        <v>120</v>
      </c>
      <c r="Q22" s="38" t="s">
        <v>119</v>
      </c>
      <c r="R22" s="38" t="s">
        <v>119</v>
      </c>
      <c r="S22" s="38" t="s">
        <v>119</v>
      </c>
      <c r="T22" s="38">
        <v>74.154072999999997</v>
      </c>
      <c r="U22" s="38">
        <v>81.962480999999997</v>
      </c>
      <c r="V22" s="38" t="s">
        <v>119</v>
      </c>
      <c r="W22" s="38" t="s">
        <v>119</v>
      </c>
      <c r="X22" s="38" t="s">
        <v>119</v>
      </c>
      <c r="Y22" s="38" t="s">
        <v>119</v>
      </c>
      <c r="Z22" s="38" t="s">
        <v>119</v>
      </c>
      <c r="AA22" s="38" t="s">
        <v>119</v>
      </c>
      <c r="AB22" s="38" t="s">
        <v>119</v>
      </c>
      <c r="AC22" s="38" t="s">
        <v>119</v>
      </c>
      <c r="AD22" s="38" t="s">
        <v>119</v>
      </c>
      <c r="AE22" s="38" t="s">
        <v>119</v>
      </c>
      <c r="AF22" s="38" t="s">
        <v>119</v>
      </c>
      <c r="AG22" s="38" t="s">
        <v>119</v>
      </c>
      <c r="AH22" s="38" t="s">
        <v>119</v>
      </c>
      <c r="AI22" s="38" t="s">
        <v>119</v>
      </c>
      <c r="AJ22" s="38" t="s">
        <v>119</v>
      </c>
      <c r="AK22" s="38" t="s">
        <v>119</v>
      </c>
      <c r="AL22" s="38" t="s">
        <v>119</v>
      </c>
      <c r="AM22" s="38" t="s">
        <v>119</v>
      </c>
      <c r="AN22" s="38" t="s">
        <v>119</v>
      </c>
      <c r="AO22" s="38" t="s">
        <v>119</v>
      </c>
      <c r="AP22" s="38" t="s">
        <v>119</v>
      </c>
      <c r="AQ22" s="38" t="s">
        <v>119</v>
      </c>
      <c r="AR22" s="38" t="s">
        <v>119</v>
      </c>
      <c r="AS22" s="38" t="s">
        <v>119</v>
      </c>
      <c r="AT22" s="38" t="s">
        <v>119</v>
      </c>
      <c r="AU22" s="38" t="s">
        <v>119</v>
      </c>
      <c r="AV22" s="38" t="s">
        <v>119</v>
      </c>
      <c r="AW22" s="38" t="s">
        <v>119</v>
      </c>
      <c r="AX22" s="38" t="s">
        <v>119</v>
      </c>
    </row>
    <row r="23" spans="1:50" x14ac:dyDescent="0.45">
      <c r="A23" s="38" t="s">
        <v>141</v>
      </c>
      <c r="B23" s="38">
        <v>22</v>
      </c>
      <c r="C23" s="38" t="s">
        <v>118</v>
      </c>
      <c r="D23" s="38">
        <v>22</v>
      </c>
      <c r="E23" s="38">
        <v>16625</v>
      </c>
      <c r="F23" s="38">
        <f t="shared" si="0"/>
        <v>16.625</v>
      </c>
      <c r="G23" s="38">
        <v>8842031.25</v>
      </c>
      <c r="H23" s="38">
        <f t="shared" si="1"/>
        <v>8.8420312499999998</v>
      </c>
      <c r="I23" s="38">
        <v>2588</v>
      </c>
      <c r="J23" s="38">
        <v>2588</v>
      </c>
      <c r="K23" s="38" t="s">
        <v>119</v>
      </c>
      <c r="L23" s="38" t="s">
        <v>119</v>
      </c>
      <c r="M23" s="38" t="s">
        <v>119</v>
      </c>
      <c r="N23" s="38">
        <v>24.582066000000001</v>
      </c>
      <c r="O23" s="38" t="s">
        <v>120</v>
      </c>
      <c r="P23" s="38" t="s">
        <v>120</v>
      </c>
      <c r="Q23" s="38" t="s">
        <v>119</v>
      </c>
      <c r="R23" s="38" t="s">
        <v>119</v>
      </c>
      <c r="S23" s="38" t="s">
        <v>119</v>
      </c>
      <c r="T23" s="38">
        <v>85.818297999999999</v>
      </c>
      <c r="U23" s="38">
        <v>81.926225000000002</v>
      </c>
      <c r="V23" s="38" t="s">
        <v>119</v>
      </c>
      <c r="W23" s="38" t="s">
        <v>119</v>
      </c>
      <c r="X23" s="38" t="s">
        <v>119</v>
      </c>
      <c r="Y23" s="38" t="s">
        <v>119</v>
      </c>
      <c r="Z23" s="38" t="s">
        <v>119</v>
      </c>
      <c r="AA23" s="38" t="s">
        <v>119</v>
      </c>
      <c r="AB23" s="38" t="s">
        <v>119</v>
      </c>
      <c r="AC23" s="38" t="s">
        <v>119</v>
      </c>
      <c r="AD23" s="38" t="s">
        <v>119</v>
      </c>
      <c r="AE23" s="38" t="s">
        <v>119</v>
      </c>
      <c r="AF23" s="38" t="s">
        <v>119</v>
      </c>
      <c r="AG23" s="38" t="s">
        <v>119</v>
      </c>
      <c r="AH23" s="38" t="s">
        <v>119</v>
      </c>
      <c r="AI23" s="38" t="s">
        <v>119</v>
      </c>
      <c r="AJ23" s="38" t="s">
        <v>119</v>
      </c>
      <c r="AK23" s="38" t="s">
        <v>119</v>
      </c>
      <c r="AL23" s="38" t="s">
        <v>119</v>
      </c>
      <c r="AM23" s="38" t="s">
        <v>119</v>
      </c>
      <c r="AN23" s="38" t="s">
        <v>119</v>
      </c>
      <c r="AO23" s="38" t="s">
        <v>119</v>
      </c>
      <c r="AP23" s="38" t="s">
        <v>119</v>
      </c>
      <c r="AQ23" s="38" t="s">
        <v>119</v>
      </c>
      <c r="AR23" s="38" t="s">
        <v>119</v>
      </c>
      <c r="AS23" s="38" t="s">
        <v>119</v>
      </c>
      <c r="AT23" s="38" t="s">
        <v>119</v>
      </c>
      <c r="AU23" s="38" t="s">
        <v>119</v>
      </c>
      <c r="AV23" s="38" t="s">
        <v>119</v>
      </c>
      <c r="AW23" s="38" t="s">
        <v>119</v>
      </c>
      <c r="AX23" s="38" t="s">
        <v>119</v>
      </c>
    </row>
    <row r="24" spans="1:50" x14ac:dyDescent="0.45">
      <c r="A24" s="38" t="s">
        <v>142</v>
      </c>
      <c r="B24" s="38">
        <v>23</v>
      </c>
      <c r="C24" s="38" t="s">
        <v>118</v>
      </c>
      <c r="D24" s="38">
        <v>23</v>
      </c>
      <c r="E24" s="38">
        <v>23900</v>
      </c>
      <c r="F24" s="38">
        <f t="shared" si="0"/>
        <v>23.9</v>
      </c>
      <c r="G24" s="38">
        <v>14137343.75</v>
      </c>
      <c r="H24" s="38">
        <f t="shared" si="1"/>
        <v>14.137343749999999</v>
      </c>
      <c r="I24" s="38">
        <v>2589</v>
      </c>
      <c r="J24" s="38">
        <v>2589</v>
      </c>
      <c r="K24" s="38" t="s">
        <v>119</v>
      </c>
      <c r="L24" s="38" t="s">
        <v>119</v>
      </c>
      <c r="M24" s="38" t="s">
        <v>119</v>
      </c>
      <c r="N24" s="38">
        <v>48.036788999999999</v>
      </c>
      <c r="O24" s="38" t="s">
        <v>120</v>
      </c>
      <c r="P24" s="38" t="s">
        <v>120</v>
      </c>
      <c r="Q24" s="38" t="s">
        <v>119</v>
      </c>
      <c r="R24" s="38" t="s">
        <v>119</v>
      </c>
      <c r="S24" s="38" t="s">
        <v>119</v>
      </c>
      <c r="T24" s="38">
        <v>78.776263</v>
      </c>
      <c r="U24" s="38">
        <v>81.408623000000006</v>
      </c>
      <c r="V24" s="38" t="s">
        <v>119</v>
      </c>
      <c r="W24" s="38" t="s">
        <v>119</v>
      </c>
      <c r="X24" s="38" t="s">
        <v>119</v>
      </c>
      <c r="Y24" s="38" t="s">
        <v>119</v>
      </c>
      <c r="Z24" s="38" t="s">
        <v>119</v>
      </c>
      <c r="AA24" s="38" t="s">
        <v>119</v>
      </c>
      <c r="AB24" s="38" t="s">
        <v>119</v>
      </c>
      <c r="AC24" s="38" t="s">
        <v>119</v>
      </c>
      <c r="AD24" s="38" t="s">
        <v>119</v>
      </c>
      <c r="AE24" s="38" t="s">
        <v>119</v>
      </c>
      <c r="AF24" s="38" t="s">
        <v>119</v>
      </c>
      <c r="AG24" s="38" t="s">
        <v>119</v>
      </c>
      <c r="AH24" s="38" t="s">
        <v>119</v>
      </c>
      <c r="AI24" s="38" t="s">
        <v>119</v>
      </c>
      <c r="AJ24" s="38" t="s">
        <v>119</v>
      </c>
      <c r="AK24" s="38" t="s">
        <v>119</v>
      </c>
      <c r="AL24" s="38" t="s">
        <v>119</v>
      </c>
      <c r="AM24" s="38" t="s">
        <v>119</v>
      </c>
      <c r="AN24" s="38" t="s">
        <v>119</v>
      </c>
      <c r="AO24" s="38" t="s">
        <v>119</v>
      </c>
      <c r="AP24" s="38" t="s">
        <v>119</v>
      </c>
      <c r="AQ24" s="38" t="s">
        <v>119</v>
      </c>
      <c r="AR24" s="38" t="s">
        <v>119</v>
      </c>
      <c r="AS24" s="38" t="s">
        <v>119</v>
      </c>
      <c r="AT24" s="38" t="s">
        <v>119</v>
      </c>
      <c r="AU24" s="38" t="s">
        <v>119</v>
      </c>
      <c r="AV24" s="38" t="s">
        <v>119</v>
      </c>
      <c r="AW24" s="38" t="s">
        <v>119</v>
      </c>
      <c r="AX24" s="38" t="s">
        <v>119</v>
      </c>
    </row>
    <row r="25" spans="1:50" x14ac:dyDescent="0.45">
      <c r="A25" s="38" t="s">
        <v>143</v>
      </c>
      <c r="B25" s="38">
        <v>24</v>
      </c>
      <c r="C25" s="38" t="s">
        <v>118</v>
      </c>
      <c r="D25" s="38">
        <v>24</v>
      </c>
      <c r="E25" s="38">
        <v>9125</v>
      </c>
      <c r="F25" s="38">
        <f t="shared" si="0"/>
        <v>9.125</v>
      </c>
      <c r="G25" s="38">
        <v>2591875</v>
      </c>
      <c r="H25" s="38">
        <f t="shared" si="1"/>
        <v>2.5918749999999999</v>
      </c>
      <c r="I25" s="38">
        <v>2590</v>
      </c>
      <c r="J25" s="38">
        <v>2590</v>
      </c>
      <c r="K25" s="38" t="s">
        <v>119</v>
      </c>
      <c r="L25" s="38" t="s">
        <v>119</v>
      </c>
      <c r="M25" s="38" t="s">
        <v>119</v>
      </c>
      <c r="N25" s="38">
        <v>64.199012999999994</v>
      </c>
      <c r="O25" s="38" t="s">
        <v>120</v>
      </c>
      <c r="P25" s="38" t="s">
        <v>120</v>
      </c>
      <c r="Q25" s="38" t="s">
        <v>119</v>
      </c>
      <c r="R25" s="38" t="s">
        <v>119</v>
      </c>
      <c r="S25" s="38" t="s">
        <v>119</v>
      </c>
      <c r="T25" s="38">
        <v>74.504925</v>
      </c>
      <c r="U25" s="38">
        <v>81.487868000000006</v>
      </c>
      <c r="V25" s="38" t="s">
        <v>119</v>
      </c>
      <c r="W25" s="38" t="s">
        <v>119</v>
      </c>
      <c r="X25" s="38" t="s">
        <v>119</v>
      </c>
      <c r="Y25" s="38" t="s">
        <v>119</v>
      </c>
      <c r="Z25" s="38" t="s">
        <v>119</v>
      </c>
      <c r="AA25" s="38" t="s">
        <v>119</v>
      </c>
      <c r="AB25" s="38" t="s">
        <v>119</v>
      </c>
      <c r="AC25" s="38" t="s">
        <v>119</v>
      </c>
      <c r="AD25" s="38" t="s">
        <v>119</v>
      </c>
      <c r="AE25" s="38" t="s">
        <v>119</v>
      </c>
      <c r="AF25" s="38" t="s">
        <v>119</v>
      </c>
      <c r="AG25" s="38" t="s">
        <v>119</v>
      </c>
      <c r="AH25" s="38" t="s">
        <v>119</v>
      </c>
      <c r="AI25" s="38" t="s">
        <v>119</v>
      </c>
      <c r="AJ25" s="38" t="s">
        <v>119</v>
      </c>
      <c r="AK25" s="38" t="s">
        <v>119</v>
      </c>
      <c r="AL25" s="38" t="s">
        <v>119</v>
      </c>
      <c r="AM25" s="38" t="s">
        <v>119</v>
      </c>
      <c r="AN25" s="38" t="s">
        <v>119</v>
      </c>
      <c r="AO25" s="38" t="s">
        <v>119</v>
      </c>
      <c r="AP25" s="38" t="s">
        <v>119</v>
      </c>
      <c r="AQ25" s="38" t="s">
        <v>119</v>
      </c>
      <c r="AR25" s="38" t="s">
        <v>119</v>
      </c>
      <c r="AS25" s="38" t="s">
        <v>119</v>
      </c>
      <c r="AT25" s="38" t="s">
        <v>119</v>
      </c>
      <c r="AU25" s="38" t="s">
        <v>119</v>
      </c>
      <c r="AV25" s="38" t="s">
        <v>119</v>
      </c>
      <c r="AW25" s="38" t="s">
        <v>119</v>
      </c>
      <c r="AX25" s="38" t="s">
        <v>119</v>
      </c>
    </row>
    <row r="26" spans="1:50" x14ac:dyDescent="0.45">
      <c r="A26" s="38" t="s">
        <v>144</v>
      </c>
      <c r="B26" s="38">
        <v>25</v>
      </c>
      <c r="C26" s="38" t="s">
        <v>118</v>
      </c>
      <c r="D26" s="38">
        <v>25</v>
      </c>
      <c r="E26" s="38">
        <v>25925</v>
      </c>
      <c r="F26" s="38">
        <f t="shared" si="0"/>
        <v>25.925000000000001</v>
      </c>
      <c r="G26" s="38">
        <v>16939375</v>
      </c>
      <c r="H26" s="38">
        <f t="shared" si="1"/>
        <v>16.939374999999998</v>
      </c>
      <c r="I26" s="38">
        <v>2591</v>
      </c>
      <c r="J26" s="38">
        <v>2591</v>
      </c>
      <c r="K26" s="38" t="s">
        <v>119</v>
      </c>
      <c r="L26" s="38" t="s">
        <v>119</v>
      </c>
      <c r="M26" s="38" t="s">
        <v>119</v>
      </c>
      <c r="N26" s="38">
        <v>48.997917000000001</v>
      </c>
      <c r="O26" s="38" t="s">
        <v>120</v>
      </c>
      <c r="P26" s="38" t="s">
        <v>120</v>
      </c>
      <c r="Q26" s="38" t="s">
        <v>119</v>
      </c>
      <c r="R26" s="38" t="s">
        <v>119</v>
      </c>
      <c r="S26" s="38" t="s">
        <v>119</v>
      </c>
      <c r="T26" s="38">
        <v>81.976894999999999</v>
      </c>
      <c r="U26" s="38">
        <v>82.257124000000005</v>
      </c>
      <c r="V26" s="38" t="s">
        <v>119</v>
      </c>
      <c r="W26" s="38" t="s">
        <v>119</v>
      </c>
      <c r="X26" s="38" t="s">
        <v>119</v>
      </c>
      <c r="Y26" s="38" t="s">
        <v>119</v>
      </c>
      <c r="Z26" s="38" t="s">
        <v>119</v>
      </c>
      <c r="AA26" s="38" t="s">
        <v>119</v>
      </c>
      <c r="AB26" s="38" t="s">
        <v>119</v>
      </c>
      <c r="AC26" s="38" t="s">
        <v>119</v>
      </c>
      <c r="AD26" s="38" t="s">
        <v>119</v>
      </c>
      <c r="AE26" s="38" t="s">
        <v>119</v>
      </c>
      <c r="AF26" s="38" t="s">
        <v>119</v>
      </c>
      <c r="AG26" s="38" t="s">
        <v>119</v>
      </c>
      <c r="AH26" s="38" t="s">
        <v>119</v>
      </c>
      <c r="AI26" s="38" t="s">
        <v>119</v>
      </c>
      <c r="AJ26" s="38" t="s">
        <v>119</v>
      </c>
      <c r="AK26" s="38" t="s">
        <v>119</v>
      </c>
      <c r="AL26" s="38" t="s">
        <v>119</v>
      </c>
      <c r="AM26" s="38" t="s">
        <v>119</v>
      </c>
      <c r="AN26" s="38" t="s">
        <v>119</v>
      </c>
      <c r="AO26" s="38" t="s">
        <v>119</v>
      </c>
      <c r="AP26" s="38" t="s">
        <v>119</v>
      </c>
      <c r="AQ26" s="38" t="s">
        <v>119</v>
      </c>
      <c r="AR26" s="38" t="s">
        <v>119</v>
      </c>
      <c r="AS26" s="38" t="s">
        <v>119</v>
      </c>
      <c r="AT26" s="38" t="s">
        <v>119</v>
      </c>
      <c r="AU26" s="38" t="s">
        <v>119</v>
      </c>
      <c r="AV26" s="38" t="s">
        <v>119</v>
      </c>
      <c r="AW26" s="38" t="s">
        <v>119</v>
      </c>
      <c r="AX26" s="38" t="s">
        <v>119</v>
      </c>
    </row>
    <row r="27" spans="1:50" x14ac:dyDescent="0.45">
      <c r="A27" s="38" t="s">
        <v>145</v>
      </c>
      <c r="B27" s="38">
        <v>26</v>
      </c>
      <c r="C27" s="38" t="s">
        <v>118</v>
      </c>
      <c r="D27" s="38">
        <v>26</v>
      </c>
      <c r="E27" s="38">
        <v>11450</v>
      </c>
      <c r="F27" s="38">
        <f t="shared" si="0"/>
        <v>11.45</v>
      </c>
      <c r="G27" s="38">
        <v>4299531.25</v>
      </c>
      <c r="H27" s="38">
        <f t="shared" si="1"/>
        <v>4.2995312500000002</v>
      </c>
      <c r="I27" s="38">
        <v>2592</v>
      </c>
      <c r="J27" s="38">
        <v>2592</v>
      </c>
      <c r="K27" s="38" t="s">
        <v>119</v>
      </c>
      <c r="L27" s="38" t="s">
        <v>119</v>
      </c>
      <c r="M27" s="38" t="s">
        <v>119</v>
      </c>
      <c r="N27" s="38">
        <v>59.302306999999999</v>
      </c>
      <c r="O27" s="38" t="s">
        <v>120</v>
      </c>
      <c r="P27" s="38" t="s">
        <v>120</v>
      </c>
      <c r="Q27" s="38" t="s">
        <v>119</v>
      </c>
      <c r="R27" s="38" t="s">
        <v>119</v>
      </c>
      <c r="S27" s="38" t="s">
        <v>119</v>
      </c>
      <c r="T27" s="38">
        <v>70.089906999999997</v>
      </c>
      <c r="U27" s="38">
        <v>81.842967000000002</v>
      </c>
      <c r="V27" s="38" t="s">
        <v>119</v>
      </c>
      <c r="W27" s="38" t="s">
        <v>119</v>
      </c>
      <c r="X27" s="38" t="s">
        <v>119</v>
      </c>
      <c r="Y27" s="38" t="s">
        <v>119</v>
      </c>
      <c r="Z27" s="38" t="s">
        <v>119</v>
      </c>
      <c r="AA27" s="38" t="s">
        <v>119</v>
      </c>
      <c r="AB27" s="38" t="s">
        <v>119</v>
      </c>
      <c r="AC27" s="38" t="s">
        <v>119</v>
      </c>
      <c r="AD27" s="38" t="s">
        <v>119</v>
      </c>
      <c r="AE27" s="38" t="s">
        <v>119</v>
      </c>
      <c r="AF27" s="38" t="s">
        <v>119</v>
      </c>
      <c r="AG27" s="38" t="s">
        <v>119</v>
      </c>
      <c r="AH27" s="38" t="s">
        <v>119</v>
      </c>
      <c r="AI27" s="38" t="s">
        <v>119</v>
      </c>
      <c r="AJ27" s="38" t="s">
        <v>119</v>
      </c>
      <c r="AK27" s="38" t="s">
        <v>119</v>
      </c>
      <c r="AL27" s="38" t="s">
        <v>119</v>
      </c>
      <c r="AM27" s="38" t="s">
        <v>119</v>
      </c>
      <c r="AN27" s="38" t="s">
        <v>119</v>
      </c>
      <c r="AO27" s="38" t="s">
        <v>119</v>
      </c>
      <c r="AP27" s="38" t="s">
        <v>119</v>
      </c>
      <c r="AQ27" s="38" t="s">
        <v>119</v>
      </c>
      <c r="AR27" s="38" t="s">
        <v>119</v>
      </c>
      <c r="AS27" s="38" t="s">
        <v>119</v>
      </c>
      <c r="AT27" s="38" t="s">
        <v>119</v>
      </c>
      <c r="AU27" s="38" t="s">
        <v>119</v>
      </c>
      <c r="AV27" s="38" t="s">
        <v>119</v>
      </c>
      <c r="AW27" s="38" t="s">
        <v>119</v>
      </c>
      <c r="AX27" s="38" t="s">
        <v>119</v>
      </c>
    </row>
    <row r="28" spans="1:50" x14ac:dyDescent="0.45">
      <c r="A28" s="38" t="s">
        <v>146</v>
      </c>
      <c r="B28" s="38">
        <v>27</v>
      </c>
      <c r="C28" s="38" t="s">
        <v>118</v>
      </c>
      <c r="D28" s="38">
        <v>27</v>
      </c>
      <c r="E28" s="38">
        <v>20175</v>
      </c>
      <c r="F28" s="38">
        <f t="shared" si="0"/>
        <v>20.175000000000001</v>
      </c>
      <c r="G28" s="38">
        <v>10688906.25</v>
      </c>
      <c r="H28" s="38">
        <f t="shared" si="1"/>
        <v>10.68890625</v>
      </c>
      <c r="I28" s="38">
        <v>2593</v>
      </c>
      <c r="J28" s="38">
        <v>2593</v>
      </c>
      <c r="K28" s="38" t="s">
        <v>119</v>
      </c>
      <c r="L28" s="38" t="s">
        <v>119</v>
      </c>
      <c r="M28" s="38" t="s">
        <v>119</v>
      </c>
      <c r="N28" s="38">
        <v>42.952015000000003</v>
      </c>
      <c r="O28" s="38" t="s">
        <v>120</v>
      </c>
      <c r="P28" s="38" t="s">
        <v>120</v>
      </c>
      <c r="Q28" s="38" t="s">
        <v>119</v>
      </c>
      <c r="R28" s="38" t="s">
        <v>119</v>
      </c>
      <c r="S28" s="38" t="s">
        <v>119</v>
      </c>
      <c r="T28" s="38">
        <v>76</v>
      </c>
      <c r="U28" s="38">
        <v>80.844127999999998</v>
      </c>
      <c r="V28" s="38" t="s">
        <v>119</v>
      </c>
      <c r="W28" s="38" t="s">
        <v>119</v>
      </c>
      <c r="X28" s="38" t="s">
        <v>119</v>
      </c>
      <c r="Y28" s="38" t="s">
        <v>119</v>
      </c>
      <c r="Z28" s="38" t="s">
        <v>119</v>
      </c>
      <c r="AA28" s="38" t="s">
        <v>119</v>
      </c>
      <c r="AB28" s="38" t="s">
        <v>119</v>
      </c>
      <c r="AC28" s="38" t="s">
        <v>119</v>
      </c>
      <c r="AD28" s="38" t="s">
        <v>119</v>
      </c>
      <c r="AE28" s="38" t="s">
        <v>119</v>
      </c>
      <c r="AF28" s="38" t="s">
        <v>119</v>
      </c>
      <c r="AG28" s="38" t="s">
        <v>119</v>
      </c>
      <c r="AH28" s="38" t="s">
        <v>119</v>
      </c>
      <c r="AI28" s="38" t="s">
        <v>119</v>
      </c>
      <c r="AJ28" s="38" t="s">
        <v>119</v>
      </c>
      <c r="AK28" s="38" t="s">
        <v>119</v>
      </c>
      <c r="AL28" s="38" t="s">
        <v>119</v>
      </c>
      <c r="AM28" s="38" t="s">
        <v>119</v>
      </c>
      <c r="AN28" s="38" t="s">
        <v>119</v>
      </c>
      <c r="AO28" s="38" t="s">
        <v>119</v>
      </c>
      <c r="AP28" s="38" t="s">
        <v>119</v>
      </c>
      <c r="AQ28" s="38" t="s">
        <v>119</v>
      </c>
      <c r="AR28" s="38" t="s">
        <v>119</v>
      </c>
      <c r="AS28" s="38" t="s">
        <v>119</v>
      </c>
      <c r="AT28" s="38" t="s">
        <v>119</v>
      </c>
      <c r="AU28" s="38" t="s">
        <v>119</v>
      </c>
      <c r="AV28" s="38" t="s">
        <v>119</v>
      </c>
      <c r="AW28" s="38" t="s">
        <v>119</v>
      </c>
      <c r="AX28" s="38" t="s">
        <v>119</v>
      </c>
    </row>
    <row r="29" spans="1:50" x14ac:dyDescent="0.45">
      <c r="A29" s="38" t="s">
        <v>147</v>
      </c>
      <c r="B29" s="38">
        <v>28</v>
      </c>
      <c r="C29" s="38" t="s">
        <v>118</v>
      </c>
      <c r="D29" s="38">
        <v>28</v>
      </c>
      <c r="E29" s="38">
        <v>20275</v>
      </c>
      <c r="F29" s="38">
        <f t="shared" si="0"/>
        <v>20.274999999999999</v>
      </c>
      <c r="G29" s="38">
        <v>9517500</v>
      </c>
      <c r="H29" s="38">
        <f t="shared" si="1"/>
        <v>9.5175000000000001</v>
      </c>
      <c r="I29" s="38">
        <v>2594</v>
      </c>
      <c r="J29" s="38">
        <v>2594</v>
      </c>
      <c r="K29" s="38" t="s">
        <v>119</v>
      </c>
      <c r="L29" s="38" t="s">
        <v>119</v>
      </c>
      <c r="M29" s="38" t="s">
        <v>119</v>
      </c>
      <c r="N29" s="38">
        <v>30.37921</v>
      </c>
      <c r="O29" s="38" t="s">
        <v>120</v>
      </c>
      <c r="P29" s="38" t="s">
        <v>120</v>
      </c>
      <c r="Q29" s="38" t="s">
        <v>119</v>
      </c>
      <c r="R29" s="38" t="s">
        <v>119</v>
      </c>
      <c r="S29" s="38" t="s">
        <v>119</v>
      </c>
      <c r="T29" s="38">
        <v>77.573936000000003</v>
      </c>
      <c r="U29" s="38">
        <v>81.664255999999995</v>
      </c>
      <c r="V29" s="38" t="s">
        <v>119</v>
      </c>
      <c r="W29" s="38" t="s">
        <v>119</v>
      </c>
      <c r="X29" s="38" t="s">
        <v>119</v>
      </c>
      <c r="Y29" s="38" t="s">
        <v>119</v>
      </c>
      <c r="Z29" s="38" t="s">
        <v>119</v>
      </c>
      <c r="AA29" s="38" t="s">
        <v>119</v>
      </c>
      <c r="AB29" s="38" t="s">
        <v>119</v>
      </c>
      <c r="AC29" s="38" t="s">
        <v>119</v>
      </c>
      <c r="AD29" s="38" t="s">
        <v>119</v>
      </c>
      <c r="AE29" s="38" t="s">
        <v>119</v>
      </c>
      <c r="AF29" s="38" t="s">
        <v>119</v>
      </c>
      <c r="AG29" s="38" t="s">
        <v>119</v>
      </c>
      <c r="AH29" s="38" t="s">
        <v>119</v>
      </c>
      <c r="AI29" s="38" t="s">
        <v>119</v>
      </c>
      <c r="AJ29" s="38" t="s">
        <v>119</v>
      </c>
      <c r="AK29" s="38" t="s">
        <v>119</v>
      </c>
      <c r="AL29" s="38" t="s">
        <v>119</v>
      </c>
      <c r="AM29" s="38" t="s">
        <v>119</v>
      </c>
      <c r="AN29" s="38" t="s">
        <v>119</v>
      </c>
      <c r="AO29" s="38" t="s">
        <v>119</v>
      </c>
      <c r="AP29" s="38" t="s">
        <v>119</v>
      </c>
      <c r="AQ29" s="38" t="s">
        <v>119</v>
      </c>
      <c r="AR29" s="38" t="s">
        <v>119</v>
      </c>
      <c r="AS29" s="38" t="s">
        <v>119</v>
      </c>
      <c r="AT29" s="38" t="s">
        <v>119</v>
      </c>
      <c r="AU29" s="38" t="s">
        <v>119</v>
      </c>
      <c r="AV29" s="38" t="s">
        <v>119</v>
      </c>
      <c r="AW29" s="38" t="s">
        <v>119</v>
      </c>
      <c r="AX29" s="38" t="s">
        <v>119</v>
      </c>
    </row>
    <row r="30" spans="1:50" x14ac:dyDescent="0.45">
      <c r="A30" s="38" t="s">
        <v>148</v>
      </c>
      <c r="B30" s="38">
        <v>29</v>
      </c>
      <c r="C30" s="38" t="s">
        <v>118</v>
      </c>
      <c r="D30" s="38">
        <v>29</v>
      </c>
      <c r="E30" s="38">
        <v>18650</v>
      </c>
      <c r="F30" s="38">
        <f t="shared" si="0"/>
        <v>18.649999999999999</v>
      </c>
      <c r="G30" s="38">
        <v>5990625</v>
      </c>
      <c r="H30" s="38">
        <f t="shared" si="1"/>
        <v>5.9906249999999996</v>
      </c>
      <c r="I30" s="38">
        <v>2595</v>
      </c>
      <c r="J30" s="38">
        <v>2595</v>
      </c>
      <c r="K30" s="38" t="s">
        <v>119</v>
      </c>
      <c r="L30" s="38" t="s">
        <v>119</v>
      </c>
      <c r="M30" s="38" t="s">
        <v>119</v>
      </c>
      <c r="N30" s="38">
        <v>28.810085000000001</v>
      </c>
      <c r="O30" s="38" t="s">
        <v>120</v>
      </c>
      <c r="P30" s="38" t="s">
        <v>120</v>
      </c>
      <c r="Q30" s="38" t="s">
        <v>119</v>
      </c>
      <c r="R30" s="38" t="s">
        <v>119</v>
      </c>
      <c r="S30" s="38" t="s">
        <v>119</v>
      </c>
      <c r="T30" s="38">
        <v>76.458326999999997</v>
      </c>
      <c r="U30" s="38">
        <v>81.482692</v>
      </c>
      <c r="V30" s="38" t="s">
        <v>119</v>
      </c>
      <c r="W30" s="38" t="s">
        <v>119</v>
      </c>
      <c r="X30" s="38" t="s">
        <v>119</v>
      </c>
      <c r="Y30" s="38" t="s">
        <v>119</v>
      </c>
      <c r="Z30" s="38" t="s">
        <v>119</v>
      </c>
      <c r="AA30" s="38" t="s">
        <v>119</v>
      </c>
      <c r="AB30" s="38" t="s">
        <v>119</v>
      </c>
      <c r="AC30" s="38" t="s">
        <v>119</v>
      </c>
      <c r="AD30" s="38" t="s">
        <v>119</v>
      </c>
      <c r="AE30" s="38" t="s">
        <v>119</v>
      </c>
      <c r="AF30" s="38" t="s">
        <v>119</v>
      </c>
      <c r="AG30" s="38" t="s">
        <v>119</v>
      </c>
      <c r="AH30" s="38" t="s">
        <v>119</v>
      </c>
      <c r="AI30" s="38" t="s">
        <v>119</v>
      </c>
      <c r="AJ30" s="38" t="s">
        <v>119</v>
      </c>
      <c r="AK30" s="38" t="s">
        <v>119</v>
      </c>
      <c r="AL30" s="38" t="s">
        <v>119</v>
      </c>
      <c r="AM30" s="38" t="s">
        <v>119</v>
      </c>
      <c r="AN30" s="38" t="s">
        <v>119</v>
      </c>
      <c r="AO30" s="38" t="s">
        <v>119</v>
      </c>
      <c r="AP30" s="38" t="s">
        <v>119</v>
      </c>
      <c r="AQ30" s="38" t="s">
        <v>119</v>
      </c>
      <c r="AR30" s="38" t="s">
        <v>119</v>
      </c>
      <c r="AS30" s="38" t="s">
        <v>119</v>
      </c>
      <c r="AT30" s="38" t="s">
        <v>119</v>
      </c>
      <c r="AU30" s="38" t="s">
        <v>119</v>
      </c>
      <c r="AV30" s="38" t="s">
        <v>119</v>
      </c>
      <c r="AW30" s="38" t="s">
        <v>119</v>
      </c>
      <c r="AX30" s="38" t="s">
        <v>119</v>
      </c>
    </row>
    <row r="31" spans="1:50" x14ac:dyDescent="0.45">
      <c r="A31" s="38" t="s">
        <v>149</v>
      </c>
      <c r="B31" s="38">
        <v>30</v>
      </c>
      <c r="C31" s="38" t="s">
        <v>118</v>
      </c>
      <c r="D31" s="38">
        <v>30</v>
      </c>
      <c r="E31" s="38">
        <v>14975</v>
      </c>
      <c r="F31" s="38">
        <f t="shared" si="0"/>
        <v>14.975</v>
      </c>
      <c r="G31" s="38">
        <v>5223125</v>
      </c>
      <c r="H31" s="38">
        <f t="shared" si="1"/>
        <v>5.2231249999999996</v>
      </c>
      <c r="I31" s="38">
        <v>2596</v>
      </c>
      <c r="J31" s="38">
        <v>2596</v>
      </c>
      <c r="K31" s="38" t="s">
        <v>119</v>
      </c>
      <c r="L31" s="38" t="s">
        <v>119</v>
      </c>
      <c r="M31" s="38" t="s">
        <v>119</v>
      </c>
      <c r="N31" s="38">
        <v>49.278556999999999</v>
      </c>
      <c r="O31" s="38" t="s">
        <v>120</v>
      </c>
      <c r="P31" s="38" t="s">
        <v>120</v>
      </c>
      <c r="Q31" s="38" t="s">
        <v>119</v>
      </c>
      <c r="R31" s="38" t="s">
        <v>119</v>
      </c>
      <c r="S31" s="38" t="s">
        <v>119</v>
      </c>
      <c r="T31" s="38">
        <v>81.423457999999997</v>
      </c>
      <c r="U31" s="38">
        <v>81.257034000000004</v>
      </c>
      <c r="V31" s="38" t="s">
        <v>119</v>
      </c>
      <c r="W31" s="38" t="s">
        <v>119</v>
      </c>
      <c r="X31" s="38" t="s">
        <v>119</v>
      </c>
      <c r="Y31" s="38" t="s">
        <v>119</v>
      </c>
      <c r="Z31" s="38" t="s">
        <v>119</v>
      </c>
      <c r="AA31" s="38" t="s">
        <v>119</v>
      </c>
      <c r="AB31" s="38" t="s">
        <v>119</v>
      </c>
      <c r="AC31" s="38" t="s">
        <v>119</v>
      </c>
      <c r="AD31" s="38" t="s">
        <v>119</v>
      </c>
      <c r="AE31" s="38" t="s">
        <v>119</v>
      </c>
      <c r="AF31" s="38" t="s">
        <v>119</v>
      </c>
      <c r="AG31" s="38" t="s">
        <v>119</v>
      </c>
      <c r="AH31" s="38" t="s">
        <v>119</v>
      </c>
      <c r="AI31" s="38" t="s">
        <v>119</v>
      </c>
      <c r="AJ31" s="38" t="s">
        <v>119</v>
      </c>
      <c r="AK31" s="38" t="s">
        <v>119</v>
      </c>
      <c r="AL31" s="38" t="s">
        <v>119</v>
      </c>
      <c r="AM31" s="38" t="s">
        <v>119</v>
      </c>
      <c r="AN31" s="38" t="s">
        <v>119</v>
      </c>
      <c r="AO31" s="38" t="s">
        <v>119</v>
      </c>
      <c r="AP31" s="38" t="s">
        <v>119</v>
      </c>
      <c r="AQ31" s="38" t="s">
        <v>119</v>
      </c>
      <c r="AR31" s="38" t="s">
        <v>119</v>
      </c>
      <c r="AS31" s="38" t="s">
        <v>119</v>
      </c>
      <c r="AT31" s="38" t="s">
        <v>119</v>
      </c>
      <c r="AU31" s="38" t="s">
        <v>119</v>
      </c>
      <c r="AV31" s="38" t="s">
        <v>119</v>
      </c>
      <c r="AW31" s="38" t="s">
        <v>119</v>
      </c>
      <c r="AX31" s="38" t="s">
        <v>119</v>
      </c>
    </row>
    <row r="32" spans="1:50" x14ac:dyDescent="0.45">
      <c r="A32" s="38" t="s">
        <v>150</v>
      </c>
      <c r="B32" s="38">
        <v>31</v>
      </c>
      <c r="C32" s="38" t="s">
        <v>118</v>
      </c>
      <c r="D32" s="38">
        <v>31</v>
      </c>
      <c r="E32" s="38">
        <v>14350</v>
      </c>
      <c r="F32" s="38">
        <f t="shared" si="0"/>
        <v>14.35</v>
      </c>
      <c r="G32" s="38">
        <v>4179843.75</v>
      </c>
      <c r="H32" s="38">
        <f t="shared" si="1"/>
        <v>4.1798437499999999</v>
      </c>
      <c r="I32" s="38">
        <v>2597</v>
      </c>
      <c r="J32" s="38">
        <v>2597</v>
      </c>
      <c r="K32" s="38" t="s">
        <v>119</v>
      </c>
      <c r="L32" s="38" t="s">
        <v>119</v>
      </c>
      <c r="M32" s="38" t="s">
        <v>119</v>
      </c>
      <c r="N32" s="38">
        <v>57.073920999999999</v>
      </c>
      <c r="O32" s="38" t="s">
        <v>120</v>
      </c>
      <c r="P32" s="38" t="s">
        <v>120</v>
      </c>
      <c r="Q32" s="38" t="s">
        <v>119</v>
      </c>
      <c r="R32" s="38" t="s">
        <v>119</v>
      </c>
      <c r="S32" s="38" t="s">
        <v>119</v>
      </c>
      <c r="T32" s="38">
        <v>80.156634999999994</v>
      </c>
      <c r="U32" s="38">
        <v>80.983626999999998</v>
      </c>
      <c r="V32" s="38" t="s">
        <v>119</v>
      </c>
      <c r="W32" s="38" t="s">
        <v>119</v>
      </c>
      <c r="X32" s="38" t="s">
        <v>119</v>
      </c>
      <c r="Y32" s="38" t="s">
        <v>119</v>
      </c>
      <c r="Z32" s="38" t="s">
        <v>119</v>
      </c>
      <c r="AA32" s="38" t="s">
        <v>119</v>
      </c>
      <c r="AB32" s="38" t="s">
        <v>119</v>
      </c>
      <c r="AC32" s="38" t="s">
        <v>119</v>
      </c>
      <c r="AD32" s="38" t="s">
        <v>119</v>
      </c>
      <c r="AE32" s="38" t="s">
        <v>119</v>
      </c>
      <c r="AF32" s="38" t="s">
        <v>119</v>
      </c>
      <c r="AG32" s="38" t="s">
        <v>119</v>
      </c>
      <c r="AH32" s="38" t="s">
        <v>119</v>
      </c>
      <c r="AI32" s="38" t="s">
        <v>119</v>
      </c>
      <c r="AJ32" s="38" t="s">
        <v>119</v>
      </c>
      <c r="AK32" s="38" t="s">
        <v>119</v>
      </c>
      <c r="AL32" s="38" t="s">
        <v>119</v>
      </c>
      <c r="AM32" s="38" t="s">
        <v>119</v>
      </c>
      <c r="AN32" s="38" t="s">
        <v>119</v>
      </c>
      <c r="AO32" s="38" t="s">
        <v>119</v>
      </c>
      <c r="AP32" s="38" t="s">
        <v>119</v>
      </c>
      <c r="AQ32" s="38" t="s">
        <v>119</v>
      </c>
      <c r="AR32" s="38" t="s">
        <v>119</v>
      </c>
      <c r="AS32" s="38" t="s">
        <v>119</v>
      </c>
      <c r="AT32" s="38" t="s">
        <v>119</v>
      </c>
      <c r="AU32" s="38" t="s">
        <v>119</v>
      </c>
      <c r="AV32" s="38" t="s">
        <v>119</v>
      </c>
      <c r="AW32" s="38" t="s">
        <v>119</v>
      </c>
      <c r="AX32" s="38" t="s">
        <v>119</v>
      </c>
    </row>
    <row r="33" spans="1:50" x14ac:dyDescent="0.45">
      <c r="A33" s="38" t="s">
        <v>151</v>
      </c>
      <c r="B33" s="38">
        <v>32</v>
      </c>
      <c r="C33" s="38" t="s">
        <v>118</v>
      </c>
      <c r="D33" s="38">
        <v>32</v>
      </c>
      <c r="E33" s="38">
        <v>10825</v>
      </c>
      <c r="F33" s="38">
        <f t="shared" si="0"/>
        <v>10.824999999999999</v>
      </c>
      <c r="G33" s="38">
        <v>2286406.25</v>
      </c>
      <c r="H33" s="38">
        <f t="shared" si="1"/>
        <v>2.2864062500000002</v>
      </c>
      <c r="I33" s="38">
        <v>2598</v>
      </c>
      <c r="J33" s="38">
        <v>2598</v>
      </c>
      <c r="K33" s="38" t="s">
        <v>119</v>
      </c>
      <c r="L33" s="38" t="s">
        <v>119</v>
      </c>
      <c r="M33" s="38" t="s">
        <v>119</v>
      </c>
      <c r="N33" s="38">
        <v>46.560569999999998</v>
      </c>
      <c r="O33" s="38" t="s">
        <v>120</v>
      </c>
      <c r="P33" s="38" t="s">
        <v>120</v>
      </c>
      <c r="Q33" s="38" t="s">
        <v>119</v>
      </c>
      <c r="R33" s="38" t="s">
        <v>119</v>
      </c>
      <c r="S33" s="38" t="s">
        <v>119</v>
      </c>
      <c r="T33" s="38">
        <v>82.349441999999996</v>
      </c>
      <c r="U33" s="38">
        <v>81.080787000000001</v>
      </c>
      <c r="V33" s="38" t="s">
        <v>119</v>
      </c>
      <c r="W33" s="38" t="s">
        <v>119</v>
      </c>
      <c r="X33" s="38" t="s">
        <v>119</v>
      </c>
      <c r="Y33" s="38" t="s">
        <v>119</v>
      </c>
      <c r="Z33" s="38" t="s">
        <v>119</v>
      </c>
      <c r="AA33" s="38" t="s">
        <v>119</v>
      </c>
      <c r="AB33" s="38" t="s">
        <v>119</v>
      </c>
      <c r="AC33" s="38" t="s">
        <v>119</v>
      </c>
      <c r="AD33" s="38" t="s">
        <v>119</v>
      </c>
      <c r="AE33" s="38" t="s">
        <v>119</v>
      </c>
      <c r="AF33" s="38" t="s">
        <v>119</v>
      </c>
      <c r="AG33" s="38" t="s">
        <v>119</v>
      </c>
      <c r="AH33" s="38" t="s">
        <v>119</v>
      </c>
      <c r="AI33" s="38" t="s">
        <v>119</v>
      </c>
      <c r="AJ33" s="38" t="s">
        <v>119</v>
      </c>
      <c r="AK33" s="38" t="s">
        <v>119</v>
      </c>
      <c r="AL33" s="38" t="s">
        <v>119</v>
      </c>
      <c r="AM33" s="38" t="s">
        <v>119</v>
      </c>
      <c r="AN33" s="38" t="s">
        <v>119</v>
      </c>
      <c r="AO33" s="38" t="s">
        <v>119</v>
      </c>
      <c r="AP33" s="38" t="s">
        <v>119</v>
      </c>
      <c r="AQ33" s="38" t="s">
        <v>119</v>
      </c>
      <c r="AR33" s="38" t="s">
        <v>119</v>
      </c>
      <c r="AS33" s="38" t="s">
        <v>119</v>
      </c>
      <c r="AT33" s="38" t="s">
        <v>119</v>
      </c>
      <c r="AU33" s="38" t="s">
        <v>119</v>
      </c>
      <c r="AV33" s="38" t="s">
        <v>119</v>
      </c>
      <c r="AW33" s="38" t="s">
        <v>119</v>
      </c>
      <c r="AX33" s="38" t="s">
        <v>119</v>
      </c>
    </row>
    <row r="34" spans="1:50" x14ac:dyDescent="0.45">
      <c r="A34" s="38" t="s">
        <v>152</v>
      </c>
      <c r="B34" s="38">
        <v>33</v>
      </c>
      <c r="C34" s="38" t="s">
        <v>118</v>
      </c>
      <c r="D34" s="38">
        <v>33</v>
      </c>
      <c r="E34" s="38">
        <v>17225</v>
      </c>
      <c r="F34" s="38">
        <f t="shared" si="0"/>
        <v>17.225000000000001</v>
      </c>
      <c r="G34" s="38">
        <v>4029843.75</v>
      </c>
      <c r="H34" s="38">
        <f t="shared" si="1"/>
        <v>4.0298437500000004</v>
      </c>
      <c r="I34" s="38">
        <v>2599</v>
      </c>
      <c r="J34" s="38">
        <v>2599</v>
      </c>
      <c r="K34" s="38" t="s">
        <v>119</v>
      </c>
      <c r="L34" s="38" t="s">
        <v>119</v>
      </c>
      <c r="M34" s="38" t="s">
        <v>119</v>
      </c>
      <c r="N34" s="38">
        <v>22.540766000000001</v>
      </c>
      <c r="O34" s="38" t="s">
        <v>120</v>
      </c>
      <c r="P34" s="38" t="s">
        <v>120</v>
      </c>
      <c r="Q34" s="38" t="s">
        <v>119</v>
      </c>
      <c r="R34" s="38" t="s">
        <v>119</v>
      </c>
      <c r="S34" s="38" t="s">
        <v>119</v>
      </c>
      <c r="T34" s="38">
        <v>77.412840000000003</v>
      </c>
      <c r="U34" s="38">
        <v>81.260480999999999</v>
      </c>
      <c r="V34" s="38" t="s">
        <v>119</v>
      </c>
      <c r="W34" s="38" t="s">
        <v>119</v>
      </c>
      <c r="X34" s="38" t="s">
        <v>119</v>
      </c>
      <c r="Y34" s="38" t="s">
        <v>119</v>
      </c>
      <c r="Z34" s="38" t="s">
        <v>119</v>
      </c>
      <c r="AA34" s="38" t="s">
        <v>119</v>
      </c>
      <c r="AB34" s="38" t="s">
        <v>119</v>
      </c>
      <c r="AC34" s="38" t="s">
        <v>119</v>
      </c>
      <c r="AD34" s="38" t="s">
        <v>119</v>
      </c>
      <c r="AE34" s="38" t="s">
        <v>119</v>
      </c>
      <c r="AF34" s="38" t="s">
        <v>119</v>
      </c>
      <c r="AG34" s="38" t="s">
        <v>119</v>
      </c>
      <c r="AH34" s="38" t="s">
        <v>119</v>
      </c>
      <c r="AI34" s="38" t="s">
        <v>119</v>
      </c>
      <c r="AJ34" s="38" t="s">
        <v>119</v>
      </c>
      <c r="AK34" s="38" t="s">
        <v>119</v>
      </c>
      <c r="AL34" s="38" t="s">
        <v>119</v>
      </c>
      <c r="AM34" s="38" t="s">
        <v>119</v>
      </c>
      <c r="AN34" s="38" t="s">
        <v>119</v>
      </c>
      <c r="AO34" s="38" t="s">
        <v>119</v>
      </c>
      <c r="AP34" s="38" t="s">
        <v>119</v>
      </c>
      <c r="AQ34" s="38" t="s">
        <v>119</v>
      </c>
      <c r="AR34" s="38" t="s">
        <v>119</v>
      </c>
      <c r="AS34" s="38" t="s">
        <v>119</v>
      </c>
      <c r="AT34" s="38" t="s">
        <v>119</v>
      </c>
      <c r="AU34" s="38" t="s">
        <v>119</v>
      </c>
      <c r="AV34" s="38" t="s">
        <v>119</v>
      </c>
      <c r="AW34" s="38" t="s">
        <v>119</v>
      </c>
      <c r="AX34" s="38" t="s">
        <v>119</v>
      </c>
    </row>
    <row r="35" spans="1:50" x14ac:dyDescent="0.45">
      <c r="A35" s="38" t="s">
        <v>153</v>
      </c>
      <c r="B35" s="38">
        <v>34</v>
      </c>
      <c r="C35" s="38" t="s">
        <v>118</v>
      </c>
      <c r="D35" s="38">
        <v>34</v>
      </c>
      <c r="E35" s="38">
        <v>12125</v>
      </c>
      <c r="F35" s="38">
        <f t="shared" si="0"/>
        <v>12.125</v>
      </c>
      <c r="G35" s="38">
        <v>3082500</v>
      </c>
      <c r="H35" s="38">
        <f t="shared" si="1"/>
        <v>3.0825</v>
      </c>
      <c r="I35" s="38">
        <v>2600</v>
      </c>
      <c r="J35" s="38">
        <v>2600</v>
      </c>
      <c r="K35" s="38" t="s">
        <v>119</v>
      </c>
      <c r="L35" s="38" t="s">
        <v>119</v>
      </c>
      <c r="M35" s="38" t="s">
        <v>119</v>
      </c>
      <c r="N35" s="38">
        <v>43.671416999999998</v>
      </c>
      <c r="O35" s="38" t="s">
        <v>120</v>
      </c>
      <c r="P35" s="38" t="s">
        <v>120</v>
      </c>
      <c r="Q35" s="38" t="s">
        <v>119</v>
      </c>
      <c r="R35" s="38" t="s">
        <v>119</v>
      </c>
      <c r="S35" s="38" t="s">
        <v>119</v>
      </c>
      <c r="T35" s="38">
        <v>82.887764000000004</v>
      </c>
      <c r="U35" s="38">
        <v>80.233693000000002</v>
      </c>
      <c r="V35" s="38" t="s">
        <v>119</v>
      </c>
      <c r="W35" s="38" t="s">
        <v>119</v>
      </c>
      <c r="X35" s="38" t="s">
        <v>119</v>
      </c>
      <c r="Y35" s="38" t="s">
        <v>119</v>
      </c>
      <c r="Z35" s="38" t="s">
        <v>119</v>
      </c>
      <c r="AA35" s="38" t="s">
        <v>119</v>
      </c>
      <c r="AB35" s="38" t="s">
        <v>119</v>
      </c>
      <c r="AC35" s="38" t="s">
        <v>119</v>
      </c>
      <c r="AD35" s="38" t="s">
        <v>119</v>
      </c>
      <c r="AE35" s="38" t="s">
        <v>119</v>
      </c>
      <c r="AF35" s="38" t="s">
        <v>119</v>
      </c>
      <c r="AG35" s="38" t="s">
        <v>119</v>
      </c>
      <c r="AH35" s="38" t="s">
        <v>119</v>
      </c>
      <c r="AI35" s="38" t="s">
        <v>119</v>
      </c>
      <c r="AJ35" s="38" t="s">
        <v>119</v>
      </c>
      <c r="AK35" s="38" t="s">
        <v>119</v>
      </c>
      <c r="AL35" s="38" t="s">
        <v>119</v>
      </c>
      <c r="AM35" s="38" t="s">
        <v>119</v>
      </c>
      <c r="AN35" s="38" t="s">
        <v>119</v>
      </c>
      <c r="AO35" s="38" t="s">
        <v>119</v>
      </c>
      <c r="AP35" s="38" t="s">
        <v>119</v>
      </c>
      <c r="AQ35" s="38" t="s">
        <v>119</v>
      </c>
      <c r="AR35" s="38" t="s">
        <v>119</v>
      </c>
      <c r="AS35" s="38" t="s">
        <v>119</v>
      </c>
      <c r="AT35" s="38" t="s">
        <v>119</v>
      </c>
      <c r="AU35" s="38" t="s">
        <v>119</v>
      </c>
      <c r="AV35" s="38" t="s">
        <v>119</v>
      </c>
      <c r="AW35" s="38" t="s">
        <v>119</v>
      </c>
      <c r="AX35" s="38" t="s">
        <v>119</v>
      </c>
    </row>
    <row r="36" spans="1:50" x14ac:dyDescent="0.45">
      <c r="A36" s="38" t="s">
        <v>154</v>
      </c>
      <c r="B36" s="38">
        <v>35</v>
      </c>
      <c r="C36" s="38" t="s">
        <v>118</v>
      </c>
      <c r="D36" s="38">
        <v>35</v>
      </c>
      <c r="E36" s="38">
        <v>14375</v>
      </c>
      <c r="F36" s="38">
        <f t="shared" si="0"/>
        <v>14.375</v>
      </c>
      <c r="G36" s="38">
        <v>4613281.25</v>
      </c>
      <c r="H36" s="38">
        <f t="shared" si="1"/>
        <v>4.61328125</v>
      </c>
      <c r="I36" s="38">
        <v>2601</v>
      </c>
      <c r="J36" s="38">
        <v>2601</v>
      </c>
      <c r="K36" s="38" t="s">
        <v>119</v>
      </c>
      <c r="L36" s="38" t="s">
        <v>119</v>
      </c>
      <c r="M36" s="38" t="s">
        <v>119</v>
      </c>
      <c r="N36" s="38">
        <v>23.433119000000001</v>
      </c>
      <c r="O36" s="38" t="s">
        <v>120</v>
      </c>
      <c r="P36" s="38" t="s">
        <v>120</v>
      </c>
      <c r="Q36" s="38" t="s">
        <v>119</v>
      </c>
      <c r="R36" s="38" t="s">
        <v>119</v>
      </c>
      <c r="S36" s="38" t="s">
        <v>119</v>
      </c>
      <c r="T36" s="38">
        <v>78.982815000000002</v>
      </c>
      <c r="U36" s="38">
        <v>81.623981000000001</v>
      </c>
      <c r="V36" s="38" t="s">
        <v>119</v>
      </c>
      <c r="W36" s="38" t="s">
        <v>119</v>
      </c>
      <c r="X36" s="38" t="s">
        <v>119</v>
      </c>
      <c r="Y36" s="38" t="s">
        <v>119</v>
      </c>
      <c r="Z36" s="38" t="s">
        <v>119</v>
      </c>
      <c r="AA36" s="38" t="s">
        <v>119</v>
      </c>
      <c r="AB36" s="38" t="s">
        <v>119</v>
      </c>
      <c r="AC36" s="38" t="s">
        <v>119</v>
      </c>
      <c r="AD36" s="38" t="s">
        <v>119</v>
      </c>
      <c r="AE36" s="38" t="s">
        <v>119</v>
      </c>
      <c r="AF36" s="38" t="s">
        <v>119</v>
      </c>
      <c r="AG36" s="38" t="s">
        <v>119</v>
      </c>
      <c r="AH36" s="38" t="s">
        <v>119</v>
      </c>
      <c r="AI36" s="38" t="s">
        <v>119</v>
      </c>
      <c r="AJ36" s="38" t="s">
        <v>119</v>
      </c>
      <c r="AK36" s="38" t="s">
        <v>119</v>
      </c>
      <c r="AL36" s="38" t="s">
        <v>119</v>
      </c>
      <c r="AM36" s="38" t="s">
        <v>119</v>
      </c>
      <c r="AN36" s="38" t="s">
        <v>119</v>
      </c>
      <c r="AO36" s="38" t="s">
        <v>119</v>
      </c>
      <c r="AP36" s="38" t="s">
        <v>119</v>
      </c>
      <c r="AQ36" s="38" t="s">
        <v>119</v>
      </c>
      <c r="AR36" s="38" t="s">
        <v>119</v>
      </c>
      <c r="AS36" s="38" t="s">
        <v>119</v>
      </c>
      <c r="AT36" s="38" t="s">
        <v>119</v>
      </c>
      <c r="AU36" s="38" t="s">
        <v>119</v>
      </c>
      <c r="AV36" s="38" t="s">
        <v>119</v>
      </c>
      <c r="AW36" s="38" t="s">
        <v>119</v>
      </c>
      <c r="AX36" s="38" t="s">
        <v>119</v>
      </c>
    </row>
    <row r="37" spans="1:50" x14ac:dyDescent="0.45">
      <c r="A37" s="38" t="s">
        <v>155</v>
      </c>
      <c r="B37" s="38">
        <v>36</v>
      </c>
      <c r="C37" s="38" t="s">
        <v>118</v>
      </c>
      <c r="D37" s="38">
        <v>36</v>
      </c>
      <c r="E37" s="38">
        <v>23225</v>
      </c>
      <c r="F37" s="38">
        <f t="shared" si="0"/>
        <v>23.225000000000001</v>
      </c>
      <c r="G37" s="38">
        <v>7959218.75</v>
      </c>
      <c r="H37" s="38">
        <f t="shared" si="1"/>
        <v>7.9592187499999998</v>
      </c>
      <c r="I37" s="38">
        <v>2602</v>
      </c>
      <c r="J37" s="38">
        <v>2602</v>
      </c>
      <c r="K37" s="38" t="s">
        <v>119</v>
      </c>
      <c r="L37" s="38" t="s">
        <v>119</v>
      </c>
      <c r="M37" s="38" t="s">
        <v>119</v>
      </c>
      <c r="N37" s="38">
        <v>35.351737999999997</v>
      </c>
      <c r="O37" s="38" t="s">
        <v>120</v>
      </c>
      <c r="P37" s="38" t="s">
        <v>120</v>
      </c>
      <c r="Q37" s="38" t="s">
        <v>119</v>
      </c>
      <c r="R37" s="38" t="s">
        <v>119</v>
      </c>
      <c r="S37" s="38" t="s">
        <v>119</v>
      </c>
      <c r="T37" s="38">
        <v>79.573481999999998</v>
      </c>
      <c r="U37" s="38">
        <v>81.217271999999994</v>
      </c>
      <c r="V37" s="38" t="s">
        <v>119</v>
      </c>
      <c r="W37" s="38" t="s">
        <v>119</v>
      </c>
      <c r="X37" s="38" t="s">
        <v>119</v>
      </c>
      <c r="Y37" s="38" t="s">
        <v>119</v>
      </c>
      <c r="Z37" s="38" t="s">
        <v>119</v>
      </c>
      <c r="AA37" s="38" t="s">
        <v>119</v>
      </c>
      <c r="AB37" s="38" t="s">
        <v>119</v>
      </c>
      <c r="AC37" s="38" t="s">
        <v>119</v>
      </c>
      <c r="AD37" s="38" t="s">
        <v>119</v>
      </c>
      <c r="AE37" s="38" t="s">
        <v>119</v>
      </c>
      <c r="AF37" s="38" t="s">
        <v>119</v>
      </c>
      <c r="AG37" s="38" t="s">
        <v>119</v>
      </c>
      <c r="AH37" s="38" t="s">
        <v>119</v>
      </c>
      <c r="AI37" s="38" t="s">
        <v>119</v>
      </c>
      <c r="AJ37" s="38" t="s">
        <v>119</v>
      </c>
      <c r="AK37" s="38" t="s">
        <v>119</v>
      </c>
      <c r="AL37" s="38" t="s">
        <v>119</v>
      </c>
      <c r="AM37" s="38" t="s">
        <v>119</v>
      </c>
      <c r="AN37" s="38" t="s">
        <v>119</v>
      </c>
      <c r="AO37" s="38" t="s">
        <v>119</v>
      </c>
      <c r="AP37" s="38" t="s">
        <v>119</v>
      </c>
      <c r="AQ37" s="38" t="s">
        <v>119</v>
      </c>
      <c r="AR37" s="38" t="s">
        <v>119</v>
      </c>
      <c r="AS37" s="38" t="s">
        <v>119</v>
      </c>
      <c r="AT37" s="38" t="s">
        <v>119</v>
      </c>
      <c r="AU37" s="38" t="s">
        <v>119</v>
      </c>
      <c r="AV37" s="38" t="s">
        <v>119</v>
      </c>
      <c r="AW37" s="38" t="s">
        <v>119</v>
      </c>
      <c r="AX37" s="38" t="s">
        <v>119</v>
      </c>
    </row>
    <row r="38" spans="1:50" x14ac:dyDescent="0.45">
      <c r="A38" s="38" t="s">
        <v>156</v>
      </c>
      <c r="B38" s="38">
        <v>37</v>
      </c>
      <c r="C38" s="38" t="s">
        <v>118</v>
      </c>
      <c r="D38" s="38">
        <v>37</v>
      </c>
      <c r="E38" s="38">
        <v>37250</v>
      </c>
      <c r="F38" s="38">
        <f t="shared" si="0"/>
        <v>37.25</v>
      </c>
      <c r="G38" s="38">
        <v>22270312.5</v>
      </c>
      <c r="H38" s="38">
        <f t="shared" si="1"/>
        <v>22.270312499999999</v>
      </c>
      <c r="I38" s="38">
        <v>2603</v>
      </c>
      <c r="J38" s="38">
        <v>2603</v>
      </c>
      <c r="K38" s="38" t="s">
        <v>119</v>
      </c>
      <c r="L38" s="38" t="s">
        <v>119</v>
      </c>
      <c r="M38" s="38" t="s">
        <v>119</v>
      </c>
      <c r="N38" s="38">
        <v>27.397922999999999</v>
      </c>
      <c r="O38" s="38" t="s">
        <v>120</v>
      </c>
      <c r="P38" s="38" t="s">
        <v>120</v>
      </c>
      <c r="Q38" s="38" t="s">
        <v>119</v>
      </c>
      <c r="R38" s="38" t="s">
        <v>119</v>
      </c>
      <c r="S38" s="38" t="s">
        <v>119</v>
      </c>
      <c r="T38" s="38">
        <v>74.535703999999996</v>
      </c>
      <c r="U38" s="38">
        <v>77.917421000000004</v>
      </c>
      <c r="V38" s="38" t="s">
        <v>119</v>
      </c>
      <c r="W38" s="38" t="s">
        <v>119</v>
      </c>
      <c r="X38" s="38" t="s">
        <v>119</v>
      </c>
      <c r="Y38" s="38" t="s">
        <v>119</v>
      </c>
      <c r="Z38" s="38" t="s">
        <v>119</v>
      </c>
      <c r="AA38" s="38" t="s">
        <v>119</v>
      </c>
      <c r="AB38" s="38" t="s">
        <v>119</v>
      </c>
      <c r="AC38" s="38" t="s">
        <v>119</v>
      </c>
      <c r="AD38" s="38" t="s">
        <v>119</v>
      </c>
      <c r="AE38" s="38" t="s">
        <v>119</v>
      </c>
      <c r="AF38" s="38" t="s">
        <v>119</v>
      </c>
      <c r="AG38" s="38" t="s">
        <v>119</v>
      </c>
      <c r="AH38" s="38" t="s">
        <v>119</v>
      </c>
      <c r="AI38" s="38" t="s">
        <v>119</v>
      </c>
      <c r="AJ38" s="38" t="s">
        <v>119</v>
      </c>
      <c r="AK38" s="38" t="s">
        <v>119</v>
      </c>
      <c r="AL38" s="38" t="s">
        <v>119</v>
      </c>
      <c r="AM38" s="38" t="s">
        <v>119</v>
      </c>
      <c r="AN38" s="38" t="s">
        <v>119</v>
      </c>
      <c r="AO38" s="38" t="s">
        <v>119</v>
      </c>
      <c r="AP38" s="38" t="s">
        <v>119</v>
      </c>
      <c r="AQ38" s="38" t="s">
        <v>119</v>
      </c>
      <c r="AR38" s="38" t="s">
        <v>119</v>
      </c>
      <c r="AS38" s="38" t="s">
        <v>119</v>
      </c>
      <c r="AT38" s="38" t="s">
        <v>119</v>
      </c>
      <c r="AU38" s="38" t="s">
        <v>119</v>
      </c>
      <c r="AV38" s="38" t="s">
        <v>119</v>
      </c>
      <c r="AW38" s="38" t="s">
        <v>119</v>
      </c>
      <c r="AX38" s="38" t="s">
        <v>119</v>
      </c>
    </row>
    <row r="39" spans="1:50" x14ac:dyDescent="0.45">
      <c r="A39" s="38" t="s">
        <v>157</v>
      </c>
      <c r="B39" s="38">
        <v>38</v>
      </c>
      <c r="C39" s="38" t="s">
        <v>118</v>
      </c>
      <c r="D39" s="38">
        <v>38</v>
      </c>
      <c r="E39" s="38">
        <v>15700</v>
      </c>
      <c r="F39" s="38">
        <f t="shared" si="0"/>
        <v>15.7</v>
      </c>
      <c r="G39" s="38">
        <v>5101562.5</v>
      </c>
      <c r="H39" s="38">
        <f t="shared" si="1"/>
        <v>5.1015625</v>
      </c>
      <c r="I39" s="38">
        <v>2604</v>
      </c>
      <c r="J39" s="38">
        <v>2604</v>
      </c>
      <c r="K39" s="38" t="s">
        <v>119</v>
      </c>
      <c r="L39" s="38" t="s">
        <v>119</v>
      </c>
      <c r="M39" s="38" t="s">
        <v>119</v>
      </c>
      <c r="N39" s="38">
        <v>38.985160999999998</v>
      </c>
      <c r="O39" s="38" t="s">
        <v>120</v>
      </c>
      <c r="P39" s="38" t="s">
        <v>120</v>
      </c>
      <c r="Q39" s="38" t="s">
        <v>119</v>
      </c>
      <c r="R39" s="38" t="s">
        <v>119</v>
      </c>
      <c r="S39" s="38" t="s">
        <v>119</v>
      </c>
      <c r="T39" s="38">
        <v>82.226489000000001</v>
      </c>
      <c r="U39" s="38">
        <v>80.683588</v>
      </c>
      <c r="V39" s="38" t="s">
        <v>119</v>
      </c>
      <c r="W39" s="38" t="s">
        <v>119</v>
      </c>
      <c r="X39" s="38" t="s">
        <v>119</v>
      </c>
      <c r="Y39" s="38" t="s">
        <v>119</v>
      </c>
      <c r="Z39" s="38" t="s">
        <v>119</v>
      </c>
      <c r="AA39" s="38" t="s">
        <v>119</v>
      </c>
      <c r="AB39" s="38" t="s">
        <v>119</v>
      </c>
      <c r="AC39" s="38" t="s">
        <v>119</v>
      </c>
      <c r="AD39" s="38" t="s">
        <v>119</v>
      </c>
      <c r="AE39" s="38" t="s">
        <v>119</v>
      </c>
      <c r="AF39" s="38" t="s">
        <v>119</v>
      </c>
      <c r="AG39" s="38" t="s">
        <v>119</v>
      </c>
      <c r="AH39" s="38" t="s">
        <v>119</v>
      </c>
      <c r="AI39" s="38" t="s">
        <v>119</v>
      </c>
      <c r="AJ39" s="38" t="s">
        <v>119</v>
      </c>
      <c r="AK39" s="38" t="s">
        <v>119</v>
      </c>
      <c r="AL39" s="38" t="s">
        <v>119</v>
      </c>
      <c r="AM39" s="38" t="s">
        <v>119</v>
      </c>
      <c r="AN39" s="38" t="s">
        <v>119</v>
      </c>
      <c r="AO39" s="38" t="s">
        <v>119</v>
      </c>
      <c r="AP39" s="38" t="s">
        <v>119</v>
      </c>
      <c r="AQ39" s="38" t="s">
        <v>119</v>
      </c>
      <c r="AR39" s="38" t="s">
        <v>119</v>
      </c>
      <c r="AS39" s="38" t="s">
        <v>119</v>
      </c>
      <c r="AT39" s="38" t="s">
        <v>119</v>
      </c>
      <c r="AU39" s="38" t="s">
        <v>119</v>
      </c>
      <c r="AV39" s="38" t="s">
        <v>119</v>
      </c>
      <c r="AW39" s="38" t="s">
        <v>119</v>
      </c>
      <c r="AX39" s="38" t="s">
        <v>119</v>
      </c>
    </row>
    <row r="40" spans="1:50" x14ac:dyDescent="0.45">
      <c r="A40" s="38" t="s">
        <v>158</v>
      </c>
      <c r="B40" s="38">
        <v>39</v>
      </c>
      <c r="C40" s="38" t="s">
        <v>118</v>
      </c>
      <c r="D40" s="38">
        <v>39</v>
      </c>
      <c r="E40" s="38">
        <v>17275</v>
      </c>
      <c r="F40" s="38">
        <f t="shared" si="0"/>
        <v>17.274999999999999</v>
      </c>
      <c r="G40" s="38">
        <v>6765625</v>
      </c>
      <c r="H40" s="38">
        <f t="shared" si="1"/>
        <v>6.765625</v>
      </c>
      <c r="I40" s="38">
        <v>2605</v>
      </c>
      <c r="J40" s="38">
        <v>2605</v>
      </c>
      <c r="K40" s="38" t="s">
        <v>119</v>
      </c>
      <c r="L40" s="38" t="s">
        <v>119</v>
      </c>
      <c r="M40" s="38" t="s">
        <v>119</v>
      </c>
      <c r="N40" s="38">
        <v>36.602482000000002</v>
      </c>
      <c r="O40" s="38" t="s">
        <v>120</v>
      </c>
      <c r="P40" s="38" t="s">
        <v>120</v>
      </c>
      <c r="Q40" s="38" t="s">
        <v>119</v>
      </c>
      <c r="R40" s="38" t="s">
        <v>119</v>
      </c>
      <c r="S40" s="38" t="s">
        <v>119</v>
      </c>
      <c r="T40" s="38">
        <v>78.411237999999997</v>
      </c>
      <c r="U40" s="38">
        <v>80.458374000000006</v>
      </c>
      <c r="V40" s="38" t="s">
        <v>119</v>
      </c>
      <c r="W40" s="38" t="s">
        <v>119</v>
      </c>
      <c r="X40" s="38" t="s">
        <v>119</v>
      </c>
      <c r="Y40" s="38" t="s">
        <v>119</v>
      </c>
      <c r="Z40" s="38" t="s">
        <v>119</v>
      </c>
      <c r="AA40" s="38" t="s">
        <v>119</v>
      </c>
      <c r="AB40" s="38" t="s">
        <v>119</v>
      </c>
      <c r="AC40" s="38" t="s">
        <v>119</v>
      </c>
      <c r="AD40" s="38" t="s">
        <v>119</v>
      </c>
      <c r="AE40" s="38" t="s">
        <v>119</v>
      </c>
      <c r="AF40" s="38" t="s">
        <v>119</v>
      </c>
      <c r="AG40" s="38" t="s">
        <v>119</v>
      </c>
      <c r="AH40" s="38" t="s">
        <v>119</v>
      </c>
      <c r="AI40" s="38" t="s">
        <v>119</v>
      </c>
      <c r="AJ40" s="38" t="s">
        <v>119</v>
      </c>
      <c r="AK40" s="38" t="s">
        <v>119</v>
      </c>
      <c r="AL40" s="38" t="s">
        <v>119</v>
      </c>
      <c r="AM40" s="38" t="s">
        <v>119</v>
      </c>
      <c r="AN40" s="38" t="s">
        <v>119</v>
      </c>
      <c r="AO40" s="38" t="s">
        <v>119</v>
      </c>
      <c r="AP40" s="38" t="s">
        <v>119</v>
      </c>
      <c r="AQ40" s="38" t="s">
        <v>119</v>
      </c>
      <c r="AR40" s="38" t="s">
        <v>119</v>
      </c>
      <c r="AS40" s="38" t="s">
        <v>119</v>
      </c>
      <c r="AT40" s="38" t="s">
        <v>119</v>
      </c>
      <c r="AU40" s="38" t="s">
        <v>119</v>
      </c>
      <c r="AV40" s="38" t="s">
        <v>119</v>
      </c>
      <c r="AW40" s="38" t="s">
        <v>119</v>
      </c>
      <c r="AX40" s="38" t="s">
        <v>119</v>
      </c>
    </row>
    <row r="41" spans="1:50" x14ac:dyDescent="0.45">
      <c r="A41" s="38" t="s">
        <v>159</v>
      </c>
      <c r="B41" s="38">
        <v>40</v>
      </c>
      <c r="C41" s="38" t="s">
        <v>118</v>
      </c>
      <c r="D41" s="38">
        <v>40</v>
      </c>
      <c r="E41" s="38">
        <v>14450</v>
      </c>
      <c r="F41" s="38">
        <f t="shared" si="0"/>
        <v>14.45</v>
      </c>
      <c r="G41" s="38">
        <v>4874843.75</v>
      </c>
      <c r="H41" s="38">
        <f t="shared" si="1"/>
        <v>4.8748437500000001</v>
      </c>
      <c r="I41" s="38">
        <v>2606</v>
      </c>
      <c r="J41" s="38">
        <v>2606</v>
      </c>
      <c r="K41" s="38" t="s">
        <v>119</v>
      </c>
      <c r="L41" s="38" t="s">
        <v>119</v>
      </c>
      <c r="M41" s="38" t="s">
        <v>119</v>
      </c>
      <c r="N41" s="38">
        <v>48.010914</v>
      </c>
      <c r="O41" s="38" t="s">
        <v>120</v>
      </c>
      <c r="P41" s="38" t="s">
        <v>120</v>
      </c>
      <c r="Q41" s="38" t="s">
        <v>119</v>
      </c>
      <c r="R41" s="38" t="s">
        <v>119</v>
      </c>
      <c r="S41" s="38" t="s">
        <v>119</v>
      </c>
      <c r="T41" s="38">
        <v>80.377972</v>
      </c>
      <c r="U41" s="38">
        <v>80.687870000000004</v>
      </c>
      <c r="V41" s="38" t="s">
        <v>119</v>
      </c>
      <c r="W41" s="38" t="s">
        <v>119</v>
      </c>
      <c r="X41" s="38" t="s">
        <v>119</v>
      </c>
      <c r="Y41" s="38" t="s">
        <v>119</v>
      </c>
      <c r="Z41" s="38" t="s">
        <v>119</v>
      </c>
      <c r="AA41" s="38" t="s">
        <v>119</v>
      </c>
      <c r="AB41" s="38" t="s">
        <v>119</v>
      </c>
      <c r="AC41" s="38" t="s">
        <v>119</v>
      </c>
      <c r="AD41" s="38" t="s">
        <v>119</v>
      </c>
      <c r="AE41" s="38" t="s">
        <v>119</v>
      </c>
      <c r="AF41" s="38" t="s">
        <v>119</v>
      </c>
      <c r="AG41" s="38" t="s">
        <v>119</v>
      </c>
      <c r="AH41" s="38" t="s">
        <v>119</v>
      </c>
      <c r="AI41" s="38" t="s">
        <v>119</v>
      </c>
      <c r="AJ41" s="38" t="s">
        <v>119</v>
      </c>
      <c r="AK41" s="38" t="s">
        <v>119</v>
      </c>
      <c r="AL41" s="38" t="s">
        <v>119</v>
      </c>
      <c r="AM41" s="38" t="s">
        <v>119</v>
      </c>
      <c r="AN41" s="38" t="s">
        <v>119</v>
      </c>
      <c r="AO41" s="38" t="s">
        <v>119</v>
      </c>
      <c r="AP41" s="38" t="s">
        <v>119</v>
      </c>
      <c r="AQ41" s="38" t="s">
        <v>119</v>
      </c>
      <c r="AR41" s="38" t="s">
        <v>119</v>
      </c>
      <c r="AS41" s="38" t="s">
        <v>119</v>
      </c>
      <c r="AT41" s="38" t="s">
        <v>119</v>
      </c>
      <c r="AU41" s="38" t="s">
        <v>119</v>
      </c>
      <c r="AV41" s="38" t="s">
        <v>119</v>
      </c>
      <c r="AW41" s="38" t="s">
        <v>119</v>
      </c>
      <c r="AX41" s="38" t="s">
        <v>119</v>
      </c>
    </row>
    <row r="42" spans="1:50" x14ac:dyDescent="0.45">
      <c r="A42" s="38" t="s">
        <v>160</v>
      </c>
      <c r="B42" s="38">
        <v>41</v>
      </c>
      <c r="C42" s="38" t="s">
        <v>118</v>
      </c>
      <c r="D42" s="38">
        <v>41</v>
      </c>
      <c r="E42" s="38">
        <v>27175</v>
      </c>
      <c r="F42" s="38">
        <f t="shared" si="0"/>
        <v>27.175000000000001</v>
      </c>
      <c r="G42" s="38">
        <v>13665468.75</v>
      </c>
      <c r="H42" s="38">
        <f t="shared" si="1"/>
        <v>13.66546875</v>
      </c>
      <c r="I42" s="38">
        <v>2607</v>
      </c>
      <c r="J42" s="38">
        <v>2607</v>
      </c>
      <c r="K42" s="38" t="s">
        <v>119</v>
      </c>
      <c r="L42" s="38" t="s">
        <v>119</v>
      </c>
      <c r="M42" s="38" t="s">
        <v>119</v>
      </c>
      <c r="N42" s="38">
        <v>31.569133999999998</v>
      </c>
      <c r="O42" s="38" t="s">
        <v>120</v>
      </c>
      <c r="P42" s="38" t="s">
        <v>120</v>
      </c>
      <c r="Q42" s="38" t="s">
        <v>119</v>
      </c>
      <c r="R42" s="38" t="s">
        <v>119</v>
      </c>
      <c r="S42" s="38" t="s">
        <v>119</v>
      </c>
      <c r="T42" s="38">
        <v>81.292787000000004</v>
      </c>
      <c r="U42" s="38">
        <v>81.002100999999996</v>
      </c>
      <c r="V42" s="38" t="s">
        <v>119</v>
      </c>
      <c r="W42" s="38" t="s">
        <v>119</v>
      </c>
      <c r="X42" s="38" t="s">
        <v>119</v>
      </c>
      <c r="Y42" s="38" t="s">
        <v>119</v>
      </c>
      <c r="Z42" s="38" t="s">
        <v>119</v>
      </c>
      <c r="AA42" s="38" t="s">
        <v>119</v>
      </c>
      <c r="AB42" s="38" t="s">
        <v>119</v>
      </c>
      <c r="AC42" s="38" t="s">
        <v>119</v>
      </c>
      <c r="AD42" s="38" t="s">
        <v>119</v>
      </c>
      <c r="AE42" s="38" t="s">
        <v>119</v>
      </c>
      <c r="AF42" s="38" t="s">
        <v>119</v>
      </c>
      <c r="AG42" s="38" t="s">
        <v>119</v>
      </c>
      <c r="AH42" s="38" t="s">
        <v>119</v>
      </c>
      <c r="AI42" s="38" t="s">
        <v>119</v>
      </c>
      <c r="AJ42" s="38" t="s">
        <v>119</v>
      </c>
      <c r="AK42" s="38" t="s">
        <v>119</v>
      </c>
      <c r="AL42" s="38" t="s">
        <v>119</v>
      </c>
      <c r="AM42" s="38" t="s">
        <v>119</v>
      </c>
      <c r="AN42" s="38" t="s">
        <v>119</v>
      </c>
      <c r="AO42" s="38" t="s">
        <v>119</v>
      </c>
      <c r="AP42" s="38" t="s">
        <v>119</v>
      </c>
      <c r="AQ42" s="38" t="s">
        <v>119</v>
      </c>
      <c r="AR42" s="38" t="s">
        <v>119</v>
      </c>
      <c r="AS42" s="38" t="s">
        <v>119</v>
      </c>
      <c r="AT42" s="38" t="s">
        <v>119</v>
      </c>
      <c r="AU42" s="38" t="s">
        <v>119</v>
      </c>
      <c r="AV42" s="38" t="s">
        <v>119</v>
      </c>
      <c r="AW42" s="38" t="s">
        <v>119</v>
      </c>
      <c r="AX42" s="38" t="s">
        <v>119</v>
      </c>
    </row>
    <row r="43" spans="1:50" x14ac:dyDescent="0.45">
      <c r="A43" s="38" t="s">
        <v>161</v>
      </c>
      <c r="B43" s="38">
        <v>42</v>
      </c>
      <c r="C43" s="38" t="s">
        <v>118</v>
      </c>
      <c r="D43" s="38">
        <v>42</v>
      </c>
      <c r="E43" s="38">
        <v>31950</v>
      </c>
      <c r="F43" s="38">
        <f t="shared" si="0"/>
        <v>31.95</v>
      </c>
      <c r="G43" s="38">
        <v>21318906.25</v>
      </c>
      <c r="H43" s="38">
        <f t="shared" si="1"/>
        <v>21.318906250000001</v>
      </c>
      <c r="I43" s="38">
        <v>2608</v>
      </c>
      <c r="J43" s="38">
        <v>2608</v>
      </c>
      <c r="K43" s="38" t="s">
        <v>119</v>
      </c>
      <c r="L43" s="38" t="s">
        <v>119</v>
      </c>
      <c r="M43" s="38" t="s">
        <v>119</v>
      </c>
      <c r="N43" s="38">
        <v>44.517006000000002</v>
      </c>
      <c r="O43" s="38" t="s">
        <v>120</v>
      </c>
      <c r="P43" s="38" t="s">
        <v>120</v>
      </c>
      <c r="Q43" s="38" t="s">
        <v>119</v>
      </c>
      <c r="R43" s="38" t="s">
        <v>119</v>
      </c>
      <c r="S43" s="38" t="s">
        <v>119</v>
      </c>
      <c r="T43" s="38">
        <v>78.396448000000007</v>
      </c>
      <c r="U43" s="38">
        <v>80.338397999999998</v>
      </c>
      <c r="V43" s="38" t="s">
        <v>119</v>
      </c>
      <c r="W43" s="38" t="s">
        <v>119</v>
      </c>
      <c r="X43" s="38" t="s">
        <v>119</v>
      </c>
      <c r="Y43" s="38" t="s">
        <v>119</v>
      </c>
      <c r="Z43" s="38" t="s">
        <v>119</v>
      </c>
      <c r="AA43" s="38" t="s">
        <v>119</v>
      </c>
      <c r="AB43" s="38" t="s">
        <v>119</v>
      </c>
      <c r="AC43" s="38" t="s">
        <v>119</v>
      </c>
      <c r="AD43" s="38" t="s">
        <v>119</v>
      </c>
      <c r="AE43" s="38" t="s">
        <v>119</v>
      </c>
      <c r="AF43" s="38" t="s">
        <v>119</v>
      </c>
      <c r="AG43" s="38" t="s">
        <v>119</v>
      </c>
      <c r="AH43" s="38" t="s">
        <v>119</v>
      </c>
      <c r="AI43" s="38" t="s">
        <v>119</v>
      </c>
      <c r="AJ43" s="38" t="s">
        <v>119</v>
      </c>
      <c r="AK43" s="38" t="s">
        <v>119</v>
      </c>
      <c r="AL43" s="38" t="s">
        <v>119</v>
      </c>
      <c r="AM43" s="38" t="s">
        <v>119</v>
      </c>
      <c r="AN43" s="38" t="s">
        <v>119</v>
      </c>
      <c r="AO43" s="38" t="s">
        <v>119</v>
      </c>
      <c r="AP43" s="38" t="s">
        <v>119</v>
      </c>
      <c r="AQ43" s="38" t="s">
        <v>119</v>
      </c>
      <c r="AR43" s="38" t="s">
        <v>119</v>
      </c>
      <c r="AS43" s="38" t="s">
        <v>119</v>
      </c>
      <c r="AT43" s="38" t="s">
        <v>119</v>
      </c>
      <c r="AU43" s="38" t="s">
        <v>119</v>
      </c>
      <c r="AV43" s="38" t="s">
        <v>119</v>
      </c>
      <c r="AW43" s="38" t="s">
        <v>119</v>
      </c>
      <c r="AX43" s="38" t="s">
        <v>119</v>
      </c>
    </row>
    <row r="44" spans="1:50" x14ac:dyDescent="0.45">
      <c r="A44" s="38" t="s">
        <v>162</v>
      </c>
      <c r="B44" s="38">
        <v>43</v>
      </c>
      <c r="C44" s="38" t="s">
        <v>118</v>
      </c>
      <c r="D44" s="38">
        <v>43</v>
      </c>
      <c r="E44" s="38">
        <v>13900</v>
      </c>
      <c r="F44" s="38">
        <f t="shared" si="0"/>
        <v>13.9</v>
      </c>
      <c r="G44" s="38">
        <v>4524375</v>
      </c>
      <c r="H44" s="38">
        <f t="shared" si="1"/>
        <v>4.524375</v>
      </c>
      <c r="I44" s="38">
        <v>2609</v>
      </c>
      <c r="J44" s="38">
        <v>2609</v>
      </c>
      <c r="K44" s="38" t="s">
        <v>119</v>
      </c>
      <c r="L44" s="38" t="s">
        <v>119</v>
      </c>
      <c r="M44" s="38" t="s">
        <v>119</v>
      </c>
      <c r="N44" s="38">
        <v>27.386092999999999</v>
      </c>
      <c r="O44" s="38" t="s">
        <v>120</v>
      </c>
      <c r="P44" s="38" t="s">
        <v>120</v>
      </c>
      <c r="Q44" s="38" t="s">
        <v>119</v>
      </c>
      <c r="R44" s="38" t="s">
        <v>119</v>
      </c>
      <c r="S44" s="38" t="s">
        <v>119</v>
      </c>
      <c r="T44" s="38">
        <v>73.434946999999994</v>
      </c>
      <c r="U44" s="38">
        <v>79.433333000000005</v>
      </c>
      <c r="V44" s="38" t="s">
        <v>119</v>
      </c>
      <c r="W44" s="38" t="s">
        <v>119</v>
      </c>
      <c r="X44" s="38" t="s">
        <v>119</v>
      </c>
      <c r="Y44" s="38" t="s">
        <v>119</v>
      </c>
      <c r="Z44" s="38" t="s">
        <v>119</v>
      </c>
      <c r="AA44" s="38" t="s">
        <v>119</v>
      </c>
      <c r="AB44" s="38" t="s">
        <v>119</v>
      </c>
      <c r="AC44" s="38" t="s">
        <v>119</v>
      </c>
      <c r="AD44" s="38" t="s">
        <v>119</v>
      </c>
      <c r="AE44" s="38" t="s">
        <v>119</v>
      </c>
      <c r="AF44" s="38" t="s">
        <v>119</v>
      </c>
      <c r="AG44" s="38" t="s">
        <v>119</v>
      </c>
      <c r="AH44" s="38" t="s">
        <v>119</v>
      </c>
      <c r="AI44" s="38" t="s">
        <v>119</v>
      </c>
      <c r="AJ44" s="38" t="s">
        <v>119</v>
      </c>
      <c r="AK44" s="38" t="s">
        <v>119</v>
      </c>
      <c r="AL44" s="38" t="s">
        <v>119</v>
      </c>
      <c r="AM44" s="38" t="s">
        <v>119</v>
      </c>
      <c r="AN44" s="38" t="s">
        <v>119</v>
      </c>
      <c r="AO44" s="38" t="s">
        <v>119</v>
      </c>
      <c r="AP44" s="38" t="s">
        <v>119</v>
      </c>
      <c r="AQ44" s="38" t="s">
        <v>119</v>
      </c>
      <c r="AR44" s="38" t="s">
        <v>119</v>
      </c>
      <c r="AS44" s="38" t="s">
        <v>119</v>
      </c>
      <c r="AT44" s="38" t="s">
        <v>119</v>
      </c>
      <c r="AU44" s="38" t="s">
        <v>119</v>
      </c>
      <c r="AV44" s="38" t="s">
        <v>119</v>
      </c>
      <c r="AW44" s="38" t="s">
        <v>119</v>
      </c>
      <c r="AX44" s="38" t="s">
        <v>119</v>
      </c>
    </row>
    <row r="45" spans="1:50" x14ac:dyDescent="0.45">
      <c r="A45" s="38" t="s">
        <v>163</v>
      </c>
      <c r="B45" s="38">
        <v>44</v>
      </c>
      <c r="C45" s="38" t="s">
        <v>118</v>
      </c>
      <c r="D45" s="38">
        <v>44</v>
      </c>
      <c r="E45" s="38">
        <v>22700</v>
      </c>
      <c r="F45" s="38">
        <f t="shared" si="0"/>
        <v>22.7</v>
      </c>
      <c r="G45" s="38">
        <v>10257656.25</v>
      </c>
      <c r="H45" s="38">
        <f t="shared" si="1"/>
        <v>10.25765625</v>
      </c>
      <c r="I45" s="38">
        <v>2610</v>
      </c>
      <c r="J45" s="38">
        <v>2610</v>
      </c>
      <c r="K45" s="38" t="s">
        <v>119</v>
      </c>
      <c r="L45" s="38" t="s">
        <v>119</v>
      </c>
      <c r="M45" s="38" t="s">
        <v>119</v>
      </c>
      <c r="N45" s="38">
        <v>27.402888999999998</v>
      </c>
      <c r="O45" s="38" t="s">
        <v>120</v>
      </c>
      <c r="P45" s="38" t="s">
        <v>120</v>
      </c>
      <c r="Q45" s="38" t="s">
        <v>119</v>
      </c>
      <c r="R45" s="38" t="s">
        <v>119</v>
      </c>
      <c r="S45" s="38" t="s">
        <v>119</v>
      </c>
      <c r="T45" s="38">
        <v>73</v>
      </c>
      <c r="U45" s="38">
        <v>79.659149999999997</v>
      </c>
      <c r="V45" s="38" t="s">
        <v>119</v>
      </c>
      <c r="W45" s="38" t="s">
        <v>119</v>
      </c>
      <c r="X45" s="38" t="s">
        <v>119</v>
      </c>
      <c r="Y45" s="38" t="s">
        <v>119</v>
      </c>
      <c r="Z45" s="38" t="s">
        <v>119</v>
      </c>
      <c r="AA45" s="38" t="s">
        <v>119</v>
      </c>
      <c r="AB45" s="38" t="s">
        <v>119</v>
      </c>
      <c r="AC45" s="38" t="s">
        <v>119</v>
      </c>
      <c r="AD45" s="38" t="s">
        <v>119</v>
      </c>
      <c r="AE45" s="38" t="s">
        <v>119</v>
      </c>
      <c r="AF45" s="38" t="s">
        <v>119</v>
      </c>
      <c r="AG45" s="38" t="s">
        <v>119</v>
      </c>
      <c r="AH45" s="38" t="s">
        <v>119</v>
      </c>
      <c r="AI45" s="38" t="s">
        <v>119</v>
      </c>
      <c r="AJ45" s="38" t="s">
        <v>119</v>
      </c>
      <c r="AK45" s="38" t="s">
        <v>119</v>
      </c>
      <c r="AL45" s="38" t="s">
        <v>119</v>
      </c>
      <c r="AM45" s="38" t="s">
        <v>119</v>
      </c>
      <c r="AN45" s="38" t="s">
        <v>119</v>
      </c>
      <c r="AO45" s="38" t="s">
        <v>119</v>
      </c>
      <c r="AP45" s="38" t="s">
        <v>119</v>
      </c>
      <c r="AQ45" s="38" t="s">
        <v>119</v>
      </c>
      <c r="AR45" s="38" t="s">
        <v>119</v>
      </c>
      <c r="AS45" s="38" t="s">
        <v>119</v>
      </c>
      <c r="AT45" s="38" t="s">
        <v>119</v>
      </c>
      <c r="AU45" s="38" t="s">
        <v>119</v>
      </c>
      <c r="AV45" s="38" t="s">
        <v>119</v>
      </c>
      <c r="AW45" s="38" t="s">
        <v>119</v>
      </c>
      <c r="AX45" s="38" t="s">
        <v>119</v>
      </c>
    </row>
    <row r="46" spans="1:50" x14ac:dyDescent="0.45">
      <c r="A46" s="38" t="s">
        <v>164</v>
      </c>
      <c r="B46" s="38">
        <v>45</v>
      </c>
      <c r="C46" s="38" t="s">
        <v>118</v>
      </c>
      <c r="D46" s="38">
        <v>45</v>
      </c>
      <c r="E46" s="38">
        <v>52700</v>
      </c>
      <c r="F46" s="38">
        <f t="shared" si="0"/>
        <v>52.7</v>
      </c>
      <c r="G46" s="38">
        <v>18363125</v>
      </c>
      <c r="H46" s="38">
        <f t="shared" si="1"/>
        <v>18.363125</v>
      </c>
      <c r="I46" s="38">
        <v>2611</v>
      </c>
      <c r="J46" s="38">
        <v>2611</v>
      </c>
      <c r="K46" s="38" t="s">
        <v>119</v>
      </c>
      <c r="L46" s="38" t="s">
        <v>119</v>
      </c>
      <c r="M46" s="38" t="s">
        <v>119</v>
      </c>
      <c r="N46" s="38">
        <v>8.2999749999999999</v>
      </c>
      <c r="O46" s="38" t="s">
        <v>120</v>
      </c>
      <c r="P46" s="38" t="s">
        <v>120</v>
      </c>
      <c r="Q46" s="38" t="s">
        <v>119</v>
      </c>
      <c r="R46" s="38" t="s">
        <v>119</v>
      </c>
      <c r="S46" s="38" t="s">
        <v>119</v>
      </c>
      <c r="T46" s="38">
        <v>72.625414000000006</v>
      </c>
      <c r="U46" s="38">
        <v>85.299818000000002</v>
      </c>
      <c r="V46" s="38" t="s">
        <v>119</v>
      </c>
      <c r="W46" s="38" t="s">
        <v>119</v>
      </c>
      <c r="X46" s="38" t="s">
        <v>119</v>
      </c>
      <c r="Y46" s="38" t="s">
        <v>119</v>
      </c>
      <c r="Z46" s="38" t="s">
        <v>119</v>
      </c>
      <c r="AA46" s="38" t="s">
        <v>119</v>
      </c>
      <c r="AB46" s="38" t="s">
        <v>119</v>
      </c>
      <c r="AC46" s="38" t="s">
        <v>119</v>
      </c>
      <c r="AD46" s="38" t="s">
        <v>119</v>
      </c>
      <c r="AE46" s="38" t="s">
        <v>119</v>
      </c>
      <c r="AF46" s="38" t="s">
        <v>119</v>
      </c>
      <c r="AG46" s="38" t="s">
        <v>119</v>
      </c>
      <c r="AH46" s="38" t="s">
        <v>119</v>
      </c>
      <c r="AI46" s="38" t="s">
        <v>119</v>
      </c>
      <c r="AJ46" s="38" t="s">
        <v>119</v>
      </c>
      <c r="AK46" s="38" t="s">
        <v>119</v>
      </c>
      <c r="AL46" s="38" t="s">
        <v>119</v>
      </c>
      <c r="AM46" s="38" t="s">
        <v>119</v>
      </c>
      <c r="AN46" s="38" t="s">
        <v>119</v>
      </c>
      <c r="AO46" s="38" t="s">
        <v>119</v>
      </c>
      <c r="AP46" s="38" t="s">
        <v>119</v>
      </c>
      <c r="AQ46" s="38" t="s">
        <v>119</v>
      </c>
      <c r="AR46" s="38" t="s">
        <v>119</v>
      </c>
      <c r="AS46" s="38" t="s">
        <v>119</v>
      </c>
      <c r="AT46" s="38" t="s">
        <v>119</v>
      </c>
      <c r="AU46" s="38" t="s">
        <v>119</v>
      </c>
      <c r="AV46" s="38" t="s">
        <v>119</v>
      </c>
      <c r="AW46" s="38" t="s">
        <v>119</v>
      </c>
      <c r="AX46" s="38" t="s">
        <v>119</v>
      </c>
    </row>
    <row r="47" spans="1:50" x14ac:dyDescent="0.45">
      <c r="A47" s="38" t="s">
        <v>165</v>
      </c>
      <c r="B47" s="38">
        <v>46</v>
      </c>
      <c r="C47" s="38" t="s">
        <v>118</v>
      </c>
      <c r="D47" s="38">
        <v>46</v>
      </c>
      <c r="E47" s="38">
        <v>20450</v>
      </c>
      <c r="F47" s="38">
        <f t="shared" si="0"/>
        <v>20.45</v>
      </c>
      <c r="G47" s="38">
        <v>11650937.5</v>
      </c>
      <c r="H47" s="38">
        <f t="shared" si="1"/>
        <v>11.6509375</v>
      </c>
      <c r="I47" s="38">
        <v>2612</v>
      </c>
      <c r="J47" s="38">
        <v>2612</v>
      </c>
      <c r="K47" s="38" t="s">
        <v>119</v>
      </c>
      <c r="L47" s="38" t="s">
        <v>119</v>
      </c>
      <c r="M47" s="38" t="s">
        <v>119</v>
      </c>
      <c r="N47" s="38">
        <v>26.429832000000001</v>
      </c>
      <c r="O47" s="38" t="s">
        <v>120</v>
      </c>
      <c r="P47" s="38" t="s">
        <v>120</v>
      </c>
      <c r="Q47" s="38" t="s">
        <v>119</v>
      </c>
      <c r="R47" s="38" t="s">
        <v>119</v>
      </c>
      <c r="S47" s="38" t="s">
        <v>119</v>
      </c>
      <c r="T47" s="38">
        <v>73.804314000000005</v>
      </c>
      <c r="U47" s="38">
        <v>77.716706000000002</v>
      </c>
      <c r="V47" s="38" t="s">
        <v>119</v>
      </c>
      <c r="W47" s="38" t="s">
        <v>119</v>
      </c>
      <c r="X47" s="38" t="s">
        <v>119</v>
      </c>
      <c r="Y47" s="38" t="s">
        <v>119</v>
      </c>
      <c r="Z47" s="38" t="s">
        <v>119</v>
      </c>
      <c r="AA47" s="38" t="s">
        <v>119</v>
      </c>
      <c r="AB47" s="38" t="s">
        <v>119</v>
      </c>
      <c r="AC47" s="38" t="s">
        <v>119</v>
      </c>
      <c r="AD47" s="38" t="s">
        <v>119</v>
      </c>
      <c r="AE47" s="38" t="s">
        <v>119</v>
      </c>
      <c r="AF47" s="38" t="s">
        <v>119</v>
      </c>
      <c r="AG47" s="38" t="s">
        <v>119</v>
      </c>
      <c r="AH47" s="38" t="s">
        <v>119</v>
      </c>
      <c r="AI47" s="38" t="s">
        <v>119</v>
      </c>
      <c r="AJ47" s="38" t="s">
        <v>119</v>
      </c>
      <c r="AK47" s="38" t="s">
        <v>119</v>
      </c>
      <c r="AL47" s="38" t="s">
        <v>119</v>
      </c>
      <c r="AM47" s="38" t="s">
        <v>119</v>
      </c>
      <c r="AN47" s="38" t="s">
        <v>119</v>
      </c>
      <c r="AO47" s="38" t="s">
        <v>119</v>
      </c>
      <c r="AP47" s="38" t="s">
        <v>119</v>
      </c>
      <c r="AQ47" s="38" t="s">
        <v>119</v>
      </c>
      <c r="AR47" s="38" t="s">
        <v>119</v>
      </c>
      <c r="AS47" s="38" t="s">
        <v>119</v>
      </c>
      <c r="AT47" s="38" t="s">
        <v>119</v>
      </c>
      <c r="AU47" s="38" t="s">
        <v>119</v>
      </c>
      <c r="AV47" s="38" t="s">
        <v>119</v>
      </c>
      <c r="AW47" s="38" t="s">
        <v>119</v>
      </c>
      <c r="AX47" s="38" t="s">
        <v>119</v>
      </c>
    </row>
    <row r="48" spans="1:50" x14ac:dyDescent="0.45">
      <c r="A48" s="38" t="s">
        <v>166</v>
      </c>
      <c r="B48" s="38">
        <v>47</v>
      </c>
      <c r="C48" s="38" t="s">
        <v>118</v>
      </c>
      <c r="D48" s="38">
        <v>47</v>
      </c>
      <c r="E48" s="38">
        <v>7350</v>
      </c>
      <c r="F48" s="38">
        <f t="shared" si="0"/>
        <v>7.35</v>
      </c>
      <c r="G48" s="38">
        <v>1330000</v>
      </c>
      <c r="H48" s="38">
        <f t="shared" si="1"/>
        <v>1.33</v>
      </c>
      <c r="I48" s="38">
        <v>2613</v>
      </c>
      <c r="J48" s="38">
        <v>2613</v>
      </c>
      <c r="K48" s="38" t="s">
        <v>119</v>
      </c>
      <c r="L48" s="38" t="s">
        <v>119</v>
      </c>
      <c r="M48" s="38" t="s">
        <v>119</v>
      </c>
      <c r="N48" s="38">
        <v>41.759932999999997</v>
      </c>
      <c r="O48" s="38" t="s">
        <v>120</v>
      </c>
      <c r="P48" s="38" t="s">
        <v>120</v>
      </c>
      <c r="Q48" s="38" t="s">
        <v>119</v>
      </c>
      <c r="R48" s="38" t="s">
        <v>119</v>
      </c>
      <c r="S48" s="38" t="s">
        <v>119</v>
      </c>
      <c r="T48" s="38">
        <v>73</v>
      </c>
      <c r="U48" s="38">
        <v>78.883930000000007</v>
      </c>
      <c r="V48" s="38" t="s">
        <v>119</v>
      </c>
      <c r="W48" s="38" t="s">
        <v>119</v>
      </c>
      <c r="X48" s="38" t="s">
        <v>119</v>
      </c>
      <c r="Y48" s="38" t="s">
        <v>119</v>
      </c>
      <c r="Z48" s="38" t="s">
        <v>119</v>
      </c>
      <c r="AA48" s="38" t="s">
        <v>119</v>
      </c>
      <c r="AB48" s="38" t="s">
        <v>119</v>
      </c>
      <c r="AC48" s="38" t="s">
        <v>119</v>
      </c>
      <c r="AD48" s="38" t="s">
        <v>119</v>
      </c>
      <c r="AE48" s="38" t="s">
        <v>119</v>
      </c>
      <c r="AF48" s="38" t="s">
        <v>119</v>
      </c>
      <c r="AG48" s="38" t="s">
        <v>119</v>
      </c>
      <c r="AH48" s="38" t="s">
        <v>119</v>
      </c>
      <c r="AI48" s="38" t="s">
        <v>119</v>
      </c>
      <c r="AJ48" s="38" t="s">
        <v>119</v>
      </c>
      <c r="AK48" s="38" t="s">
        <v>119</v>
      </c>
      <c r="AL48" s="38" t="s">
        <v>119</v>
      </c>
      <c r="AM48" s="38" t="s">
        <v>119</v>
      </c>
      <c r="AN48" s="38" t="s">
        <v>119</v>
      </c>
      <c r="AO48" s="38" t="s">
        <v>119</v>
      </c>
      <c r="AP48" s="38" t="s">
        <v>119</v>
      </c>
      <c r="AQ48" s="38" t="s">
        <v>119</v>
      </c>
      <c r="AR48" s="38" t="s">
        <v>119</v>
      </c>
      <c r="AS48" s="38" t="s">
        <v>119</v>
      </c>
      <c r="AT48" s="38" t="s">
        <v>119</v>
      </c>
      <c r="AU48" s="38" t="s">
        <v>119</v>
      </c>
      <c r="AV48" s="38" t="s">
        <v>119</v>
      </c>
      <c r="AW48" s="38" t="s">
        <v>119</v>
      </c>
      <c r="AX48" s="38" t="s">
        <v>119</v>
      </c>
    </row>
    <row r="49" spans="1:50" x14ac:dyDescent="0.45">
      <c r="A49" s="38" t="s">
        <v>167</v>
      </c>
      <c r="B49" s="38">
        <v>48</v>
      </c>
      <c r="C49" s="38" t="s">
        <v>118</v>
      </c>
      <c r="D49" s="38">
        <v>48</v>
      </c>
      <c r="E49" s="38">
        <v>20600</v>
      </c>
      <c r="F49" s="38">
        <f t="shared" si="0"/>
        <v>20.6</v>
      </c>
      <c r="G49" s="38">
        <v>5561718.75</v>
      </c>
      <c r="H49" s="38">
        <f t="shared" si="1"/>
        <v>5.5617187499999998</v>
      </c>
      <c r="I49" s="38">
        <v>2614</v>
      </c>
      <c r="J49" s="38">
        <v>2614</v>
      </c>
      <c r="K49" s="38" t="s">
        <v>119</v>
      </c>
      <c r="L49" s="38" t="s">
        <v>119</v>
      </c>
      <c r="M49" s="38" t="s">
        <v>119</v>
      </c>
      <c r="N49" s="38">
        <v>7.4685730000000001</v>
      </c>
      <c r="O49" s="38" t="s">
        <v>120</v>
      </c>
      <c r="P49" s="38" t="s">
        <v>120</v>
      </c>
      <c r="Q49" s="38" t="s">
        <v>119</v>
      </c>
      <c r="R49" s="38" t="s">
        <v>119</v>
      </c>
      <c r="S49" s="38" t="s">
        <v>119</v>
      </c>
      <c r="T49" s="38">
        <v>80.008830000000003</v>
      </c>
      <c r="U49" s="38">
        <v>80.515405999999999</v>
      </c>
      <c r="V49" s="38" t="s">
        <v>119</v>
      </c>
      <c r="W49" s="38" t="s">
        <v>119</v>
      </c>
      <c r="X49" s="38" t="s">
        <v>119</v>
      </c>
      <c r="Y49" s="38" t="s">
        <v>119</v>
      </c>
      <c r="Z49" s="38" t="s">
        <v>119</v>
      </c>
      <c r="AA49" s="38" t="s">
        <v>119</v>
      </c>
      <c r="AB49" s="38" t="s">
        <v>119</v>
      </c>
      <c r="AC49" s="38" t="s">
        <v>119</v>
      </c>
      <c r="AD49" s="38" t="s">
        <v>119</v>
      </c>
      <c r="AE49" s="38" t="s">
        <v>119</v>
      </c>
      <c r="AF49" s="38" t="s">
        <v>119</v>
      </c>
      <c r="AG49" s="38" t="s">
        <v>119</v>
      </c>
      <c r="AH49" s="38" t="s">
        <v>119</v>
      </c>
      <c r="AI49" s="38" t="s">
        <v>119</v>
      </c>
      <c r="AJ49" s="38" t="s">
        <v>119</v>
      </c>
      <c r="AK49" s="38" t="s">
        <v>119</v>
      </c>
      <c r="AL49" s="38" t="s">
        <v>119</v>
      </c>
      <c r="AM49" s="38" t="s">
        <v>119</v>
      </c>
      <c r="AN49" s="38" t="s">
        <v>119</v>
      </c>
      <c r="AO49" s="38" t="s">
        <v>119</v>
      </c>
      <c r="AP49" s="38" t="s">
        <v>119</v>
      </c>
      <c r="AQ49" s="38" t="s">
        <v>119</v>
      </c>
      <c r="AR49" s="38" t="s">
        <v>119</v>
      </c>
      <c r="AS49" s="38" t="s">
        <v>119</v>
      </c>
      <c r="AT49" s="38" t="s">
        <v>119</v>
      </c>
      <c r="AU49" s="38" t="s">
        <v>119</v>
      </c>
      <c r="AV49" s="38" t="s">
        <v>119</v>
      </c>
      <c r="AW49" s="38" t="s">
        <v>119</v>
      </c>
      <c r="AX49" s="38" t="s">
        <v>119</v>
      </c>
    </row>
    <row r="50" spans="1:50" x14ac:dyDescent="0.45">
      <c r="A50" s="38" t="s">
        <v>168</v>
      </c>
      <c r="B50" s="38">
        <v>49</v>
      </c>
      <c r="C50" s="38" t="s">
        <v>118</v>
      </c>
      <c r="D50" s="38">
        <v>49</v>
      </c>
      <c r="E50" s="38">
        <v>27925</v>
      </c>
      <c r="F50" s="38">
        <f t="shared" si="0"/>
        <v>27.925000000000001</v>
      </c>
      <c r="G50" s="38">
        <v>12059843.75</v>
      </c>
      <c r="H50" s="38">
        <f t="shared" si="1"/>
        <v>12.059843750000001</v>
      </c>
      <c r="I50" s="38">
        <v>2615</v>
      </c>
      <c r="J50" s="38">
        <v>2615</v>
      </c>
      <c r="K50" s="38" t="s">
        <v>119</v>
      </c>
      <c r="L50" s="38" t="s">
        <v>119</v>
      </c>
      <c r="M50" s="38" t="s">
        <v>119</v>
      </c>
      <c r="N50" s="38">
        <v>33.791203000000003</v>
      </c>
      <c r="O50" s="38" t="s">
        <v>120</v>
      </c>
      <c r="P50" s="38" t="s">
        <v>120</v>
      </c>
      <c r="Q50" s="38" t="s">
        <v>119</v>
      </c>
      <c r="R50" s="38" t="s">
        <v>119</v>
      </c>
      <c r="S50" s="38" t="s">
        <v>119</v>
      </c>
      <c r="T50" s="38">
        <v>73</v>
      </c>
      <c r="U50" s="38">
        <v>79.271658000000002</v>
      </c>
      <c r="V50" s="38" t="s">
        <v>119</v>
      </c>
      <c r="W50" s="38" t="s">
        <v>119</v>
      </c>
      <c r="X50" s="38" t="s">
        <v>119</v>
      </c>
      <c r="Y50" s="38" t="s">
        <v>119</v>
      </c>
      <c r="Z50" s="38" t="s">
        <v>119</v>
      </c>
      <c r="AA50" s="38" t="s">
        <v>119</v>
      </c>
      <c r="AB50" s="38" t="s">
        <v>119</v>
      </c>
      <c r="AC50" s="38" t="s">
        <v>119</v>
      </c>
      <c r="AD50" s="38" t="s">
        <v>119</v>
      </c>
      <c r="AE50" s="38" t="s">
        <v>119</v>
      </c>
      <c r="AF50" s="38" t="s">
        <v>119</v>
      </c>
      <c r="AG50" s="38" t="s">
        <v>119</v>
      </c>
      <c r="AH50" s="38" t="s">
        <v>119</v>
      </c>
      <c r="AI50" s="38" t="s">
        <v>119</v>
      </c>
      <c r="AJ50" s="38" t="s">
        <v>119</v>
      </c>
      <c r="AK50" s="38" t="s">
        <v>119</v>
      </c>
      <c r="AL50" s="38" t="s">
        <v>119</v>
      </c>
      <c r="AM50" s="38" t="s">
        <v>119</v>
      </c>
      <c r="AN50" s="38" t="s">
        <v>119</v>
      </c>
      <c r="AO50" s="38" t="s">
        <v>119</v>
      </c>
      <c r="AP50" s="38" t="s">
        <v>119</v>
      </c>
      <c r="AQ50" s="38" t="s">
        <v>119</v>
      </c>
      <c r="AR50" s="38" t="s">
        <v>119</v>
      </c>
      <c r="AS50" s="38" t="s">
        <v>119</v>
      </c>
      <c r="AT50" s="38" t="s">
        <v>119</v>
      </c>
      <c r="AU50" s="38" t="s">
        <v>119</v>
      </c>
      <c r="AV50" s="38" t="s">
        <v>119</v>
      </c>
      <c r="AW50" s="38" t="s">
        <v>119</v>
      </c>
      <c r="AX50" s="38" t="s">
        <v>119</v>
      </c>
    </row>
    <row r="51" spans="1:50" x14ac:dyDescent="0.45">
      <c r="A51" s="38" t="s">
        <v>169</v>
      </c>
      <c r="B51" s="38">
        <v>50</v>
      </c>
      <c r="C51" s="38" t="s">
        <v>118</v>
      </c>
      <c r="D51" s="38">
        <v>50</v>
      </c>
      <c r="E51" s="38">
        <v>45750</v>
      </c>
      <c r="F51" s="38">
        <f t="shared" si="0"/>
        <v>45.75</v>
      </c>
      <c r="G51" s="38">
        <v>17499843.75</v>
      </c>
      <c r="H51" s="38">
        <f t="shared" si="1"/>
        <v>17.49984375</v>
      </c>
      <c r="I51" s="38">
        <v>2616</v>
      </c>
      <c r="J51" s="38">
        <v>2616</v>
      </c>
      <c r="K51" s="38" t="s">
        <v>119</v>
      </c>
      <c r="L51" s="38" t="s">
        <v>119</v>
      </c>
      <c r="M51" s="38" t="s">
        <v>119</v>
      </c>
      <c r="N51" s="38">
        <v>8.0080329999999993</v>
      </c>
      <c r="O51" s="38" t="s">
        <v>120</v>
      </c>
      <c r="P51" s="38" t="s">
        <v>120</v>
      </c>
      <c r="Q51" s="38" t="s">
        <v>119</v>
      </c>
      <c r="R51" s="38" t="s">
        <v>119</v>
      </c>
      <c r="S51" s="38" t="s">
        <v>119</v>
      </c>
      <c r="T51" s="38">
        <v>50.291483999999997</v>
      </c>
      <c r="U51" s="38">
        <v>82.702944000000002</v>
      </c>
      <c r="V51" s="38" t="s">
        <v>119</v>
      </c>
      <c r="W51" s="38" t="s">
        <v>119</v>
      </c>
      <c r="X51" s="38" t="s">
        <v>119</v>
      </c>
      <c r="Y51" s="38" t="s">
        <v>119</v>
      </c>
      <c r="Z51" s="38" t="s">
        <v>119</v>
      </c>
      <c r="AA51" s="38" t="s">
        <v>119</v>
      </c>
      <c r="AB51" s="38" t="s">
        <v>119</v>
      </c>
      <c r="AC51" s="38" t="s">
        <v>119</v>
      </c>
      <c r="AD51" s="38" t="s">
        <v>119</v>
      </c>
      <c r="AE51" s="38" t="s">
        <v>119</v>
      </c>
      <c r="AF51" s="38" t="s">
        <v>119</v>
      </c>
      <c r="AG51" s="38" t="s">
        <v>119</v>
      </c>
      <c r="AH51" s="38" t="s">
        <v>119</v>
      </c>
      <c r="AI51" s="38" t="s">
        <v>119</v>
      </c>
      <c r="AJ51" s="38" t="s">
        <v>119</v>
      </c>
      <c r="AK51" s="38" t="s">
        <v>119</v>
      </c>
      <c r="AL51" s="38" t="s">
        <v>119</v>
      </c>
      <c r="AM51" s="38" t="s">
        <v>119</v>
      </c>
      <c r="AN51" s="38" t="s">
        <v>119</v>
      </c>
      <c r="AO51" s="38" t="s">
        <v>119</v>
      </c>
      <c r="AP51" s="38" t="s">
        <v>119</v>
      </c>
      <c r="AQ51" s="38" t="s">
        <v>119</v>
      </c>
      <c r="AR51" s="38" t="s">
        <v>119</v>
      </c>
      <c r="AS51" s="38" t="s">
        <v>119</v>
      </c>
      <c r="AT51" s="38" t="s">
        <v>119</v>
      </c>
      <c r="AU51" s="38" t="s">
        <v>119</v>
      </c>
      <c r="AV51" s="38" t="s">
        <v>119</v>
      </c>
      <c r="AW51" s="38" t="s">
        <v>119</v>
      </c>
      <c r="AX51" s="38" t="s">
        <v>119</v>
      </c>
    </row>
    <row r="52" spans="1:50" x14ac:dyDescent="0.45">
      <c r="A52" s="38" t="s">
        <v>170</v>
      </c>
      <c r="B52" s="38">
        <v>51</v>
      </c>
      <c r="C52" s="38" t="s">
        <v>118</v>
      </c>
      <c r="D52" s="38">
        <v>51</v>
      </c>
      <c r="E52" s="38">
        <v>18675</v>
      </c>
      <c r="F52" s="38">
        <f t="shared" si="0"/>
        <v>18.675000000000001</v>
      </c>
      <c r="G52" s="38">
        <v>8389218.75</v>
      </c>
      <c r="H52" s="38">
        <f t="shared" si="1"/>
        <v>8.3892187499999995</v>
      </c>
      <c r="I52" s="38">
        <v>2617</v>
      </c>
      <c r="J52" s="38">
        <v>2617</v>
      </c>
      <c r="K52" s="38" t="s">
        <v>119</v>
      </c>
      <c r="L52" s="38" t="s">
        <v>119</v>
      </c>
      <c r="M52" s="38" t="s">
        <v>119</v>
      </c>
      <c r="N52" s="38">
        <v>53.46172</v>
      </c>
      <c r="O52" s="38" t="s">
        <v>120</v>
      </c>
      <c r="P52" s="38" t="s">
        <v>120</v>
      </c>
      <c r="Q52" s="38" t="s">
        <v>119</v>
      </c>
      <c r="R52" s="38" t="s">
        <v>119</v>
      </c>
      <c r="S52" s="38" t="s">
        <v>119</v>
      </c>
      <c r="T52" s="38">
        <v>79.239301999999995</v>
      </c>
      <c r="U52" s="38">
        <v>79.981316000000007</v>
      </c>
      <c r="V52" s="38" t="s">
        <v>119</v>
      </c>
      <c r="W52" s="38" t="s">
        <v>119</v>
      </c>
      <c r="X52" s="38" t="s">
        <v>119</v>
      </c>
      <c r="Y52" s="38" t="s">
        <v>119</v>
      </c>
      <c r="Z52" s="38" t="s">
        <v>119</v>
      </c>
      <c r="AA52" s="38" t="s">
        <v>119</v>
      </c>
      <c r="AB52" s="38" t="s">
        <v>119</v>
      </c>
      <c r="AC52" s="38" t="s">
        <v>119</v>
      </c>
      <c r="AD52" s="38" t="s">
        <v>119</v>
      </c>
      <c r="AE52" s="38" t="s">
        <v>119</v>
      </c>
      <c r="AF52" s="38" t="s">
        <v>119</v>
      </c>
      <c r="AG52" s="38" t="s">
        <v>119</v>
      </c>
      <c r="AH52" s="38" t="s">
        <v>119</v>
      </c>
      <c r="AI52" s="38" t="s">
        <v>119</v>
      </c>
      <c r="AJ52" s="38" t="s">
        <v>119</v>
      </c>
      <c r="AK52" s="38" t="s">
        <v>119</v>
      </c>
      <c r="AL52" s="38" t="s">
        <v>119</v>
      </c>
      <c r="AM52" s="38" t="s">
        <v>119</v>
      </c>
      <c r="AN52" s="38" t="s">
        <v>119</v>
      </c>
      <c r="AO52" s="38" t="s">
        <v>119</v>
      </c>
      <c r="AP52" s="38" t="s">
        <v>119</v>
      </c>
      <c r="AQ52" s="38" t="s">
        <v>119</v>
      </c>
      <c r="AR52" s="38" t="s">
        <v>119</v>
      </c>
      <c r="AS52" s="38" t="s">
        <v>119</v>
      </c>
      <c r="AT52" s="38" t="s">
        <v>119</v>
      </c>
      <c r="AU52" s="38" t="s">
        <v>119</v>
      </c>
      <c r="AV52" s="38" t="s">
        <v>119</v>
      </c>
      <c r="AW52" s="38" t="s">
        <v>119</v>
      </c>
      <c r="AX52" s="38" t="s">
        <v>119</v>
      </c>
    </row>
    <row r="53" spans="1:50" x14ac:dyDescent="0.45">
      <c r="A53" s="38" t="s">
        <v>171</v>
      </c>
      <c r="B53" s="38">
        <v>52</v>
      </c>
      <c r="C53" s="38" t="s">
        <v>118</v>
      </c>
      <c r="D53" s="38">
        <v>52</v>
      </c>
      <c r="E53" s="38">
        <v>19750</v>
      </c>
      <c r="F53" s="38">
        <f t="shared" si="0"/>
        <v>19.75</v>
      </c>
      <c r="G53" s="38">
        <v>5832343.75</v>
      </c>
      <c r="H53" s="38">
        <f t="shared" si="1"/>
        <v>5.8323437499999997</v>
      </c>
      <c r="I53" s="38">
        <v>2618</v>
      </c>
      <c r="J53" s="38">
        <v>2618</v>
      </c>
      <c r="K53" s="38" t="s">
        <v>119</v>
      </c>
      <c r="L53" s="38" t="s">
        <v>119</v>
      </c>
      <c r="M53" s="38" t="s">
        <v>119</v>
      </c>
      <c r="N53" s="38">
        <v>6.6376670000000004</v>
      </c>
      <c r="O53" s="38" t="s">
        <v>120</v>
      </c>
      <c r="P53" s="38" t="s">
        <v>120</v>
      </c>
      <c r="Q53" s="38" t="s">
        <v>119</v>
      </c>
      <c r="R53" s="38" t="s">
        <v>119</v>
      </c>
      <c r="S53" s="38" t="s">
        <v>119</v>
      </c>
      <c r="T53" s="38">
        <v>69.465508999999997</v>
      </c>
      <c r="U53" s="38">
        <v>79.438334999999995</v>
      </c>
      <c r="V53" s="38" t="s">
        <v>119</v>
      </c>
      <c r="W53" s="38" t="s">
        <v>119</v>
      </c>
      <c r="X53" s="38" t="s">
        <v>119</v>
      </c>
      <c r="Y53" s="38" t="s">
        <v>119</v>
      </c>
      <c r="Z53" s="38" t="s">
        <v>119</v>
      </c>
      <c r="AA53" s="38" t="s">
        <v>119</v>
      </c>
      <c r="AB53" s="38" t="s">
        <v>119</v>
      </c>
      <c r="AC53" s="38" t="s">
        <v>119</v>
      </c>
      <c r="AD53" s="38" t="s">
        <v>119</v>
      </c>
      <c r="AE53" s="38" t="s">
        <v>119</v>
      </c>
      <c r="AF53" s="38" t="s">
        <v>119</v>
      </c>
      <c r="AG53" s="38" t="s">
        <v>119</v>
      </c>
      <c r="AH53" s="38" t="s">
        <v>119</v>
      </c>
      <c r="AI53" s="38" t="s">
        <v>119</v>
      </c>
      <c r="AJ53" s="38" t="s">
        <v>119</v>
      </c>
      <c r="AK53" s="38" t="s">
        <v>119</v>
      </c>
      <c r="AL53" s="38" t="s">
        <v>119</v>
      </c>
      <c r="AM53" s="38" t="s">
        <v>119</v>
      </c>
      <c r="AN53" s="38" t="s">
        <v>119</v>
      </c>
      <c r="AO53" s="38" t="s">
        <v>119</v>
      </c>
      <c r="AP53" s="38" t="s">
        <v>119</v>
      </c>
      <c r="AQ53" s="38" t="s">
        <v>119</v>
      </c>
      <c r="AR53" s="38" t="s">
        <v>119</v>
      </c>
      <c r="AS53" s="38" t="s">
        <v>119</v>
      </c>
      <c r="AT53" s="38" t="s">
        <v>119</v>
      </c>
      <c r="AU53" s="38" t="s">
        <v>119</v>
      </c>
      <c r="AV53" s="38" t="s">
        <v>119</v>
      </c>
      <c r="AW53" s="38" t="s">
        <v>119</v>
      </c>
      <c r="AX53" s="38" t="s">
        <v>119</v>
      </c>
    </row>
    <row r="54" spans="1:50" x14ac:dyDescent="0.45">
      <c r="A54" s="38" t="s">
        <v>172</v>
      </c>
      <c r="B54" s="38">
        <v>53</v>
      </c>
      <c r="C54" s="38" t="s">
        <v>118</v>
      </c>
      <c r="D54" s="38">
        <v>53</v>
      </c>
      <c r="E54" s="38">
        <v>8700</v>
      </c>
      <c r="F54" s="38">
        <f t="shared" si="0"/>
        <v>8.6999999999999993</v>
      </c>
      <c r="G54" s="38">
        <v>1818125</v>
      </c>
      <c r="H54" s="38">
        <f t="shared" si="1"/>
        <v>1.818125</v>
      </c>
      <c r="I54" s="38">
        <v>2619</v>
      </c>
      <c r="J54" s="38">
        <v>2619</v>
      </c>
      <c r="K54" s="38" t="s">
        <v>119</v>
      </c>
      <c r="L54" s="38" t="s">
        <v>119</v>
      </c>
      <c r="M54" s="38" t="s">
        <v>119</v>
      </c>
      <c r="N54" s="38">
        <v>33.491084999999998</v>
      </c>
      <c r="O54" s="38" t="s">
        <v>120</v>
      </c>
      <c r="P54" s="38" t="s">
        <v>120</v>
      </c>
      <c r="Q54" s="38" t="s">
        <v>119</v>
      </c>
      <c r="R54" s="38" t="s">
        <v>119</v>
      </c>
      <c r="S54" s="38" t="s">
        <v>119</v>
      </c>
      <c r="T54" s="38">
        <v>73.690264999999997</v>
      </c>
      <c r="U54" s="38">
        <v>79.490898000000001</v>
      </c>
      <c r="V54" s="38" t="s">
        <v>119</v>
      </c>
      <c r="W54" s="38" t="s">
        <v>119</v>
      </c>
      <c r="X54" s="38" t="s">
        <v>119</v>
      </c>
      <c r="Y54" s="38" t="s">
        <v>119</v>
      </c>
      <c r="Z54" s="38" t="s">
        <v>119</v>
      </c>
      <c r="AA54" s="38" t="s">
        <v>119</v>
      </c>
      <c r="AB54" s="38" t="s">
        <v>119</v>
      </c>
      <c r="AC54" s="38" t="s">
        <v>119</v>
      </c>
      <c r="AD54" s="38" t="s">
        <v>119</v>
      </c>
      <c r="AE54" s="38" t="s">
        <v>119</v>
      </c>
      <c r="AF54" s="38" t="s">
        <v>119</v>
      </c>
      <c r="AG54" s="38" t="s">
        <v>119</v>
      </c>
      <c r="AH54" s="38" t="s">
        <v>119</v>
      </c>
      <c r="AI54" s="38" t="s">
        <v>119</v>
      </c>
      <c r="AJ54" s="38" t="s">
        <v>119</v>
      </c>
      <c r="AK54" s="38" t="s">
        <v>119</v>
      </c>
      <c r="AL54" s="38" t="s">
        <v>119</v>
      </c>
      <c r="AM54" s="38" t="s">
        <v>119</v>
      </c>
      <c r="AN54" s="38" t="s">
        <v>119</v>
      </c>
      <c r="AO54" s="38" t="s">
        <v>119</v>
      </c>
      <c r="AP54" s="38" t="s">
        <v>119</v>
      </c>
      <c r="AQ54" s="38" t="s">
        <v>119</v>
      </c>
      <c r="AR54" s="38" t="s">
        <v>119</v>
      </c>
      <c r="AS54" s="38" t="s">
        <v>119</v>
      </c>
      <c r="AT54" s="38" t="s">
        <v>119</v>
      </c>
      <c r="AU54" s="38" t="s">
        <v>119</v>
      </c>
      <c r="AV54" s="38" t="s">
        <v>119</v>
      </c>
      <c r="AW54" s="38" t="s">
        <v>119</v>
      </c>
      <c r="AX54" s="38" t="s">
        <v>119</v>
      </c>
    </row>
    <row r="55" spans="1:50" x14ac:dyDescent="0.45">
      <c r="A55" s="38" t="s">
        <v>173</v>
      </c>
      <c r="B55" s="38">
        <v>54</v>
      </c>
      <c r="C55" s="38" t="s">
        <v>118</v>
      </c>
      <c r="D55" s="38">
        <v>54</v>
      </c>
      <c r="E55" s="38">
        <v>18275</v>
      </c>
      <c r="F55" s="38">
        <f t="shared" si="0"/>
        <v>18.274999999999999</v>
      </c>
      <c r="G55" s="38">
        <v>5128593.75</v>
      </c>
      <c r="H55" s="38">
        <f t="shared" si="1"/>
        <v>5.1285937500000003</v>
      </c>
      <c r="I55" s="38">
        <v>2620</v>
      </c>
      <c r="J55" s="38">
        <v>2620</v>
      </c>
      <c r="K55" s="38" t="s">
        <v>119</v>
      </c>
      <c r="L55" s="38" t="s">
        <v>119</v>
      </c>
      <c r="M55" s="38" t="s">
        <v>119</v>
      </c>
      <c r="N55" s="38">
        <v>7.3009620000000002</v>
      </c>
      <c r="O55" s="38" t="s">
        <v>120</v>
      </c>
      <c r="P55" s="38" t="s">
        <v>120</v>
      </c>
      <c r="Q55" s="38" t="s">
        <v>119</v>
      </c>
      <c r="R55" s="38" t="s">
        <v>119</v>
      </c>
      <c r="S55" s="38" t="s">
        <v>119</v>
      </c>
      <c r="T55" s="38">
        <v>62.670451999999997</v>
      </c>
      <c r="U55" s="38">
        <v>75.750193999999993</v>
      </c>
      <c r="V55" s="38" t="s">
        <v>119</v>
      </c>
      <c r="W55" s="38" t="s">
        <v>119</v>
      </c>
      <c r="X55" s="38" t="s">
        <v>119</v>
      </c>
      <c r="Y55" s="38" t="s">
        <v>119</v>
      </c>
      <c r="Z55" s="38" t="s">
        <v>119</v>
      </c>
      <c r="AA55" s="38" t="s">
        <v>119</v>
      </c>
      <c r="AB55" s="38" t="s">
        <v>119</v>
      </c>
      <c r="AC55" s="38" t="s">
        <v>119</v>
      </c>
      <c r="AD55" s="38" t="s">
        <v>119</v>
      </c>
      <c r="AE55" s="38" t="s">
        <v>119</v>
      </c>
      <c r="AF55" s="38" t="s">
        <v>119</v>
      </c>
      <c r="AG55" s="38" t="s">
        <v>119</v>
      </c>
      <c r="AH55" s="38" t="s">
        <v>119</v>
      </c>
      <c r="AI55" s="38" t="s">
        <v>119</v>
      </c>
      <c r="AJ55" s="38" t="s">
        <v>119</v>
      </c>
      <c r="AK55" s="38" t="s">
        <v>119</v>
      </c>
      <c r="AL55" s="38" t="s">
        <v>119</v>
      </c>
      <c r="AM55" s="38" t="s">
        <v>119</v>
      </c>
      <c r="AN55" s="38" t="s">
        <v>119</v>
      </c>
      <c r="AO55" s="38" t="s">
        <v>119</v>
      </c>
      <c r="AP55" s="38" t="s">
        <v>119</v>
      </c>
      <c r="AQ55" s="38" t="s">
        <v>119</v>
      </c>
      <c r="AR55" s="38" t="s">
        <v>119</v>
      </c>
      <c r="AS55" s="38" t="s">
        <v>119</v>
      </c>
      <c r="AT55" s="38" t="s">
        <v>119</v>
      </c>
      <c r="AU55" s="38" t="s">
        <v>119</v>
      </c>
      <c r="AV55" s="38" t="s">
        <v>119</v>
      </c>
      <c r="AW55" s="38" t="s">
        <v>119</v>
      </c>
      <c r="AX55" s="38" t="s">
        <v>119</v>
      </c>
    </row>
    <row r="56" spans="1:50" x14ac:dyDescent="0.45">
      <c r="A56" s="38" t="s">
        <v>174</v>
      </c>
      <c r="B56" s="38">
        <v>55</v>
      </c>
      <c r="C56" s="38" t="s">
        <v>118</v>
      </c>
      <c r="D56" s="38">
        <v>55</v>
      </c>
      <c r="E56" s="38">
        <v>16675</v>
      </c>
      <c r="F56" s="38">
        <f t="shared" si="0"/>
        <v>16.675000000000001</v>
      </c>
      <c r="G56" s="38">
        <v>7069218.75</v>
      </c>
      <c r="H56" s="38">
        <f t="shared" si="1"/>
        <v>7.0692187500000001</v>
      </c>
      <c r="I56" s="38">
        <v>2621</v>
      </c>
      <c r="J56" s="38">
        <v>2621</v>
      </c>
      <c r="K56" s="38" t="s">
        <v>119</v>
      </c>
      <c r="L56" s="38" t="s">
        <v>119</v>
      </c>
      <c r="M56" s="38" t="s">
        <v>119</v>
      </c>
      <c r="N56" s="38">
        <v>8.8888540000000003</v>
      </c>
      <c r="O56" s="38" t="s">
        <v>120</v>
      </c>
      <c r="P56" s="38" t="s">
        <v>120</v>
      </c>
      <c r="Q56" s="38" t="s">
        <v>119</v>
      </c>
      <c r="R56" s="38" t="s">
        <v>119</v>
      </c>
      <c r="S56" s="38" t="s">
        <v>119</v>
      </c>
      <c r="T56" s="38">
        <v>74.895214999999993</v>
      </c>
      <c r="U56" s="38">
        <v>80.190946999999994</v>
      </c>
      <c r="V56" s="38" t="s">
        <v>119</v>
      </c>
      <c r="W56" s="38" t="s">
        <v>119</v>
      </c>
      <c r="X56" s="38" t="s">
        <v>119</v>
      </c>
      <c r="Y56" s="38" t="s">
        <v>119</v>
      </c>
      <c r="Z56" s="38" t="s">
        <v>119</v>
      </c>
      <c r="AA56" s="38" t="s">
        <v>119</v>
      </c>
      <c r="AB56" s="38" t="s">
        <v>119</v>
      </c>
      <c r="AC56" s="38" t="s">
        <v>119</v>
      </c>
      <c r="AD56" s="38" t="s">
        <v>119</v>
      </c>
      <c r="AE56" s="38" t="s">
        <v>119</v>
      </c>
      <c r="AF56" s="38" t="s">
        <v>119</v>
      </c>
      <c r="AG56" s="38" t="s">
        <v>119</v>
      </c>
      <c r="AH56" s="38" t="s">
        <v>119</v>
      </c>
      <c r="AI56" s="38" t="s">
        <v>119</v>
      </c>
      <c r="AJ56" s="38" t="s">
        <v>119</v>
      </c>
      <c r="AK56" s="38" t="s">
        <v>119</v>
      </c>
      <c r="AL56" s="38" t="s">
        <v>119</v>
      </c>
      <c r="AM56" s="38" t="s">
        <v>119</v>
      </c>
      <c r="AN56" s="38" t="s">
        <v>119</v>
      </c>
      <c r="AO56" s="38" t="s">
        <v>119</v>
      </c>
      <c r="AP56" s="38" t="s">
        <v>119</v>
      </c>
      <c r="AQ56" s="38" t="s">
        <v>119</v>
      </c>
      <c r="AR56" s="38" t="s">
        <v>119</v>
      </c>
      <c r="AS56" s="38" t="s">
        <v>119</v>
      </c>
      <c r="AT56" s="38" t="s">
        <v>119</v>
      </c>
      <c r="AU56" s="38" t="s">
        <v>119</v>
      </c>
      <c r="AV56" s="38" t="s">
        <v>119</v>
      </c>
      <c r="AW56" s="38" t="s">
        <v>119</v>
      </c>
      <c r="AX56" s="38" t="s">
        <v>119</v>
      </c>
    </row>
    <row r="57" spans="1:50" x14ac:dyDescent="0.45">
      <c r="A57" s="38" t="s">
        <v>175</v>
      </c>
      <c r="B57" s="38">
        <v>56</v>
      </c>
      <c r="C57" s="38" t="s">
        <v>118</v>
      </c>
      <c r="D57" s="38">
        <v>56</v>
      </c>
      <c r="E57" s="38">
        <v>2450</v>
      </c>
      <c r="F57" s="38">
        <f t="shared" si="0"/>
        <v>2.4500000000000002</v>
      </c>
      <c r="G57" s="38">
        <v>205000</v>
      </c>
      <c r="H57" s="38">
        <f t="shared" si="1"/>
        <v>0.20499999999999999</v>
      </c>
      <c r="I57" s="38">
        <v>2622</v>
      </c>
      <c r="J57" s="38">
        <v>2622</v>
      </c>
      <c r="K57" s="38" t="s">
        <v>119</v>
      </c>
      <c r="L57" s="38" t="s">
        <v>119</v>
      </c>
      <c r="M57" s="38" t="s">
        <v>119</v>
      </c>
      <c r="N57" s="38">
        <v>8.7051759999999998</v>
      </c>
      <c r="O57" s="38" t="s">
        <v>120</v>
      </c>
      <c r="P57" s="38" t="s">
        <v>120</v>
      </c>
      <c r="Q57" s="38" t="s">
        <v>119</v>
      </c>
      <c r="R57" s="38" t="s">
        <v>119</v>
      </c>
      <c r="S57" s="38" t="s">
        <v>119</v>
      </c>
      <c r="T57" s="38">
        <v>75.528301999999996</v>
      </c>
      <c r="U57" s="38">
        <v>81.305453</v>
      </c>
      <c r="V57" s="38" t="s">
        <v>119</v>
      </c>
      <c r="W57" s="38" t="s">
        <v>119</v>
      </c>
      <c r="X57" s="38" t="s">
        <v>119</v>
      </c>
      <c r="Y57" s="38" t="s">
        <v>119</v>
      </c>
      <c r="Z57" s="38" t="s">
        <v>119</v>
      </c>
      <c r="AA57" s="38" t="s">
        <v>119</v>
      </c>
      <c r="AB57" s="38" t="s">
        <v>119</v>
      </c>
      <c r="AC57" s="38" t="s">
        <v>119</v>
      </c>
      <c r="AD57" s="38" t="s">
        <v>119</v>
      </c>
      <c r="AE57" s="38" t="s">
        <v>119</v>
      </c>
      <c r="AF57" s="38" t="s">
        <v>119</v>
      </c>
      <c r="AG57" s="38" t="s">
        <v>119</v>
      </c>
      <c r="AH57" s="38" t="s">
        <v>119</v>
      </c>
      <c r="AI57" s="38" t="s">
        <v>119</v>
      </c>
      <c r="AJ57" s="38" t="s">
        <v>119</v>
      </c>
      <c r="AK57" s="38" t="s">
        <v>119</v>
      </c>
      <c r="AL57" s="38" t="s">
        <v>119</v>
      </c>
      <c r="AM57" s="38" t="s">
        <v>119</v>
      </c>
      <c r="AN57" s="38" t="s">
        <v>119</v>
      </c>
      <c r="AO57" s="38" t="s">
        <v>119</v>
      </c>
      <c r="AP57" s="38" t="s">
        <v>119</v>
      </c>
      <c r="AQ57" s="38" t="s">
        <v>119</v>
      </c>
      <c r="AR57" s="38" t="s">
        <v>119</v>
      </c>
      <c r="AS57" s="38" t="s">
        <v>119</v>
      </c>
      <c r="AT57" s="38" t="s">
        <v>119</v>
      </c>
      <c r="AU57" s="38" t="s">
        <v>119</v>
      </c>
      <c r="AV57" s="38" t="s">
        <v>119</v>
      </c>
      <c r="AW57" s="38" t="s">
        <v>119</v>
      </c>
      <c r="AX57" s="38" t="s">
        <v>119</v>
      </c>
    </row>
    <row r="58" spans="1:50" x14ac:dyDescent="0.45">
      <c r="A58" s="38" t="s">
        <v>176</v>
      </c>
      <c r="B58" s="38">
        <v>57</v>
      </c>
      <c r="C58" s="38" t="s">
        <v>118</v>
      </c>
      <c r="D58" s="38">
        <v>57</v>
      </c>
      <c r="E58" s="38">
        <v>4425</v>
      </c>
      <c r="F58" s="38">
        <f t="shared" si="0"/>
        <v>4.4249999999999998</v>
      </c>
      <c r="G58" s="38">
        <v>416093.75</v>
      </c>
      <c r="H58" s="38">
        <f t="shared" si="1"/>
        <v>0.41609374999999998</v>
      </c>
      <c r="I58" s="38">
        <v>2623</v>
      </c>
      <c r="J58" s="38">
        <v>2623</v>
      </c>
      <c r="K58" s="38" t="s">
        <v>119</v>
      </c>
      <c r="L58" s="38" t="s">
        <v>119</v>
      </c>
      <c r="M58" s="38" t="s">
        <v>119</v>
      </c>
      <c r="N58" s="38">
        <v>7.7613640000000004</v>
      </c>
      <c r="O58" s="38" t="s">
        <v>120</v>
      </c>
      <c r="P58" s="38" t="s">
        <v>120</v>
      </c>
      <c r="Q58" s="38" t="s">
        <v>119</v>
      </c>
      <c r="R58" s="38" t="s">
        <v>119</v>
      </c>
      <c r="S58" s="38" t="s">
        <v>119</v>
      </c>
      <c r="T58" s="38">
        <v>79.765625</v>
      </c>
      <c r="U58" s="38">
        <v>79.621925000000005</v>
      </c>
      <c r="V58" s="38" t="s">
        <v>119</v>
      </c>
      <c r="W58" s="38" t="s">
        <v>119</v>
      </c>
      <c r="X58" s="38" t="s">
        <v>119</v>
      </c>
      <c r="Y58" s="38" t="s">
        <v>119</v>
      </c>
      <c r="Z58" s="38" t="s">
        <v>119</v>
      </c>
      <c r="AA58" s="38" t="s">
        <v>119</v>
      </c>
      <c r="AB58" s="38" t="s">
        <v>119</v>
      </c>
      <c r="AC58" s="38" t="s">
        <v>119</v>
      </c>
      <c r="AD58" s="38" t="s">
        <v>119</v>
      </c>
      <c r="AE58" s="38" t="s">
        <v>119</v>
      </c>
      <c r="AF58" s="38" t="s">
        <v>119</v>
      </c>
      <c r="AG58" s="38" t="s">
        <v>119</v>
      </c>
      <c r="AH58" s="38" t="s">
        <v>119</v>
      </c>
      <c r="AI58" s="38" t="s">
        <v>119</v>
      </c>
      <c r="AJ58" s="38" t="s">
        <v>119</v>
      </c>
      <c r="AK58" s="38" t="s">
        <v>119</v>
      </c>
      <c r="AL58" s="38" t="s">
        <v>119</v>
      </c>
      <c r="AM58" s="38" t="s">
        <v>119</v>
      </c>
      <c r="AN58" s="38" t="s">
        <v>119</v>
      </c>
      <c r="AO58" s="38" t="s">
        <v>119</v>
      </c>
      <c r="AP58" s="38" t="s">
        <v>119</v>
      </c>
      <c r="AQ58" s="38" t="s">
        <v>119</v>
      </c>
      <c r="AR58" s="38" t="s">
        <v>119</v>
      </c>
      <c r="AS58" s="38" t="s">
        <v>119</v>
      </c>
      <c r="AT58" s="38" t="s">
        <v>119</v>
      </c>
      <c r="AU58" s="38" t="s">
        <v>119</v>
      </c>
      <c r="AV58" s="38" t="s">
        <v>119</v>
      </c>
      <c r="AW58" s="38" t="s">
        <v>119</v>
      </c>
      <c r="AX58" s="38" t="s">
        <v>119</v>
      </c>
    </row>
    <row r="59" spans="1:50" x14ac:dyDescent="0.45">
      <c r="A59" s="38" t="s">
        <v>177</v>
      </c>
      <c r="B59" s="38">
        <v>58</v>
      </c>
      <c r="C59" s="38" t="s">
        <v>118</v>
      </c>
      <c r="D59" s="38">
        <v>58</v>
      </c>
      <c r="E59" s="38">
        <v>45550</v>
      </c>
      <c r="F59" s="38">
        <f t="shared" si="0"/>
        <v>45.55</v>
      </c>
      <c r="G59" s="38">
        <v>11208906.25</v>
      </c>
      <c r="H59" s="38">
        <f t="shared" si="1"/>
        <v>11.20890625</v>
      </c>
      <c r="I59" s="38">
        <v>2624</v>
      </c>
      <c r="J59" s="38">
        <v>2624</v>
      </c>
      <c r="K59" s="38" t="s">
        <v>119</v>
      </c>
      <c r="L59" s="38" t="s">
        <v>119</v>
      </c>
      <c r="M59" s="38" t="s">
        <v>119</v>
      </c>
      <c r="N59" s="38">
        <v>7.975034</v>
      </c>
      <c r="O59" s="38" t="s">
        <v>120</v>
      </c>
      <c r="P59" s="38" t="s">
        <v>120</v>
      </c>
      <c r="Q59" s="38" t="s">
        <v>119</v>
      </c>
      <c r="R59" s="38" t="s">
        <v>119</v>
      </c>
      <c r="S59" s="38" t="s">
        <v>119</v>
      </c>
      <c r="T59" s="38">
        <v>66.304288999999997</v>
      </c>
      <c r="U59" s="38">
        <v>80.312168999999997</v>
      </c>
      <c r="V59" s="38" t="s">
        <v>119</v>
      </c>
      <c r="W59" s="38" t="s">
        <v>119</v>
      </c>
      <c r="X59" s="38" t="s">
        <v>119</v>
      </c>
      <c r="Y59" s="38" t="s">
        <v>119</v>
      </c>
      <c r="Z59" s="38" t="s">
        <v>119</v>
      </c>
      <c r="AA59" s="38" t="s">
        <v>119</v>
      </c>
      <c r="AB59" s="38" t="s">
        <v>119</v>
      </c>
      <c r="AC59" s="38" t="s">
        <v>119</v>
      </c>
      <c r="AD59" s="38" t="s">
        <v>119</v>
      </c>
      <c r="AE59" s="38" t="s">
        <v>119</v>
      </c>
      <c r="AF59" s="38" t="s">
        <v>119</v>
      </c>
      <c r="AG59" s="38" t="s">
        <v>119</v>
      </c>
      <c r="AH59" s="38" t="s">
        <v>119</v>
      </c>
      <c r="AI59" s="38" t="s">
        <v>119</v>
      </c>
      <c r="AJ59" s="38" t="s">
        <v>119</v>
      </c>
      <c r="AK59" s="38" t="s">
        <v>119</v>
      </c>
      <c r="AL59" s="38" t="s">
        <v>119</v>
      </c>
      <c r="AM59" s="38" t="s">
        <v>119</v>
      </c>
      <c r="AN59" s="38" t="s">
        <v>119</v>
      </c>
      <c r="AO59" s="38" t="s">
        <v>119</v>
      </c>
      <c r="AP59" s="38" t="s">
        <v>119</v>
      </c>
      <c r="AQ59" s="38" t="s">
        <v>119</v>
      </c>
      <c r="AR59" s="38" t="s">
        <v>119</v>
      </c>
      <c r="AS59" s="38" t="s">
        <v>119</v>
      </c>
      <c r="AT59" s="38" t="s">
        <v>119</v>
      </c>
      <c r="AU59" s="38" t="s">
        <v>119</v>
      </c>
      <c r="AV59" s="38" t="s">
        <v>119</v>
      </c>
      <c r="AW59" s="38" t="s">
        <v>119</v>
      </c>
      <c r="AX59" s="38" t="s">
        <v>119</v>
      </c>
    </row>
    <row r="60" spans="1:50" x14ac:dyDescent="0.45">
      <c r="A60" s="38" t="s">
        <v>178</v>
      </c>
      <c r="B60" s="38">
        <v>59</v>
      </c>
      <c r="C60" s="38" t="s">
        <v>118</v>
      </c>
      <c r="D60" s="38">
        <v>59</v>
      </c>
      <c r="E60" s="38">
        <v>19725</v>
      </c>
      <c r="F60" s="38">
        <f t="shared" si="0"/>
        <v>19.725000000000001</v>
      </c>
      <c r="G60" s="38">
        <v>5547343.75</v>
      </c>
      <c r="H60" s="38">
        <f t="shared" si="1"/>
        <v>5.5473437499999996</v>
      </c>
      <c r="I60" s="38">
        <v>2625</v>
      </c>
      <c r="J60" s="38">
        <v>2625</v>
      </c>
      <c r="K60" s="38" t="s">
        <v>119</v>
      </c>
      <c r="L60" s="38" t="s">
        <v>119</v>
      </c>
      <c r="M60" s="38" t="s">
        <v>119</v>
      </c>
      <c r="N60" s="38">
        <v>6.976337</v>
      </c>
      <c r="O60" s="38" t="s">
        <v>120</v>
      </c>
      <c r="P60" s="38" t="s">
        <v>120</v>
      </c>
      <c r="Q60" s="38" t="s">
        <v>119</v>
      </c>
      <c r="R60" s="38" t="s">
        <v>119</v>
      </c>
      <c r="S60" s="38" t="s">
        <v>119</v>
      </c>
      <c r="T60" s="38">
        <v>66.742857000000001</v>
      </c>
      <c r="U60" s="38">
        <v>79.901780000000002</v>
      </c>
      <c r="V60" s="38" t="s">
        <v>119</v>
      </c>
      <c r="W60" s="38" t="s">
        <v>119</v>
      </c>
      <c r="X60" s="38" t="s">
        <v>119</v>
      </c>
      <c r="Y60" s="38" t="s">
        <v>119</v>
      </c>
      <c r="Z60" s="38" t="s">
        <v>119</v>
      </c>
      <c r="AA60" s="38" t="s">
        <v>119</v>
      </c>
      <c r="AB60" s="38" t="s">
        <v>119</v>
      </c>
      <c r="AC60" s="38" t="s">
        <v>119</v>
      </c>
      <c r="AD60" s="38" t="s">
        <v>119</v>
      </c>
      <c r="AE60" s="38" t="s">
        <v>119</v>
      </c>
      <c r="AF60" s="38" t="s">
        <v>119</v>
      </c>
      <c r="AG60" s="38" t="s">
        <v>119</v>
      </c>
      <c r="AH60" s="38" t="s">
        <v>119</v>
      </c>
      <c r="AI60" s="38" t="s">
        <v>119</v>
      </c>
      <c r="AJ60" s="38" t="s">
        <v>119</v>
      </c>
      <c r="AK60" s="38" t="s">
        <v>119</v>
      </c>
      <c r="AL60" s="38" t="s">
        <v>119</v>
      </c>
      <c r="AM60" s="38" t="s">
        <v>119</v>
      </c>
      <c r="AN60" s="38" t="s">
        <v>119</v>
      </c>
      <c r="AO60" s="38" t="s">
        <v>119</v>
      </c>
      <c r="AP60" s="38" t="s">
        <v>119</v>
      </c>
      <c r="AQ60" s="38" t="s">
        <v>119</v>
      </c>
      <c r="AR60" s="38" t="s">
        <v>119</v>
      </c>
      <c r="AS60" s="38" t="s">
        <v>119</v>
      </c>
      <c r="AT60" s="38" t="s">
        <v>119</v>
      </c>
      <c r="AU60" s="38" t="s">
        <v>119</v>
      </c>
      <c r="AV60" s="38" t="s">
        <v>119</v>
      </c>
      <c r="AW60" s="38" t="s">
        <v>119</v>
      </c>
      <c r="AX60" s="38" t="s">
        <v>119</v>
      </c>
    </row>
    <row r="61" spans="1:50" x14ac:dyDescent="0.45">
      <c r="A61" s="38" t="s">
        <v>179</v>
      </c>
      <c r="B61" s="38">
        <v>60</v>
      </c>
      <c r="C61" s="38" t="s">
        <v>118</v>
      </c>
      <c r="D61" s="38">
        <v>60</v>
      </c>
      <c r="E61" s="38">
        <v>13250</v>
      </c>
      <c r="F61" s="38">
        <f t="shared" si="0"/>
        <v>13.25</v>
      </c>
      <c r="G61" s="38">
        <v>5102968.75</v>
      </c>
      <c r="H61" s="38">
        <f t="shared" si="1"/>
        <v>5.1029687499999996</v>
      </c>
      <c r="I61" s="38">
        <v>2626</v>
      </c>
      <c r="J61" s="38">
        <v>2626</v>
      </c>
      <c r="K61" s="38" t="s">
        <v>119</v>
      </c>
      <c r="L61" s="38" t="s">
        <v>119</v>
      </c>
      <c r="M61" s="38" t="s">
        <v>119</v>
      </c>
      <c r="N61" s="38">
        <v>26.438801000000002</v>
      </c>
      <c r="O61" s="38" t="s">
        <v>120</v>
      </c>
      <c r="P61" s="38" t="s">
        <v>120</v>
      </c>
      <c r="Q61" s="38" t="s">
        <v>119</v>
      </c>
      <c r="R61" s="38" t="s">
        <v>119</v>
      </c>
      <c r="S61" s="38" t="s">
        <v>119</v>
      </c>
      <c r="T61" s="38">
        <v>75.352234999999993</v>
      </c>
      <c r="U61" s="38">
        <v>74.907161000000002</v>
      </c>
      <c r="V61" s="38" t="s">
        <v>119</v>
      </c>
      <c r="W61" s="38" t="s">
        <v>119</v>
      </c>
      <c r="X61" s="38" t="s">
        <v>119</v>
      </c>
      <c r="Y61" s="38" t="s">
        <v>119</v>
      </c>
      <c r="Z61" s="38" t="s">
        <v>119</v>
      </c>
      <c r="AA61" s="38" t="s">
        <v>119</v>
      </c>
      <c r="AB61" s="38" t="s">
        <v>119</v>
      </c>
      <c r="AC61" s="38" t="s">
        <v>119</v>
      </c>
      <c r="AD61" s="38" t="s">
        <v>119</v>
      </c>
      <c r="AE61" s="38" t="s">
        <v>119</v>
      </c>
      <c r="AF61" s="38" t="s">
        <v>119</v>
      </c>
      <c r="AG61" s="38" t="s">
        <v>119</v>
      </c>
      <c r="AH61" s="38" t="s">
        <v>119</v>
      </c>
      <c r="AI61" s="38" t="s">
        <v>119</v>
      </c>
      <c r="AJ61" s="38" t="s">
        <v>119</v>
      </c>
      <c r="AK61" s="38" t="s">
        <v>119</v>
      </c>
      <c r="AL61" s="38" t="s">
        <v>119</v>
      </c>
      <c r="AM61" s="38" t="s">
        <v>119</v>
      </c>
      <c r="AN61" s="38" t="s">
        <v>119</v>
      </c>
      <c r="AO61" s="38" t="s">
        <v>119</v>
      </c>
      <c r="AP61" s="38" t="s">
        <v>119</v>
      </c>
      <c r="AQ61" s="38" t="s">
        <v>119</v>
      </c>
      <c r="AR61" s="38" t="s">
        <v>119</v>
      </c>
      <c r="AS61" s="38" t="s">
        <v>119</v>
      </c>
      <c r="AT61" s="38" t="s">
        <v>119</v>
      </c>
      <c r="AU61" s="38" t="s">
        <v>119</v>
      </c>
      <c r="AV61" s="38" t="s">
        <v>119</v>
      </c>
      <c r="AW61" s="38" t="s">
        <v>119</v>
      </c>
      <c r="AX61" s="38" t="s">
        <v>119</v>
      </c>
    </row>
    <row r="62" spans="1:50" x14ac:dyDescent="0.45">
      <c r="A62" s="38" t="s">
        <v>180</v>
      </c>
      <c r="B62" s="38">
        <v>61</v>
      </c>
      <c r="C62" s="38" t="s">
        <v>118</v>
      </c>
      <c r="D62" s="38">
        <v>61</v>
      </c>
      <c r="E62" s="38">
        <v>21025</v>
      </c>
      <c r="F62" s="38">
        <f t="shared" si="0"/>
        <v>21.024999999999999</v>
      </c>
      <c r="G62" s="38">
        <v>5105468.75</v>
      </c>
      <c r="H62" s="38">
        <f t="shared" si="1"/>
        <v>5.10546875</v>
      </c>
      <c r="I62" s="38">
        <v>2627</v>
      </c>
      <c r="J62" s="38">
        <v>2627</v>
      </c>
      <c r="K62" s="38" t="s">
        <v>119</v>
      </c>
      <c r="L62" s="38" t="s">
        <v>119</v>
      </c>
      <c r="M62" s="38" t="s">
        <v>119</v>
      </c>
      <c r="N62" s="38">
        <v>9.3246760000000002</v>
      </c>
      <c r="O62" s="38" t="s">
        <v>120</v>
      </c>
      <c r="P62" s="38" t="s">
        <v>120</v>
      </c>
      <c r="Q62" s="38" t="s">
        <v>119</v>
      </c>
      <c r="R62" s="38" t="s">
        <v>119</v>
      </c>
      <c r="S62" s="38" t="s">
        <v>119</v>
      </c>
      <c r="T62" s="38">
        <v>68.199926000000005</v>
      </c>
      <c r="U62" s="38">
        <v>73.259491999999995</v>
      </c>
      <c r="V62" s="38" t="s">
        <v>119</v>
      </c>
      <c r="W62" s="38" t="s">
        <v>119</v>
      </c>
      <c r="X62" s="38" t="s">
        <v>119</v>
      </c>
      <c r="Y62" s="38" t="s">
        <v>119</v>
      </c>
      <c r="Z62" s="38" t="s">
        <v>119</v>
      </c>
      <c r="AA62" s="38" t="s">
        <v>119</v>
      </c>
      <c r="AB62" s="38" t="s">
        <v>119</v>
      </c>
      <c r="AC62" s="38" t="s">
        <v>119</v>
      </c>
      <c r="AD62" s="38" t="s">
        <v>119</v>
      </c>
      <c r="AE62" s="38" t="s">
        <v>119</v>
      </c>
      <c r="AF62" s="38" t="s">
        <v>119</v>
      </c>
      <c r="AG62" s="38" t="s">
        <v>119</v>
      </c>
      <c r="AH62" s="38" t="s">
        <v>119</v>
      </c>
      <c r="AI62" s="38" t="s">
        <v>119</v>
      </c>
      <c r="AJ62" s="38" t="s">
        <v>119</v>
      </c>
      <c r="AK62" s="38" t="s">
        <v>119</v>
      </c>
      <c r="AL62" s="38" t="s">
        <v>119</v>
      </c>
      <c r="AM62" s="38" t="s">
        <v>119</v>
      </c>
      <c r="AN62" s="38" t="s">
        <v>119</v>
      </c>
      <c r="AO62" s="38" t="s">
        <v>119</v>
      </c>
      <c r="AP62" s="38" t="s">
        <v>119</v>
      </c>
      <c r="AQ62" s="38" t="s">
        <v>119</v>
      </c>
      <c r="AR62" s="38" t="s">
        <v>119</v>
      </c>
      <c r="AS62" s="38" t="s">
        <v>119</v>
      </c>
      <c r="AT62" s="38" t="s">
        <v>119</v>
      </c>
      <c r="AU62" s="38" t="s">
        <v>119</v>
      </c>
      <c r="AV62" s="38" t="s">
        <v>119</v>
      </c>
      <c r="AW62" s="38" t="s">
        <v>119</v>
      </c>
      <c r="AX62" s="38" t="s">
        <v>119</v>
      </c>
    </row>
    <row r="63" spans="1:50" x14ac:dyDescent="0.45">
      <c r="A63" s="38" t="s">
        <v>181</v>
      </c>
      <c r="B63" s="38">
        <v>62</v>
      </c>
      <c r="C63" s="38" t="s">
        <v>118</v>
      </c>
      <c r="D63" s="38">
        <v>62</v>
      </c>
      <c r="E63" s="38">
        <v>15650</v>
      </c>
      <c r="F63" s="38">
        <f t="shared" si="0"/>
        <v>15.65</v>
      </c>
      <c r="G63" s="38">
        <v>3420781.25</v>
      </c>
      <c r="H63" s="38">
        <f t="shared" si="1"/>
        <v>3.4207812500000001</v>
      </c>
      <c r="I63" s="38">
        <v>2628</v>
      </c>
      <c r="J63" s="38">
        <v>2628</v>
      </c>
      <c r="K63" s="38" t="s">
        <v>119</v>
      </c>
      <c r="L63" s="38" t="s">
        <v>119</v>
      </c>
      <c r="M63" s="38" t="s">
        <v>119</v>
      </c>
      <c r="N63" s="38">
        <v>6.8251169999999997</v>
      </c>
      <c r="O63" s="38" t="s">
        <v>120</v>
      </c>
      <c r="P63" s="38" t="s">
        <v>120</v>
      </c>
      <c r="Q63" s="38" t="s">
        <v>119</v>
      </c>
      <c r="R63" s="38" t="s">
        <v>119</v>
      </c>
      <c r="S63" s="38" t="s">
        <v>119</v>
      </c>
      <c r="T63" s="38">
        <v>54.532983999999999</v>
      </c>
      <c r="U63" s="38">
        <v>79.932312999999994</v>
      </c>
      <c r="V63" s="38" t="s">
        <v>119</v>
      </c>
      <c r="W63" s="38" t="s">
        <v>119</v>
      </c>
      <c r="X63" s="38" t="s">
        <v>119</v>
      </c>
      <c r="Y63" s="38" t="s">
        <v>119</v>
      </c>
      <c r="Z63" s="38" t="s">
        <v>119</v>
      </c>
      <c r="AA63" s="38" t="s">
        <v>119</v>
      </c>
      <c r="AB63" s="38" t="s">
        <v>119</v>
      </c>
      <c r="AC63" s="38" t="s">
        <v>119</v>
      </c>
      <c r="AD63" s="38" t="s">
        <v>119</v>
      </c>
      <c r="AE63" s="38" t="s">
        <v>119</v>
      </c>
      <c r="AF63" s="38" t="s">
        <v>119</v>
      </c>
      <c r="AG63" s="38" t="s">
        <v>119</v>
      </c>
      <c r="AH63" s="38" t="s">
        <v>119</v>
      </c>
      <c r="AI63" s="38" t="s">
        <v>119</v>
      </c>
      <c r="AJ63" s="38" t="s">
        <v>119</v>
      </c>
      <c r="AK63" s="38" t="s">
        <v>119</v>
      </c>
      <c r="AL63" s="38" t="s">
        <v>119</v>
      </c>
      <c r="AM63" s="38" t="s">
        <v>119</v>
      </c>
      <c r="AN63" s="38" t="s">
        <v>119</v>
      </c>
      <c r="AO63" s="38" t="s">
        <v>119</v>
      </c>
      <c r="AP63" s="38" t="s">
        <v>119</v>
      </c>
      <c r="AQ63" s="38" t="s">
        <v>119</v>
      </c>
      <c r="AR63" s="38" t="s">
        <v>119</v>
      </c>
      <c r="AS63" s="38" t="s">
        <v>119</v>
      </c>
      <c r="AT63" s="38" t="s">
        <v>119</v>
      </c>
      <c r="AU63" s="38" t="s">
        <v>119</v>
      </c>
      <c r="AV63" s="38" t="s">
        <v>119</v>
      </c>
      <c r="AW63" s="38" t="s">
        <v>119</v>
      </c>
      <c r="AX63" s="38" t="s">
        <v>119</v>
      </c>
    </row>
    <row r="64" spans="1:50" x14ac:dyDescent="0.45">
      <c r="A64" s="38" t="s">
        <v>182</v>
      </c>
      <c r="B64" s="38">
        <v>63</v>
      </c>
      <c r="C64" s="38" t="s">
        <v>118</v>
      </c>
      <c r="D64" s="38">
        <v>63</v>
      </c>
      <c r="E64" s="38">
        <v>49425</v>
      </c>
      <c r="F64" s="38">
        <f t="shared" si="0"/>
        <v>49.424999999999997</v>
      </c>
      <c r="G64" s="38">
        <v>36631875</v>
      </c>
      <c r="H64" s="38">
        <f t="shared" si="1"/>
        <v>36.631875000000001</v>
      </c>
      <c r="I64" s="38">
        <v>2629</v>
      </c>
      <c r="J64" s="38">
        <v>2629</v>
      </c>
      <c r="K64" s="38" t="s">
        <v>119</v>
      </c>
      <c r="L64" s="38" t="s">
        <v>119</v>
      </c>
      <c r="M64" s="38" t="s">
        <v>119</v>
      </c>
      <c r="N64" s="38">
        <v>30.126864999999999</v>
      </c>
      <c r="O64" s="38" t="s">
        <v>120</v>
      </c>
      <c r="P64" s="38" t="s">
        <v>120</v>
      </c>
      <c r="Q64" s="38" t="s">
        <v>119</v>
      </c>
      <c r="R64" s="38" t="s">
        <v>119</v>
      </c>
      <c r="S64" s="38" t="s">
        <v>119</v>
      </c>
      <c r="T64" s="38">
        <v>73.597527999999997</v>
      </c>
      <c r="U64" s="38">
        <v>77.939561999999995</v>
      </c>
      <c r="V64" s="38" t="s">
        <v>119</v>
      </c>
      <c r="W64" s="38" t="s">
        <v>119</v>
      </c>
      <c r="X64" s="38" t="s">
        <v>119</v>
      </c>
      <c r="Y64" s="38" t="s">
        <v>119</v>
      </c>
      <c r="Z64" s="38" t="s">
        <v>119</v>
      </c>
      <c r="AA64" s="38" t="s">
        <v>119</v>
      </c>
      <c r="AB64" s="38" t="s">
        <v>119</v>
      </c>
      <c r="AC64" s="38" t="s">
        <v>119</v>
      </c>
      <c r="AD64" s="38" t="s">
        <v>119</v>
      </c>
      <c r="AE64" s="38" t="s">
        <v>119</v>
      </c>
      <c r="AF64" s="38" t="s">
        <v>119</v>
      </c>
      <c r="AG64" s="38" t="s">
        <v>119</v>
      </c>
      <c r="AH64" s="38" t="s">
        <v>119</v>
      </c>
      <c r="AI64" s="38" t="s">
        <v>119</v>
      </c>
      <c r="AJ64" s="38" t="s">
        <v>119</v>
      </c>
      <c r="AK64" s="38" t="s">
        <v>119</v>
      </c>
      <c r="AL64" s="38" t="s">
        <v>119</v>
      </c>
      <c r="AM64" s="38" t="s">
        <v>119</v>
      </c>
      <c r="AN64" s="38" t="s">
        <v>119</v>
      </c>
      <c r="AO64" s="38" t="s">
        <v>119</v>
      </c>
      <c r="AP64" s="38" t="s">
        <v>119</v>
      </c>
      <c r="AQ64" s="38" t="s">
        <v>119</v>
      </c>
      <c r="AR64" s="38" t="s">
        <v>119</v>
      </c>
      <c r="AS64" s="38" t="s">
        <v>119</v>
      </c>
      <c r="AT64" s="38" t="s">
        <v>119</v>
      </c>
      <c r="AU64" s="38" t="s">
        <v>119</v>
      </c>
      <c r="AV64" s="38" t="s">
        <v>119</v>
      </c>
      <c r="AW64" s="38" t="s">
        <v>119</v>
      </c>
      <c r="AX64" s="38" t="s">
        <v>119</v>
      </c>
    </row>
    <row r="65" spans="1:50" x14ac:dyDescent="0.45">
      <c r="A65" s="38" t="s">
        <v>183</v>
      </c>
      <c r="B65" s="38">
        <v>64</v>
      </c>
      <c r="C65" s="38" t="s">
        <v>118</v>
      </c>
      <c r="D65" s="38">
        <v>64</v>
      </c>
      <c r="E65" s="38">
        <v>15525</v>
      </c>
      <c r="F65" s="38">
        <f t="shared" si="0"/>
        <v>15.525</v>
      </c>
      <c r="G65" s="38">
        <v>2815156.25</v>
      </c>
      <c r="H65" s="38">
        <f t="shared" si="1"/>
        <v>2.8151562499999998</v>
      </c>
      <c r="I65" s="38">
        <v>2630</v>
      </c>
      <c r="J65" s="38">
        <v>2630</v>
      </c>
      <c r="K65" s="38" t="s">
        <v>119</v>
      </c>
      <c r="L65" s="38" t="s">
        <v>119</v>
      </c>
      <c r="M65" s="38" t="s">
        <v>119</v>
      </c>
      <c r="N65" s="38">
        <v>7.1285540000000003</v>
      </c>
      <c r="O65" s="38" t="s">
        <v>120</v>
      </c>
      <c r="P65" s="38" t="s">
        <v>120</v>
      </c>
      <c r="Q65" s="38" t="s">
        <v>119</v>
      </c>
      <c r="R65" s="38" t="s">
        <v>119</v>
      </c>
      <c r="S65" s="38" t="s">
        <v>119</v>
      </c>
      <c r="T65" s="38">
        <v>67.614739999999998</v>
      </c>
      <c r="U65" s="38">
        <v>79.756471000000005</v>
      </c>
      <c r="V65" s="38" t="s">
        <v>119</v>
      </c>
      <c r="W65" s="38" t="s">
        <v>119</v>
      </c>
      <c r="X65" s="38" t="s">
        <v>119</v>
      </c>
      <c r="Y65" s="38" t="s">
        <v>119</v>
      </c>
      <c r="Z65" s="38" t="s">
        <v>119</v>
      </c>
      <c r="AA65" s="38" t="s">
        <v>119</v>
      </c>
      <c r="AB65" s="38" t="s">
        <v>119</v>
      </c>
      <c r="AC65" s="38" t="s">
        <v>119</v>
      </c>
      <c r="AD65" s="38" t="s">
        <v>119</v>
      </c>
      <c r="AE65" s="38" t="s">
        <v>119</v>
      </c>
      <c r="AF65" s="38" t="s">
        <v>119</v>
      </c>
      <c r="AG65" s="38" t="s">
        <v>119</v>
      </c>
      <c r="AH65" s="38" t="s">
        <v>119</v>
      </c>
      <c r="AI65" s="38" t="s">
        <v>119</v>
      </c>
      <c r="AJ65" s="38" t="s">
        <v>119</v>
      </c>
      <c r="AK65" s="38" t="s">
        <v>119</v>
      </c>
      <c r="AL65" s="38" t="s">
        <v>119</v>
      </c>
      <c r="AM65" s="38" t="s">
        <v>119</v>
      </c>
      <c r="AN65" s="38" t="s">
        <v>119</v>
      </c>
      <c r="AO65" s="38" t="s">
        <v>119</v>
      </c>
      <c r="AP65" s="38" t="s">
        <v>119</v>
      </c>
      <c r="AQ65" s="38" t="s">
        <v>119</v>
      </c>
      <c r="AR65" s="38" t="s">
        <v>119</v>
      </c>
      <c r="AS65" s="38" t="s">
        <v>119</v>
      </c>
      <c r="AT65" s="38" t="s">
        <v>119</v>
      </c>
      <c r="AU65" s="38" t="s">
        <v>119</v>
      </c>
      <c r="AV65" s="38" t="s">
        <v>119</v>
      </c>
      <c r="AW65" s="38" t="s">
        <v>119</v>
      </c>
      <c r="AX65" s="38" t="s">
        <v>119</v>
      </c>
    </row>
    <row r="66" spans="1:50" x14ac:dyDescent="0.45">
      <c r="A66" s="38" t="s">
        <v>184</v>
      </c>
      <c r="B66" s="38">
        <v>65</v>
      </c>
      <c r="C66" s="38" t="s">
        <v>118</v>
      </c>
      <c r="D66" s="38">
        <v>65</v>
      </c>
      <c r="E66" s="38">
        <v>19850</v>
      </c>
      <c r="F66" s="38">
        <f t="shared" si="0"/>
        <v>19.850000000000001</v>
      </c>
      <c r="G66" s="38">
        <v>7904218.75</v>
      </c>
      <c r="H66" s="38">
        <f t="shared" si="1"/>
        <v>7.9042187500000001</v>
      </c>
      <c r="I66" s="38">
        <v>2631</v>
      </c>
      <c r="J66" s="38">
        <v>2631</v>
      </c>
      <c r="K66" s="38" t="s">
        <v>119</v>
      </c>
      <c r="L66" s="38" t="s">
        <v>119</v>
      </c>
      <c r="M66" s="38" t="s">
        <v>119</v>
      </c>
      <c r="N66" s="38">
        <v>52.710590000000003</v>
      </c>
      <c r="O66" s="38" t="s">
        <v>120</v>
      </c>
      <c r="P66" s="38" t="s">
        <v>120</v>
      </c>
      <c r="Q66" s="38" t="s">
        <v>119</v>
      </c>
      <c r="R66" s="38" t="s">
        <v>119</v>
      </c>
      <c r="S66" s="38" t="s">
        <v>119</v>
      </c>
      <c r="T66" s="38">
        <v>78.413315999999995</v>
      </c>
      <c r="U66" s="38">
        <v>79.596563000000003</v>
      </c>
      <c r="V66" s="38" t="s">
        <v>119</v>
      </c>
      <c r="W66" s="38" t="s">
        <v>119</v>
      </c>
      <c r="X66" s="38" t="s">
        <v>119</v>
      </c>
      <c r="Y66" s="38" t="s">
        <v>119</v>
      </c>
      <c r="Z66" s="38" t="s">
        <v>119</v>
      </c>
      <c r="AA66" s="38" t="s">
        <v>119</v>
      </c>
      <c r="AB66" s="38" t="s">
        <v>119</v>
      </c>
      <c r="AC66" s="38" t="s">
        <v>119</v>
      </c>
      <c r="AD66" s="38" t="s">
        <v>119</v>
      </c>
      <c r="AE66" s="38" t="s">
        <v>119</v>
      </c>
      <c r="AF66" s="38" t="s">
        <v>119</v>
      </c>
      <c r="AG66" s="38" t="s">
        <v>119</v>
      </c>
      <c r="AH66" s="38" t="s">
        <v>119</v>
      </c>
      <c r="AI66" s="38" t="s">
        <v>119</v>
      </c>
      <c r="AJ66" s="38" t="s">
        <v>119</v>
      </c>
      <c r="AK66" s="38" t="s">
        <v>119</v>
      </c>
      <c r="AL66" s="38" t="s">
        <v>119</v>
      </c>
      <c r="AM66" s="38" t="s">
        <v>119</v>
      </c>
      <c r="AN66" s="38" t="s">
        <v>119</v>
      </c>
      <c r="AO66" s="38" t="s">
        <v>119</v>
      </c>
      <c r="AP66" s="38" t="s">
        <v>119</v>
      </c>
      <c r="AQ66" s="38" t="s">
        <v>119</v>
      </c>
      <c r="AR66" s="38" t="s">
        <v>119</v>
      </c>
      <c r="AS66" s="38" t="s">
        <v>119</v>
      </c>
      <c r="AT66" s="38" t="s">
        <v>119</v>
      </c>
      <c r="AU66" s="38" t="s">
        <v>119</v>
      </c>
      <c r="AV66" s="38" t="s">
        <v>119</v>
      </c>
      <c r="AW66" s="38" t="s">
        <v>119</v>
      </c>
      <c r="AX66" s="38" t="s">
        <v>119</v>
      </c>
    </row>
    <row r="67" spans="1:50" x14ac:dyDescent="0.45">
      <c r="A67" s="38" t="s">
        <v>185</v>
      </c>
      <c r="B67" s="38">
        <v>66</v>
      </c>
      <c r="C67" s="38" t="s">
        <v>118</v>
      </c>
      <c r="D67" s="38">
        <v>66</v>
      </c>
      <c r="E67" s="38">
        <v>61125</v>
      </c>
      <c r="F67" s="38">
        <f t="shared" ref="F67:F130" si="2">E67/1000</f>
        <v>61.125</v>
      </c>
      <c r="G67" s="38">
        <v>19107343.75</v>
      </c>
      <c r="H67" s="38">
        <f t="shared" ref="H67:H130" si="3">G67/(1000*1000)</f>
        <v>19.107343749999998</v>
      </c>
      <c r="I67" s="38">
        <v>2632</v>
      </c>
      <c r="J67" s="38">
        <v>2632</v>
      </c>
      <c r="K67" s="38" t="s">
        <v>119</v>
      </c>
      <c r="L67" s="38" t="s">
        <v>119</v>
      </c>
      <c r="M67" s="38" t="s">
        <v>119</v>
      </c>
      <c r="N67" s="38">
        <v>7.73095</v>
      </c>
      <c r="O67" s="38" t="s">
        <v>120</v>
      </c>
      <c r="P67" s="38" t="s">
        <v>120</v>
      </c>
      <c r="Q67" s="38" t="s">
        <v>119</v>
      </c>
      <c r="R67" s="38" t="s">
        <v>119</v>
      </c>
      <c r="S67" s="38" t="s">
        <v>119</v>
      </c>
      <c r="T67" s="38">
        <v>55.069662000000001</v>
      </c>
      <c r="U67" s="38">
        <v>80.368600000000001</v>
      </c>
      <c r="V67" s="38" t="s">
        <v>119</v>
      </c>
      <c r="W67" s="38" t="s">
        <v>119</v>
      </c>
      <c r="X67" s="38" t="s">
        <v>119</v>
      </c>
      <c r="Y67" s="38" t="s">
        <v>119</v>
      </c>
      <c r="Z67" s="38" t="s">
        <v>119</v>
      </c>
      <c r="AA67" s="38" t="s">
        <v>119</v>
      </c>
      <c r="AB67" s="38" t="s">
        <v>119</v>
      </c>
      <c r="AC67" s="38" t="s">
        <v>119</v>
      </c>
      <c r="AD67" s="38" t="s">
        <v>119</v>
      </c>
      <c r="AE67" s="38" t="s">
        <v>119</v>
      </c>
      <c r="AF67" s="38" t="s">
        <v>119</v>
      </c>
      <c r="AG67" s="38" t="s">
        <v>119</v>
      </c>
      <c r="AH67" s="38" t="s">
        <v>119</v>
      </c>
      <c r="AI67" s="38" t="s">
        <v>119</v>
      </c>
      <c r="AJ67" s="38" t="s">
        <v>119</v>
      </c>
      <c r="AK67" s="38" t="s">
        <v>119</v>
      </c>
      <c r="AL67" s="38" t="s">
        <v>119</v>
      </c>
      <c r="AM67" s="38" t="s">
        <v>119</v>
      </c>
      <c r="AN67" s="38" t="s">
        <v>119</v>
      </c>
      <c r="AO67" s="38" t="s">
        <v>119</v>
      </c>
      <c r="AP67" s="38" t="s">
        <v>119</v>
      </c>
      <c r="AQ67" s="38" t="s">
        <v>119</v>
      </c>
      <c r="AR67" s="38" t="s">
        <v>119</v>
      </c>
      <c r="AS67" s="38" t="s">
        <v>119</v>
      </c>
      <c r="AT67" s="38" t="s">
        <v>119</v>
      </c>
      <c r="AU67" s="38" t="s">
        <v>119</v>
      </c>
      <c r="AV67" s="38" t="s">
        <v>119</v>
      </c>
      <c r="AW67" s="38" t="s">
        <v>119</v>
      </c>
      <c r="AX67" s="38" t="s">
        <v>119</v>
      </c>
    </row>
    <row r="68" spans="1:50" x14ac:dyDescent="0.45">
      <c r="A68" s="38" t="s">
        <v>186</v>
      </c>
      <c r="B68" s="38">
        <v>67</v>
      </c>
      <c r="C68" s="38" t="s">
        <v>118</v>
      </c>
      <c r="D68" s="38">
        <v>67</v>
      </c>
      <c r="E68" s="38">
        <v>26100</v>
      </c>
      <c r="F68" s="38">
        <f t="shared" si="2"/>
        <v>26.1</v>
      </c>
      <c r="G68" s="38">
        <v>5998906.25</v>
      </c>
      <c r="H68" s="38">
        <f t="shared" si="3"/>
        <v>5.9989062500000001</v>
      </c>
      <c r="I68" s="38">
        <v>2633</v>
      </c>
      <c r="J68" s="38">
        <v>2633</v>
      </c>
      <c r="K68" s="38" t="s">
        <v>119</v>
      </c>
      <c r="L68" s="38" t="s">
        <v>119</v>
      </c>
      <c r="M68" s="38" t="s">
        <v>119</v>
      </c>
      <c r="N68" s="38">
        <v>5.2095789999999997</v>
      </c>
      <c r="O68" s="38" t="s">
        <v>120</v>
      </c>
      <c r="P68" s="38" t="s">
        <v>120</v>
      </c>
      <c r="Q68" s="38" t="s">
        <v>119</v>
      </c>
      <c r="R68" s="38" t="s">
        <v>119</v>
      </c>
      <c r="S68" s="38" t="s">
        <v>119</v>
      </c>
      <c r="T68" s="38">
        <v>55.405175</v>
      </c>
      <c r="U68" s="38">
        <v>79.858288999999999</v>
      </c>
      <c r="V68" s="38" t="s">
        <v>119</v>
      </c>
      <c r="W68" s="38" t="s">
        <v>119</v>
      </c>
      <c r="X68" s="38" t="s">
        <v>119</v>
      </c>
      <c r="Y68" s="38" t="s">
        <v>119</v>
      </c>
      <c r="Z68" s="38" t="s">
        <v>119</v>
      </c>
      <c r="AA68" s="38" t="s">
        <v>119</v>
      </c>
      <c r="AB68" s="38" t="s">
        <v>119</v>
      </c>
      <c r="AC68" s="38" t="s">
        <v>119</v>
      </c>
      <c r="AD68" s="38" t="s">
        <v>119</v>
      </c>
      <c r="AE68" s="38" t="s">
        <v>119</v>
      </c>
      <c r="AF68" s="38" t="s">
        <v>119</v>
      </c>
      <c r="AG68" s="38" t="s">
        <v>119</v>
      </c>
      <c r="AH68" s="38" t="s">
        <v>119</v>
      </c>
      <c r="AI68" s="38" t="s">
        <v>119</v>
      </c>
      <c r="AJ68" s="38" t="s">
        <v>119</v>
      </c>
      <c r="AK68" s="38" t="s">
        <v>119</v>
      </c>
      <c r="AL68" s="38" t="s">
        <v>119</v>
      </c>
      <c r="AM68" s="38" t="s">
        <v>119</v>
      </c>
      <c r="AN68" s="38" t="s">
        <v>119</v>
      </c>
      <c r="AO68" s="38" t="s">
        <v>119</v>
      </c>
      <c r="AP68" s="38" t="s">
        <v>119</v>
      </c>
      <c r="AQ68" s="38" t="s">
        <v>119</v>
      </c>
      <c r="AR68" s="38" t="s">
        <v>119</v>
      </c>
      <c r="AS68" s="38" t="s">
        <v>119</v>
      </c>
      <c r="AT68" s="38" t="s">
        <v>119</v>
      </c>
      <c r="AU68" s="38" t="s">
        <v>119</v>
      </c>
      <c r="AV68" s="38" t="s">
        <v>119</v>
      </c>
      <c r="AW68" s="38" t="s">
        <v>119</v>
      </c>
      <c r="AX68" s="38" t="s">
        <v>119</v>
      </c>
    </row>
    <row r="69" spans="1:50" x14ac:dyDescent="0.45">
      <c r="A69" s="38" t="s">
        <v>187</v>
      </c>
      <c r="B69" s="38">
        <v>68</v>
      </c>
      <c r="C69" s="38" t="s">
        <v>118</v>
      </c>
      <c r="D69" s="38">
        <v>68</v>
      </c>
      <c r="E69" s="38">
        <v>8400</v>
      </c>
      <c r="F69" s="38">
        <f t="shared" si="2"/>
        <v>8.4</v>
      </c>
      <c r="G69" s="38">
        <v>1150625</v>
      </c>
      <c r="H69" s="38">
        <f t="shared" si="3"/>
        <v>1.150625</v>
      </c>
      <c r="I69" s="38">
        <v>2634</v>
      </c>
      <c r="J69" s="38">
        <v>2634</v>
      </c>
      <c r="K69" s="38" t="s">
        <v>119</v>
      </c>
      <c r="L69" s="38" t="s">
        <v>119</v>
      </c>
      <c r="M69" s="38" t="s">
        <v>119</v>
      </c>
      <c r="N69" s="38">
        <v>6.5790009999999999</v>
      </c>
      <c r="O69" s="38" t="s">
        <v>120</v>
      </c>
      <c r="P69" s="38" t="s">
        <v>120</v>
      </c>
      <c r="Q69" s="38" t="s">
        <v>119</v>
      </c>
      <c r="R69" s="38" t="s">
        <v>119</v>
      </c>
      <c r="S69" s="38" t="s">
        <v>119</v>
      </c>
      <c r="T69" s="38">
        <v>64.144110999999995</v>
      </c>
      <c r="U69" s="38">
        <v>81.104675999999998</v>
      </c>
      <c r="V69" s="38" t="s">
        <v>119</v>
      </c>
      <c r="W69" s="38" t="s">
        <v>119</v>
      </c>
      <c r="X69" s="38" t="s">
        <v>119</v>
      </c>
      <c r="Y69" s="38" t="s">
        <v>119</v>
      </c>
      <c r="Z69" s="38" t="s">
        <v>119</v>
      </c>
      <c r="AA69" s="38" t="s">
        <v>119</v>
      </c>
      <c r="AB69" s="38" t="s">
        <v>119</v>
      </c>
      <c r="AC69" s="38" t="s">
        <v>119</v>
      </c>
      <c r="AD69" s="38" t="s">
        <v>119</v>
      </c>
      <c r="AE69" s="38" t="s">
        <v>119</v>
      </c>
      <c r="AF69" s="38" t="s">
        <v>119</v>
      </c>
      <c r="AG69" s="38" t="s">
        <v>119</v>
      </c>
      <c r="AH69" s="38" t="s">
        <v>119</v>
      </c>
      <c r="AI69" s="38" t="s">
        <v>119</v>
      </c>
      <c r="AJ69" s="38" t="s">
        <v>119</v>
      </c>
      <c r="AK69" s="38" t="s">
        <v>119</v>
      </c>
      <c r="AL69" s="38" t="s">
        <v>119</v>
      </c>
      <c r="AM69" s="38" t="s">
        <v>119</v>
      </c>
      <c r="AN69" s="38" t="s">
        <v>119</v>
      </c>
      <c r="AO69" s="38" t="s">
        <v>119</v>
      </c>
      <c r="AP69" s="38" t="s">
        <v>119</v>
      </c>
      <c r="AQ69" s="38" t="s">
        <v>119</v>
      </c>
      <c r="AR69" s="38" t="s">
        <v>119</v>
      </c>
      <c r="AS69" s="38" t="s">
        <v>119</v>
      </c>
      <c r="AT69" s="38" t="s">
        <v>119</v>
      </c>
      <c r="AU69" s="38" t="s">
        <v>119</v>
      </c>
      <c r="AV69" s="38" t="s">
        <v>119</v>
      </c>
      <c r="AW69" s="38" t="s">
        <v>119</v>
      </c>
      <c r="AX69" s="38" t="s">
        <v>119</v>
      </c>
    </row>
    <row r="70" spans="1:50" x14ac:dyDescent="0.45">
      <c r="A70" s="38" t="s">
        <v>188</v>
      </c>
      <c r="B70" s="38">
        <v>69</v>
      </c>
      <c r="C70" s="38" t="s">
        <v>118</v>
      </c>
      <c r="D70" s="38">
        <v>69</v>
      </c>
      <c r="E70" s="38">
        <v>7400</v>
      </c>
      <c r="F70" s="38">
        <f t="shared" si="2"/>
        <v>7.4</v>
      </c>
      <c r="G70" s="38">
        <v>946093.75</v>
      </c>
      <c r="H70" s="38">
        <f t="shared" si="3"/>
        <v>0.94609374999999996</v>
      </c>
      <c r="I70" s="38">
        <v>2635</v>
      </c>
      <c r="J70" s="38">
        <v>2635</v>
      </c>
      <c r="K70" s="38" t="s">
        <v>119</v>
      </c>
      <c r="L70" s="38" t="s">
        <v>119</v>
      </c>
      <c r="M70" s="38" t="s">
        <v>119</v>
      </c>
      <c r="N70" s="38">
        <v>5.4957010000000004</v>
      </c>
      <c r="O70" s="38" t="s">
        <v>120</v>
      </c>
      <c r="P70" s="38" t="s">
        <v>120</v>
      </c>
      <c r="Q70" s="38" t="s">
        <v>119</v>
      </c>
      <c r="R70" s="38" t="s">
        <v>119</v>
      </c>
      <c r="S70" s="38" t="s">
        <v>119</v>
      </c>
      <c r="T70" s="38">
        <v>60.287725000000002</v>
      </c>
      <c r="U70" s="38">
        <v>80.891887999999994</v>
      </c>
      <c r="V70" s="38" t="s">
        <v>119</v>
      </c>
      <c r="W70" s="38" t="s">
        <v>119</v>
      </c>
      <c r="X70" s="38" t="s">
        <v>119</v>
      </c>
      <c r="Y70" s="38" t="s">
        <v>119</v>
      </c>
      <c r="Z70" s="38" t="s">
        <v>119</v>
      </c>
      <c r="AA70" s="38" t="s">
        <v>119</v>
      </c>
      <c r="AB70" s="38" t="s">
        <v>119</v>
      </c>
      <c r="AC70" s="38" t="s">
        <v>119</v>
      </c>
      <c r="AD70" s="38" t="s">
        <v>119</v>
      </c>
      <c r="AE70" s="38" t="s">
        <v>119</v>
      </c>
      <c r="AF70" s="38" t="s">
        <v>119</v>
      </c>
      <c r="AG70" s="38" t="s">
        <v>119</v>
      </c>
      <c r="AH70" s="38" t="s">
        <v>119</v>
      </c>
      <c r="AI70" s="38" t="s">
        <v>119</v>
      </c>
      <c r="AJ70" s="38" t="s">
        <v>119</v>
      </c>
      <c r="AK70" s="38" t="s">
        <v>119</v>
      </c>
      <c r="AL70" s="38" t="s">
        <v>119</v>
      </c>
      <c r="AM70" s="38" t="s">
        <v>119</v>
      </c>
      <c r="AN70" s="38" t="s">
        <v>119</v>
      </c>
      <c r="AO70" s="38" t="s">
        <v>119</v>
      </c>
      <c r="AP70" s="38" t="s">
        <v>119</v>
      </c>
      <c r="AQ70" s="38" t="s">
        <v>119</v>
      </c>
      <c r="AR70" s="38" t="s">
        <v>119</v>
      </c>
      <c r="AS70" s="38" t="s">
        <v>119</v>
      </c>
      <c r="AT70" s="38" t="s">
        <v>119</v>
      </c>
      <c r="AU70" s="38" t="s">
        <v>119</v>
      </c>
      <c r="AV70" s="38" t="s">
        <v>119</v>
      </c>
      <c r="AW70" s="38" t="s">
        <v>119</v>
      </c>
      <c r="AX70" s="38" t="s">
        <v>119</v>
      </c>
    </row>
    <row r="71" spans="1:50" x14ac:dyDescent="0.45">
      <c r="A71" s="38" t="s">
        <v>189</v>
      </c>
      <c r="B71" s="38">
        <v>70</v>
      </c>
      <c r="C71" s="38" t="s">
        <v>118</v>
      </c>
      <c r="D71" s="38">
        <v>70</v>
      </c>
      <c r="E71" s="38">
        <v>34775</v>
      </c>
      <c r="F71" s="38">
        <f t="shared" si="2"/>
        <v>34.774999999999999</v>
      </c>
      <c r="G71" s="38">
        <v>20609531.25</v>
      </c>
      <c r="H71" s="38">
        <f t="shared" si="3"/>
        <v>20.60953125</v>
      </c>
      <c r="I71" s="38">
        <v>2636</v>
      </c>
      <c r="J71" s="38">
        <v>2636</v>
      </c>
      <c r="K71" s="38" t="s">
        <v>119</v>
      </c>
      <c r="L71" s="38" t="s">
        <v>119</v>
      </c>
      <c r="M71" s="38" t="s">
        <v>119</v>
      </c>
      <c r="N71" s="38">
        <v>6.2387139999999999</v>
      </c>
      <c r="O71" s="38" t="s">
        <v>120</v>
      </c>
      <c r="P71" s="38" t="s">
        <v>120</v>
      </c>
      <c r="Q71" s="38" t="s">
        <v>119</v>
      </c>
      <c r="R71" s="38" t="s">
        <v>119</v>
      </c>
      <c r="S71" s="38" t="s">
        <v>119</v>
      </c>
      <c r="T71" s="38">
        <v>46.597239999999999</v>
      </c>
      <c r="U71" s="38">
        <v>80.191632999999996</v>
      </c>
      <c r="V71" s="38" t="s">
        <v>119</v>
      </c>
      <c r="W71" s="38" t="s">
        <v>119</v>
      </c>
      <c r="X71" s="38" t="s">
        <v>119</v>
      </c>
      <c r="Y71" s="38" t="s">
        <v>119</v>
      </c>
      <c r="Z71" s="38" t="s">
        <v>119</v>
      </c>
      <c r="AA71" s="38" t="s">
        <v>119</v>
      </c>
      <c r="AB71" s="38" t="s">
        <v>119</v>
      </c>
      <c r="AC71" s="38" t="s">
        <v>119</v>
      </c>
      <c r="AD71" s="38" t="s">
        <v>119</v>
      </c>
      <c r="AE71" s="38" t="s">
        <v>119</v>
      </c>
      <c r="AF71" s="38" t="s">
        <v>119</v>
      </c>
      <c r="AG71" s="38" t="s">
        <v>119</v>
      </c>
      <c r="AH71" s="38" t="s">
        <v>119</v>
      </c>
      <c r="AI71" s="38" t="s">
        <v>119</v>
      </c>
      <c r="AJ71" s="38" t="s">
        <v>119</v>
      </c>
      <c r="AK71" s="38" t="s">
        <v>119</v>
      </c>
      <c r="AL71" s="38" t="s">
        <v>119</v>
      </c>
      <c r="AM71" s="38" t="s">
        <v>119</v>
      </c>
      <c r="AN71" s="38" t="s">
        <v>119</v>
      </c>
      <c r="AO71" s="38" t="s">
        <v>119</v>
      </c>
      <c r="AP71" s="38" t="s">
        <v>119</v>
      </c>
      <c r="AQ71" s="38" t="s">
        <v>119</v>
      </c>
      <c r="AR71" s="38" t="s">
        <v>119</v>
      </c>
      <c r="AS71" s="38" t="s">
        <v>119</v>
      </c>
      <c r="AT71" s="38" t="s">
        <v>119</v>
      </c>
      <c r="AU71" s="38" t="s">
        <v>119</v>
      </c>
      <c r="AV71" s="38" t="s">
        <v>119</v>
      </c>
      <c r="AW71" s="38" t="s">
        <v>119</v>
      </c>
      <c r="AX71" s="38" t="s">
        <v>119</v>
      </c>
    </row>
    <row r="72" spans="1:50" x14ac:dyDescent="0.45">
      <c r="A72" s="38" t="s">
        <v>190</v>
      </c>
      <c r="B72" s="38">
        <v>71</v>
      </c>
      <c r="C72" s="38" t="s">
        <v>118</v>
      </c>
      <c r="D72" s="38">
        <v>71</v>
      </c>
      <c r="E72" s="38">
        <v>28275</v>
      </c>
      <c r="F72" s="38">
        <f t="shared" si="2"/>
        <v>28.274999999999999</v>
      </c>
      <c r="G72" s="38">
        <v>10352968.75</v>
      </c>
      <c r="H72" s="38">
        <f t="shared" si="3"/>
        <v>10.35296875</v>
      </c>
      <c r="I72" s="38">
        <v>2637</v>
      </c>
      <c r="J72" s="38">
        <v>2637</v>
      </c>
      <c r="K72" s="38" t="s">
        <v>119</v>
      </c>
      <c r="L72" s="38" t="s">
        <v>119</v>
      </c>
      <c r="M72" s="38" t="s">
        <v>119</v>
      </c>
      <c r="N72" s="38">
        <v>21.954350999999999</v>
      </c>
      <c r="O72" s="38" t="s">
        <v>120</v>
      </c>
      <c r="P72" s="38" t="s">
        <v>120</v>
      </c>
      <c r="Q72" s="38" t="s">
        <v>119</v>
      </c>
      <c r="R72" s="38" t="s">
        <v>119</v>
      </c>
      <c r="S72" s="38" t="s">
        <v>119</v>
      </c>
      <c r="T72" s="38">
        <v>64.354798000000002</v>
      </c>
      <c r="U72" s="38">
        <v>74.829712000000001</v>
      </c>
      <c r="V72" s="38" t="s">
        <v>119</v>
      </c>
      <c r="W72" s="38" t="s">
        <v>119</v>
      </c>
      <c r="X72" s="38" t="s">
        <v>119</v>
      </c>
      <c r="Y72" s="38" t="s">
        <v>119</v>
      </c>
      <c r="Z72" s="38" t="s">
        <v>119</v>
      </c>
      <c r="AA72" s="38" t="s">
        <v>119</v>
      </c>
      <c r="AB72" s="38" t="s">
        <v>119</v>
      </c>
      <c r="AC72" s="38" t="s">
        <v>119</v>
      </c>
      <c r="AD72" s="38" t="s">
        <v>119</v>
      </c>
      <c r="AE72" s="38" t="s">
        <v>119</v>
      </c>
      <c r="AF72" s="38" t="s">
        <v>119</v>
      </c>
      <c r="AG72" s="38" t="s">
        <v>119</v>
      </c>
      <c r="AH72" s="38" t="s">
        <v>119</v>
      </c>
      <c r="AI72" s="38" t="s">
        <v>119</v>
      </c>
      <c r="AJ72" s="38" t="s">
        <v>119</v>
      </c>
      <c r="AK72" s="38" t="s">
        <v>119</v>
      </c>
      <c r="AL72" s="38" t="s">
        <v>119</v>
      </c>
      <c r="AM72" s="38" t="s">
        <v>119</v>
      </c>
      <c r="AN72" s="38" t="s">
        <v>119</v>
      </c>
      <c r="AO72" s="38" t="s">
        <v>119</v>
      </c>
      <c r="AP72" s="38" t="s">
        <v>119</v>
      </c>
      <c r="AQ72" s="38" t="s">
        <v>119</v>
      </c>
      <c r="AR72" s="38" t="s">
        <v>119</v>
      </c>
      <c r="AS72" s="38" t="s">
        <v>119</v>
      </c>
      <c r="AT72" s="38" t="s">
        <v>119</v>
      </c>
      <c r="AU72" s="38" t="s">
        <v>119</v>
      </c>
      <c r="AV72" s="38" t="s">
        <v>119</v>
      </c>
      <c r="AW72" s="38" t="s">
        <v>119</v>
      </c>
      <c r="AX72" s="38" t="s">
        <v>119</v>
      </c>
    </row>
    <row r="73" spans="1:50" x14ac:dyDescent="0.45">
      <c r="A73" s="38" t="s">
        <v>191</v>
      </c>
      <c r="B73" s="38">
        <v>72</v>
      </c>
      <c r="C73" s="38" t="s">
        <v>118</v>
      </c>
      <c r="D73" s="38">
        <v>72</v>
      </c>
      <c r="E73" s="38">
        <v>13825</v>
      </c>
      <c r="F73" s="38">
        <f t="shared" si="2"/>
        <v>13.824999999999999</v>
      </c>
      <c r="G73" s="38">
        <v>2274375</v>
      </c>
      <c r="H73" s="38">
        <f t="shared" si="3"/>
        <v>2.274375</v>
      </c>
      <c r="I73" s="38">
        <v>2638</v>
      </c>
      <c r="J73" s="38">
        <v>2638</v>
      </c>
      <c r="K73" s="38" t="s">
        <v>119</v>
      </c>
      <c r="L73" s="38" t="s">
        <v>119</v>
      </c>
      <c r="M73" s="38" t="s">
        <v>119</v>
      </c>
      <c r="N73" s="38">
        <v>7.8600960000000004</v>
      </c>
      <c r="O73" s="38" t="s">
        <v>120</v>
      </c>
      <c r="P73" s="38" t="s">
        <v>120</v>
      </c>
      <c r="Q73" s="38" t="s">
        <v>119</v>
      </c>
      <c r="R73" s="38" t="s">
        <v>119</v>
      </c>
      <c r="S73" s="38" t="s">
        <v>119</v>
      </c>
      <c r="T73" s="38">
        <v>67.334992</v>
      </c>
      <c r="U73" s="38">
        <v>79.830658999999997</v>
      </c>
      <c r="V73" s="38" t="s">
        <v>119</v>
      </c>
      <c r="W73" s="38" t="s">
        <v>119</v>
      </c>
      <c r="X73" s="38" t="s">
        <v>119</v>
      </c>
      <c r="Y73" s="38" t="s">
        <v>119</v>
      </c>
      <c r="Z73" s="38" t="s">
        <v>119</v>
      </c>
      <c r="AA73" s="38" t="s">
        <v>119</v>
      </c>
      <c r="AB73" s="38" t="s">
        <v>119</v>
      </c>
      <c r="AC73" s="38" t="s">
        <v>119</v>
      </c>
      <c r="AD73" s="38" t="s">
        <v>119</v>
      </c>
      <c r="AE73" s="38" t="s">
        <v>119</v>
      </c>
      <c r="AF73" s="38" t="s">
        <v>119</v>
      </c>
      <c r="AG73" s="38" t="s">
        <v>119</v>
      </c>
      <c r="AH73" s="38" t="s">
        <v>119</v>
      </c>
      <c r="AI73" s="38" t="s">
        <v>119</v>
      </c>
      <c r="AJ73" s="38" t="s">
        <v>119</v>
      </c>
      <c r="AK73" s="38" t="s">
        <v>119</v>
      </c>
      <c r="AL73" s="38" t="s">
        <v>119</v>
      </c>
      <c r="AM73" s="38" t="s">
        <v>119</v>
      </c>
      <c r="AN73" s="38" t="s">
        <v>119</v>
      </c>
      <c r="AO73" s="38" t="s">
        <v>119</v>
      </c>
      <c r="AP73" s="38" t="s">
        <v>119</v>
      </c>
      <c r="AQ73" s="38" t="s">
        <v>119</v>
      </c>
      <c r="AR73" s="38" t="s">
        <v>119</v>
      </c>
      <c r="AS73" s="38" t="s">
        <v>119</v>
      </c>
      <c r="AT73" s="38" t="s">
        <v>119</v>
      </c>
      <c r="AU73" s="38" t="s">
        <v>119</v>
      </c>
      <c r="AV73" s="38" t="s">
        <v>119</v>
      </c>
      <c r="AW73" s="38" t="s">
        <v>119</v>
      </c>
      <c r="AX73" s="38" t="s">
        <v>119</v>
      </c>
    </row>
    <row r="74" spans="1:50" x14ac:dyDescent="0.45">
      <c r="A74" s="38" t="s">
        <v>192</v>
      </c>
      <c r="B74" s="38">
        <v>73</v>
      </c>
      <c r="C74" s="38" t="s">
        <v>118</v>
      </c>
      <c r="D74" s="38">
        <v>73</v>
      </c>
      <c r="E74" s="38">
        <v>46375</v>
      </c>
      <c r="F74" s="38">
        <f t="shared" si="2"/>
        <v>46.375</v>
      </c>
      <c r="G74" s="38">
        <v>13011562.5</v>
      </c>
      <c r="H74" s="38">
        <f t="shared" si="3"/>
        <v>13.0115625</v>
      </c>
      <c r="I74" s="38">
        <v>2639</v>
      </c>
      <c r="J74" s="38">
        <v>2639</v>
      </c>
      <c r="K74" s="38" t="s">
        <v>119</v>
      </c>
      <c r="L74" s="38" t="s">
        <v>119</v>
      </c>
      <c r="M74" s="38" t="s">
        <v>119</v>
      </c>
      <c r="N74" s="38">
        <v>8.1720749999999995</v>
      </c>
      <c r="O74" s="38" t="s">
        <v>120</v>
      </c>
      <c r="P74" s="38" t="s">
        <v>120</v>
      </c>
      <c r="Q74" s="38" t="s">
        <v>119</v>
      </c>
      <c r="R74" s="38" t="s">
        <v>119</v>
      </c>
      <c r="S74" s="38" t="s">
        <v>119</v>
      </c>
      <c r="T74" s="38">
        <v>67.871486000000004</v>
      </c>
      <c r="U74" s="38">
        <v>79.579784000000004</v>
      </c>
      <c r="V74" s="38" t="s">
        <v>119</v>
      </c>
      <c r="W74" s="38" t="s">
        <v>119</v>
      </c>
      <c r="X74" s="38" t="s">
        <v>119</v>
      </c>
      <c r="Y74" s="38" t="s">
        <v>119</v>
      </c>
      <c r="Z74" s="38" t="s">
        <v>119</v>
      </c>
      <c r="AA74" s="38" t="s">
        <v>119</v>
      </c>
      <c r="AB74" s="38" t="s">
        <v>119</v>
      </c>
      <c r="AC74" s="38" t="s">
        <v>119</v>
      </c>
      <c r="AD74" s="38" t="s">
        <v>119</v>
      </c>
      <c r="AE74" s="38" t="s">
        <v>119</v>
      </c>
      <c r="AF74" s="38" t="s">
        <v>119</v>
      </c>
      <c r="AG74" s="38" t="s">
        <v>119</v>
      </c>
      <c r="AH74" s="38" t="s">
        <v>119</v>
      </c>
      <c r="AI74" s="38" t="s">
        <v>119</v>
      </c>
      <c r="AJ74" s="38" t="s">
        <v>119</v>
      </c>
      <c r="AK74" s="38" t="s">
        <v>119</v>
      </c>
      <c r="AL74" s="38" t="s">
        <v>119</v>
      </c>
      <c r="AM74" s="38" t="s">
        <v>119</v>
      </c>
      <c r="AN74" s="38" t="s">
        <v>119</v>
      </c>
      <c r="AO74" s="38" t="s">
        <v>119</v>
      </c>
      <c r="AP74" s="38" t="s">
        <v>119</v>
      </c>
      <c r="AQ74" s="38" t="s">
        <v>119</v>
      </c>
      <c r="AR74" s="38" t="s">
        <v>119</v>
      </c>
      <c r="AS74" s="38" t="s">
        <v>119</v>
      </c>
      <c r="AT74" s="38" t="s">
        <v>119</v>
      </c>
      <c r="AU74" s="38" t="s">
        <v>119</v>
      </c>
      <c r="AV74" s="38" t="s">
        <v>119</v>
      </c>
      <c r="AW74" s="38" t="s">
        <v>119</v>
      </c>
      <c r="AX74" s="38" t="s">
        <v>119</v>
      </c>
    </row>
    <row r="75" spans="1:50" x14ac:dyDescent="0.45">
      <c r="A75" s="38" t="s">
        <v>193</v>
      </c>
      <c r="B75" s="38">
        <v>75</v>
      </c>
      <c r="C75" s="38" t="s">
        <v>118</v>
      </c>
      <c r="D75" s="38">
        <v>75</v>
      </c>
      <c r="E75" s="38">
        <v>24150</v>
      </c>
      <c r="F75" s="38">
        <f t="shared" si="2"/>
        <v>24.15</v>
      </c>
      <c r="G75" s="38">
        <v>10792968.75</v>
      </c>
      <c r="H75" s="38">
        <f t="shared" si="3"/>
        <v>10.79296875</v>
      </c>
      <c r="I75" s="38">
        <v>2641</v>
      </c>
      <c r="J75" s="38">
        <v>2641</v>
      </c>
      <c r="K75" s="38" t="s">
        <v>119</v>
      </c>
      <c r="L75" s="38" t="s">
        <v>119</v>
      </c>
      <c r="M75" s="38" t="s">
        <v>119</v>
      </c>
      <c r="N75" s="38">
        <v>6.1053860000000002</v>
      </c>
      <c r="O75" s="38" t="s">
        <v>120</v>
      </c>
      <c r="P75" s="38" t="s">
        <v>120</v>
      </c>
      <c r="Q75" s="38" t="s">
        <v>119</v>
      </c>
      <c r="R75" s="38" t="s">
        <v>119</v>
      </c>
      <c r="S75" s="38" t="s">
        <v>119</v>
      </c>
      <c r="T75" s="38">
        <v>59.336970000000001</v>
      </c>
      <c r="U75" s="38">
        <v>81.531037999999995</v>
      </c>
      <c r="V75" s="38" t="s">
        <v>119</v>
      </c>
      <c r="W75" s="38" t="s">
        <v>119</v>
      </c>
      <c r="X75" s="38" t="s">
        <v>119</v>
      </c>
      <c r="Y75" s="38" t="s">
        <v>119</v>
      </c>
      <c r="Z75" s="38" t="s">
        <v>119</v>
      </c>
      <c r="AA75" s="38" t="s">
        <v>119</v>
      </c>
      <c r="AB75" s="38" t="s">
        <v>119</v>
      </c>
      <c r="AC75" s="38" t="s">
        <v>119</v>
      </c>
      <c r="AD75" s="38" t="s">
        <v>119</v>
      </c>
      <c r="AE75" s="38" t="s">
        <v>119</v>
      </c>
      <c r="AF75" s="38" t="s">
        <v>119</v>
      </c>
      <c r="AG75" s="38" t="s">
        <v>119</v>
      </c>
      <c r="AH75" s="38" t="s">
        <v>119</v>
      </c>
      <c r="AI75" s="38" t="s">
        <v>119</v>
      </c>
      <c r="AJ75" s="38" t="s">
        <v>119</v>
      </c>
      <c r="AK75" s="38" t="s">
        <v>119</v>
      </c>
      <c r="AL75" s="38" t="s">
        <v>119</v>
      </c>
      <c r="AM75" s="38" t="s">
        <v>119</v>
      </c>
      <c r="AN75" s="38" t="s">
        <v>119</v>
      </c>
      <c r="AO75" s="38" t="s">
        <v>119</v>
      </c>
      <c r="AP75" s="38" t="s">
        <v>119</v>
      </c>
      <c r="AQ75" s="38" t="s">
        <v>119</v>
      </c>
      <c r="AR75" s="38" t="s">
        <v>119</v>
      </c>
      <c r="AS75" s="38" t="s">
        <v>119</v>
      </c>
      <c r="AT75" s="38" t="s">
        <v>119</v>
      </c>
      <c r="AU75" s="38" t="s">
        <v>119</v>
      </c>
      <c r="AV75" s="38" t="s">
        <v>119</v>
      </c>
      <c r="AW75" s="38" t="s">
        <v>119</v>
      </c>
      <c r="AX75" s="38" t="s">
        <v>119</v>
      </c>
    </row>
    <row r="76" spans="1:50" x14ac:dyDescent="0.45">
      <c r="A76" s="38" t="s">
        <v>194</v>
      </c>
      <c r="B76" s="38">
        <v>76</v>
      </c>
      <c r="C76" s="38" t="s">
        <v>118</v>
      </c>
      <c r="D76" s="38">
        <v>76</v>
      </c>
      <c r="E76" s="38">
        <v>3425</v>
      </c>
      <c r="F76" s="38">
        <f t="shared" si="2"/>
        <v>3.4249999999999998</v>
      </c>
      <c r="G76" s="38">
        <v>295312.5</v>
      </c>
      <c r="H76" s="38">
        <f t="shared" si="3"/>
        <v>0.29531249999999998</v>
      </c>
      <c r="I76" s="38">
        <v>2642</v>
      </c>
      <c r="J76" s="38">
        <v>2642</v>
      </c>
      <c r="K76" s="38" t="s">
        <v>119</v>
      </c>
      <c r="L76" s="38" t="s">
        <v>119</v>
      </c>
      <c r="M76" s="38" t="s">
        <v>119</v>
      </c>
      <c r="N76" s="38">
        <v>7.6345780000000003</v>
      </c>
      <c r="O76" s="38" t="s">
        <v>120</v>
      </c>
      <c r="P76" s="38" t="s">
        <v>120</v>
      </c>
      <c r="Q76" s="38" t="s">
        <v>119</v>
      </c>
      <c r="R76" s="38" t="s">
        <v>119</v>
      </c>
      <c r="S76" s="38" t="s">
        <v>119</v>
      </c>
      <c r="T76" s="38">
        <v>54.642404999999997</v>
      </c>
      <c r="U76" s="38">
        <v>73.816582999999994</v>
      </c>
      <c r="V76" s="38" t="s">
        <v>119</v>
      </c>
      <c r="W76" s="38" t="s">
        <v>119</v>
      </c>
      <c r="X76" s="38" t="s">
        <v>119</v>
      </c>
      <c r="Y76" s="38" t="s">
        <v>119</v>
      </c>
      <c r="Z76" s="38" t="s">
        <v>119</v>
      </c>
      <c r="AA76" s="38" t="s">
        <v>119</v>
      </c>
      <c r="AB76" s="38" t="s">
        <v>119</v>
      </c>
      <c r="AC76" s="38" t="s">
        <v>119</v>
      </c>
      <c r="AD76" s="38" t="s">
        <v>119</v>
      </c>
      <c r="AE76" s="38" t="s">
        <v>119</v>
      </c>
      <c r="AF76" s="38" t="s">
        <v>119</v>
      </c>
      <c r="AG76" s="38" t="s">
        <v>119</v>
      </c>
      <c r="AH76" s="38" t="s">
        <v>119</v>
      </c>
      <c r="AI76" s="38" t="s">
        <v>119</v>
      </c>
      <c r="AJ76" s="38" t="s">
        <v>119</v>
      </c>
      <c r="AK76" s="38" t="s">
        <v>119</v>
      </c>
      <c r="AL76" s="38" t="s">
        <v>119</v>
      </c>
      <c r="AM76" s="38" t="s">
        <v>119</v>
      </c>
      <c r="AN76" s="38" t="s">
        <v>119</v>
      </c>
      <c r="AO76" s="38" t="s">
        <v>119</v>
      </c>
      <c r="AP76" s="38" t="s">
        <v>119</v>
      </c>
      <c r="AQ76" s="38" t="s">
        <v>119</v>
      </c>
      <c r="AR76" s="38" t="s">
        <v>119</v>
      </c>
      <c r="AS76" s="38" t="s">
        <v>119</v>
      </c>
      <c r="AT76" s="38" t="s">
        <v>119</v>
      </c>
      <c r="AU76" s="38" t="s">
        <v>119</v>
      </c>
      <c r="AV76" s="38" t="s">
        <v>119</v>
      </c>
      <c r="AW76" s="38" t="s">
        <v>119</v>
      </c>
      <c r="AX76" s="38" t="s">
        <v>119</v>
      </c>
    </row>
    <row r="77" spans="1:50" x14ac:dyDescent="0.45">
      <c r="A77" s="38" t="s">
        <v>195</v>
      </c>
      <c r="B77" s="38">
        <v>78</v>
      </c>
      <c r="C77" s="38" t="s">
        <v>118</v>
      </c>
      <c r="D77" s="38">
        <v>78</v>
      </c>
      <c r="E77" s="38">
        <v>13625</v>
      </c>
      <c r="F77" s="38">
        <f t="shared" si="2"/>
        <v>13.625</v>
      </c>
      <c r="G77" s="38">
        <v>4700937.5</v>
      </c>
      <c r="H77" s="38">
        <f t="shared" si="3"/>
        <v>4.7009375000000002</v>
      </c>
      <c r="I77" s="38">
        <v>2644</v>
      </c>
      <c r="J77" s="38">
        <v>2644</v>
      </c>
      <c r="K77" s="38" t="s">
        <v>119</v>
      </c>
      <c r="L77" s="38" t="s">
        <v>119</v>
      </c>
      <c r="M77" s="38" t="s">
        <v>119</v>
      </c>
      <c r="N77" s="38">
        <v>49.525429000000003</v>
      </c>
      <c r="O77" s="38" t="s">
        <v>120</v>
      </c>
      <c r="P77" s="38" t="s">
        <v>120</v>
      </c>
      <c r="Q77" s="38" t="s">
        <v>119</v>
      </c>
      <c r="R77" s="38" t="s">
        <v>119</v>
      </c>
      <c r="S77" s="38" t="s">
        <v>119</v>
      </c>
      <c r="T77" s="38">
        <v>79</v>
      </c>
      <c r="U77" s="38">
        <v>79.134733999999995</v>
      </c>
      <c r="V77" s="38" t="s">
        <v>119</v>
      </c>
      <c r="W77" s="38" t="s">
        <v>119</v>
      </c>
      <c r="X77" s="38" t="s">
        <v>119</v>
      </c>
      <c r="Y77" s="38" t="s">
        <v>119</v>
      </c>
      <c r="Z77" s="38" t="s">
        <v>119</v>
      </c>
      <c r="AA77" s="38" t="s">
        <v>119</v>
      </c>
      <c r="AB77" s="38" t="s">
        <v>119</v>
      </c>
      <c r="AC77" s="38" t="s">
        <v>119</v>
      </c>
      <c r="AD77" s="38" t="s">
        <v>119</v>
      </c>
      <c r="AE77" s="38" t="s">
        <v>119</v>
      </c>
      <c r="AF77" s="38" t="s">
        <v>119</v>
      </c>
      <c r="AG77" s="38" t="s">
        <v>119</v>
      </c>
      <c r="AH77" s="38" t="s">
        <v>119</v>
      </c>
      <c r="AI77" s="38" t="s">
        <v>119</v>
      </c>
      <c r="AJ77" s="38" t="s">
        <v>119</v>
      </c>
      <c r="AK77" s="38" t="s">
        <v>119</v>
      </c>
      <c r="AL77" s="38" t="s">
        <v>119</v>
      </c>
      <c r="AM77" s="38" t="s">
        <v>119</v>
      </c>
      <c r="AN77" s="38" t="s">
        <v>119</v>
      </c>
      <c r="AO77" s="38" t="s">
        <v>119</v>
      </c>
      <c r="AP77" s="38" t="s">
        <v>119</v>
      </c>
      <c r="AQ77" s="38" t="s">
        <v>119</v>
      </c>
      <c r="AR77" s="38" t="s">
        <v>119</v>
      </c>
      <c r="AS77" s="38" t="s">
        <v>119</v>
      </c>
      <c r="AT77" s="38" t="s">
        <v>119</v>
      </c>
      <c r="AU77" s="38" t="s">
        <v>119</v>
      </c>
      <c r="AV77" s="38" t="s">
        <v>119</v>
      </c>
      <c r="AW77" s="38" t="s">
        <v>119</v>
      </c>
      <c r="AX77" s="38" t="s">
        <v>119</v>
      </c>
    </row>
    <row r="78" spans="1:50" x14ac:dyDescent="0.45">
      <c r="A78" s="38" t="s">
        <v>196</v>
      </c>
      <c r="B78" s="38">
        <v>79</v>
      </c>
      <c r="C78" s="38" t="s">
        <v>118</v>
      </c>
      <c r="D78" s="38">
        <v>79</v>
      </c>
      <c r="E78" s="38">
        <v>19150</v>
      </c>
      <c r="F78" s="38">
        <f t="shared" si="2"/>
        <v>19.149999999999999</v>
      </c>
      <c r="G78" s="38">
        <v>4802187.5</v>
      </c>
      <c r="H78" s="38">
        <f t="shared" si="3"/>
        <v>4.8021874999999996</v>
      </c>
      <c r="I78" s="38">
        <v>2645</v>
      </c>
      <c r="J78" s="38">
        <v>2645</v>
      </c>
      <c r="K78" s="38" t="s">
        <v>119</v>
      </c>
      <c r="L78" s="38" t="s">
        <v>119</v>
      </c>
      <c r="M78" s="38" t="s">
        <v>119</v>
      </c>
      <c r="N78" s="38">
        <v>7.5329370000000004</v>
      </c>
      <c r="O78" s="38" t="s">
        <v>120</v>
      </c>
      <c r="P78" s="38" t="s">
        <v>120</v>
      </c>
      <c r="Q78" s="38" t="s">
        <v>119</v>
      </c>
      <c r="R78" s="38" t="s">
        <v>119</v>
      </c>
      <c r="S78" s="38" t="s">
        <v>119</v>
      </c>
      <c r="T78" s="38">
        <v>42.367511</v>
      </c>
      <c r="U78" s="38">
        <v>75.367992999999998</v>
      </c>
      <c r="V78" s="38" t="s">
        <v>119</v>
      </c>
      <c r="W78" s="38" t="s">
        <v>119</v>
      </c>
      <c r="X78" s="38" t="s">
        <v>119</v>
      </c>
      <c r="Y78" s="38" t="s">
        <v>119</v>
      </c>
      <c r="Z78" s="38" t="s">
        <v>119</v>
      </c>
      <c r="AA78" s="38" t="s">
        <v>119</v>
      </c>
      <c r="AB78" s="38" t="s">
        <v>119</v>
      </c>
      <c r="AC78" s="38" t="s">
        <v>119</v>
      </c>
      <c r="AD78" s="38" t="s">
        <v>119</v>
      </c>
      <c r="AE78" s="38" t="s">
        <v>119</v>
      </c>
      <c r="AF78" s="38" t="s">
        <v>119</v>
      </c>
      <c r="AG78" s="38" t="s">
        <v>119</v>
      </c>
      <c r="AH78" s="38" t="s">
        <v>119</v>
      </c>
      <c r="AI78" s="38" t="s">
        <v>119</v>
      </c>
      <c r="AJ78" s="38" t="s">
        <v>119</v>
      </c>
      <c r="AK78" s="38" t="s">
        <v>119</v>
      </c>
      <c r="AL78" s="38" t="s">
        <v>119</v>
      </c>
      <c r="AM78" s="38" t="s">
        <v>119</v>
      </c>
      <c r="AN78" s="38" t="s">
        <v>119</v>
      </c>
      <c r="AO78" s="38" t="s">
        <v>119</v>
      </c>
      <c r="AP78" s="38" t="s">
        <v>119</v>
      </c>
      <c r="AQ78" s="38" t="s">
        <v>119</v>
      </c>
      <c r="AR78" s="38" t="s">
        <v>119</v>
      </c>
      <c r="AS78" s="38" t="s">
        <v>119</v>
      </c>
      <c r="AT78" s="38" t="s">
        <v>119</v>
      </c>
      <c r="AU78" s="38" t="s">
        <v>119</v>
      </c>
      <c r="AV78" s="38" t="s">
        <v>119</v>
      </c>
      <c r="AW78" s="38" t="s">
        <v>119</v>
      </c>
      <c r="AX78" s="38" t="s">
        <v>119</v>
      </c>
    </row>
    <row r="79" spans="1:50" x14ac:dyDescent="0.45">
      <c r="A79" s="38" t="s">
        <v>197</v>
      </c>
      <c r="B79" s="38">
        <v>80</v>
      </c>
      <c r="C79" s="38" t="s">
        <v>118</v>
      </c>
      <c r="D79" s="38">
        <v>80</v>
      </c>
      <c r="E79" s="38">
        <v>875</v>
      </c>
      <c r="F79" s="38">
        <f t="shared" si="2"/>
        <v>0.875</v>
      </c>
      <c r="G79" s="38">
        <v>32187.5</v>
      </c>
      <c r="H79" s="38">
        <f t="shared" si="3"/>
        <v>3.2187500000000001E-2</v>
      </c>
      <c r="I79" s="38">
        <v>2646</v>
      </c>
      <c r="J79" s="38">
        <v>2646</v>
      </c>
      <c r="K79" s="38" t="s">
        <v>119</v>
      </c>
      <c r="L79" s="38" t="s">
        <v>119</v>
      </c>
      <c r="M79" s="38" t="s">
        <v>119</v>
      </c>
      <c r="N79" s="38">
        <v>7.5215329999999998</v>
      </c>
      <c r="O79" s="38" t="s">
        <v>120</v>
      </c>
      <c r="P79" s="38" t="s">
        <v>120</v>
      </c>
      <c r="Q79" s="38" t="s">
        <v>119</v>
      </c>
      <c r="R79" s="38" t="s">
        <v>119</v>
      </c>
      <c r="S79" s="38" t="s">
        <v>119</v>
      </c>
      <c r="T79" s="38">
        <v>76.444444000000004</v>
      </c>
      <c r="U79" s="38">
        <v>74.540339000000003</v>
      </c>
      <c r="V79" s="38" t="s">
        <v>119</v>
      </c>
      <c r="W79" s="38" t="s">
        <v>119</v>
      </c>
      <c r="X79" s="38" t="s">
        <v>119</v>
      </c>
      <c r="Y79" s="38" t="s">
        <v>119</v>
      </c>
      <c r="Z79" s="38" t="s">
        <v>119</v>
      </c>
      <c r="AA79" s="38" t="s">
        <v>119</v>
      </c>
      <c r="AB79" s="38" t="s">
        <v>119</v>
      </c>
      <c r="AC79" s="38" t="s">
        <v>119</v>
      </c>
      <c r="AD79" s="38" t="s">
        <v>119</v>
      </c>
      <c r="AE79" s="38" t="s">
        <v>119</v>
      </c>
      <c r="AF79" s="38" t="s">
        <v>119</v>
      </c>
      <c r="AG79" s="38" t="s">
        <v>119</v>
      </c>
      <c r="AH79" s="38" t="s">
        <v>119</v>
      </c>
      <c r="AI79" s="38" t="s">
        <v>119</v>
      </c>
      <c r="AJ79" s="38" t="s">
        <v>119</v>
      </c>
      <c r="AK79" s="38" t="s">
        <v>119</v>
      </c>
      <c r="AL79" s="38" t="s">
        <v>119</v>
      </c>
      <c r="AM79" s="38" t="s">
        <v>119</v>
      </c>
      <c r="AN79" s="38" t="s">
        <v>119</v>
      </c>
      <c r="AO79" s="38" t="s">
        <v>119</v>
      </c>
      <c r="AP79" s="38" t="s">
        <v>119</v>
      </c>
      <c r="AQ79" s="38" t="s">
        <v>119</v>
      </c>
      <c r="AR79" s="38" t="s">
        <v>119</v>
      </c>
      <c r="AS79" s="38" t="s">
        <v>119</v>
      </c>
      <c r="AT79" s="38" t="s">
        <v>119</v>
      </c>
      <c r="AU79" s="38" t="s">
        <v>119</v>
      </c>
      <c r="AV79" s="38" t="s">
        <v>119</v>
      </c>
      <c r="AW79" s="38" t="s">
        <v>119</v>
      </c>
      <c r="AX79" s="38" t="s">
        <v>119</v>
      </c>
    </row>
    <row r="80" spans="1:50" x14ac:dyDescent="0.45">
      <c r="A80" s="38" t="s">
        <v>198</v>
      </c>
      <c r="B80" s="38">
        <v>81</v>
      </c>
      <c r="C80" s="38" t="s">
        <v>118</v>
      </c>
      <c r="D80" s="38">
        <v>81</v>
      </c>
      <c r="E80" s="38">
        <v>9000</v>
      </c>
      <c r="F80" s="38">
        <f t="shared" si="2"/>
        <v>9</v>
      </c>
      <c r="G80" s="38">
        <v>1556406.25</v>
      </c>
      <c r="H80" s="38">
        <f t="shared" si="3"/>
        <v>1.55640625</v>
      </c>
      <c r="I80" s="38">
        <v>2647</v>
      </c>
      <c r="J80" s="38">
        <v>2647</v>
      </c>
      <c r="K80" s="38" t="s">
        <v>119</v>
      </c>
      <c r="L80" s="38" t="s">
        <v>119</v>
      </c>
      <c r="M80" s="38" t="s">
        <v>119</v>
      </c>
      <c r="N80" s="38">
        <v>9.1624999999999996</v>
      </c>
      <c r="O80" s="38" t="s">
        <v>120</v>
      </c>
      <c r="P80" s="38" t="s">
        <v>120</v>
      </c>
      <c r="Q80" s="38" t="s">
        <v>119</v>
      </c>
      <c r="R80" s="38" t="s">
        <v>119</v>
      </c>
      <c r="S80" s="38" t="s">
        <v>119</v>
      </c>
      <c r="T80" s="38">
        <v>58.60304</v>
      </c>
      <c r="U80" s="38">
        <v>74.260436999999996</v>
      </c>
      <c r="V80" s="38" t="s">
        <v>119</v>
      </c>
      <c r="W80" s="38" t="s">
        <v>119</v>
      </c>
      <c r="X80" s="38" t="s">
        <v>119</v>
      </c>
      <c r="Y80" s="38" t="s">
        <v>119</v>
      </c>
      <c r="Z80" s="38" t="s">
        <v>119</v>
      </c>
      <c r="AA80" s="38" t="s">
        <v>119</v>
      </c>
      <c r="AB80" s="38" t="s">
        <v>119</v>
      </c>
      <c r="AC80" s="38" t="s">
        <v>119</v>
      </c>
      <c r="AD80" s="38" t="s">
        <v>119</v>
      </c>
      <c r="AE80" s="38" t="s">
        <v>119</v>
      </c>
      <c r="AF80" s="38" t="s">
        <v>119</v>
      </c>
      <c r="AG80" s="38" t="s">
        <v>119</v>
      </c>
      <c r="AH80" s="38" t="s">
        <v>119</v>
      </c>
      <c r="AI80" s="38" t="s">
        <v>119</v>
      </c>
      <c r="AJ80" s="38" t="s">
        <v>119</v>
      </c>
      <c r="AK80" s="38" t="s">
        <v>119</v>
      </c>
      <c r="AL80" s="38" t="s">
        <v>119</v>
      </c>
      <c r="AM80" s="38" t="s">
        <v>119</v>
      </c>
      <c r="AN80" s="38" t="s">
        <v>119</v>
      </c>
      <c r="AO80" s="38" t="s">
        <v>119</v>
      </c>
      <c r="AP80" s="38" t="s">
        <v>119</v>
      </c>
      <c r="AQ80" s="38" t="s">
        <v>119</v>
      </c>
      <c r="AR80" s="38" t="s">
        <v>119</v>
      </c>
      <c r="AS80" s="38" t="s">
        <v>119</v>
      </c>
      <c r="AT80" s="38" t="s">
        <v>119</v>
      </c>
      <c r="AU80" s="38" t="s">
        <v>119</v>
      </c>
      <c r="AV80" s="38" t="s">
        <v>119</v>
      </c>
      <c r="AW80" s="38" t="s">
        <v>119</v>
      </c>
      <c r="AX80" s="38" t="s">
        <v>119</v>
      </c>
    </row>
    <row r="81" spans="1:50" x14ac:dyDescent="0.45">
      <c r="A81" s="38" t="s">
        <v>199</v>
      </c>
      <c r="B81" s="38">
        <v>82</v>
      </c>
      <c r="C81" s="38" t="s">
        <v>118</v>
      </c>
      <c r="D81" s="38">
        <v>82</v>
      </c>
      <c r="E81" s="38">
        <v>15450</v>
      </c>
      <c r="F81" s="38">
        <f t="shared" si="2"/>
        <v>15.45</v>
      </c>
      <c r="G81" s="38">
        <v>5180156.25</v>
      </c>
      <c r="H81" s="38">
        <f t="shared" si="3"/>
        <v>5.1801562499999996</v>
      </c>
      <c r="I81" s="38">
        <v>2648</v>
      </c>
      <c r="J81" s="38">
        <v>2648</v>
      </c>
      <c r="K81" s="38" t="s">
        <v>119</v>
      </c>
      <c r="L81" s="38" t="s">
        <v>119</v>
      </c>
      <c r="M81" s="38" t="s">
        <v>119</v>
      </c>
      <c r="N81" s="38">
        <v>6.5240299999999998</v>
      </c>
      <c r="O81" s="38" t="s">
        <v>120</v>
      </c>
      <c r="P81" s="38" t="s">
        <v>120</v>
      </c>
      <c r="Q81" s="38" t="s">
        <v>119</v>
      </c>
      <c r="R81" s="38" t="s">
        <v>119</v>
      </c>
      <c r="S81" s="38" t="s">
        <v>119</v>
      </c>
      <c r="T81" s="38">
        <v>59.808667999999997</v>
      </c>
      <c r="U81" s="38">
        <v>82.524592999999996</v>
      </c>
      <c r="V81" s="38" t="s">
        <v>119</v>
      </c>
      <c r="W81" s="38" t="s">
        <v>119</v>
      </c>
      <c r="X81" s="38" t="s">
        <v>119</v>
      </c>
      <c r="Y81" s="38" t="s">
        <v>119</v>
      </c>
      <c r="Z81" s="38" t="s">
        <v>119</v>
      </c>
      <c r="AA81" s="38" t="s">
        <v>119</v>
      </c>
      <c r="AB81" s="38" t="s">
        <v>119</v>
      </c>
      <c r="AC81" s="38" t="s">
        <v>119</v>
      </c>
      <c r="AD81" s="38" t="s">
        <v>119</v>
      </c>
      <c r="AE81" s="38" t="s">
        <v>119</v>
      </c>
      <c r="AF81" s="38" t="s">
        <v>119</v>
      </c>
      <c r="AG81" s="38" t="s">
        <v>119</v>
      </c>
      <c r="AH81" s="38" t="s">
        <v>119</v>
      </c>
      <c r="AI81" s="38" t="s">
        <v>119</v>
      </c>
      <c r="AJ81" s="38" t="s">
        <v>119</v>
      </c>
      <c r="AK81" s="38" t="s">
        <v>119</v>
      </c>
      <c r="AL81" s="38" t="s">
        <v>119</v>
      </c>
      <c r="AM81" s="38" t="s">
        <v>119</v>
      </c>
      <c r="AN81" s="38" t="s">
        <v>119</v>
      </c>
      <c r="AO81" s="38" t="s">
        <v>119</v>
      </c>
      <c r="AP81" s="38" t="s">
        <v>119</v>
      </c>
      <c r="AQ81" s="38" t="s">
        <v>119</v>
      </c>
      <c r="AR81" s="38" t="s">
        <v>119</v>
      </c>
      <c r="AS81" s="38" t="s">
        <v>119</v>
      </c>
      <c r="AT81" s="38" t="s">
        <v>119</v>
      </c>
      <c r="AU81" s="38" t="s">
        <v>119</v>
      </c>
      <c r="AV81" s="38" t="s">
        <v>119</v>
      </c>
      <c r="AW81" s="38" t="s">
        <v>119</v>
      </c>
      <c r="AX81" s="38" t="s">
        <v>119</v>
      </c>
    </row>
    <row r="82" spans="1:50" x14ac:dyDescent="0.45">
      <c r="A82" s="38" t="s">
        <v>200</v>
      </c>
      <c r="B82" s="38">
        <v>83</v>
      </c>
      <c r="C82" s="38" t="s">
        <v>118</v>
      </c>
      <c r="D82" s="38">
        <v>83</v>
      </c>
      <c r="E82" s="38">
        <v>21125</v>
      </c>
      <c r="F82" s="38">
        <f t="shared" si="2"/>
        <v>21.125</v>
      </c>
      <c r="G82" s="38">
        <v>12831250</v>
      </c>
      <c r="H82" s="38">
        <f t="shared" si="3"/>
        <v>12.831250000000001</v>
      </c>
      <c r="I82" s="38">
        <v>2649</v>
      </c>
      <c r="J82" s="38">
        <v>2649</v>
      </c>
      <c r="K82" s="38" t="s">
        <v>119</v>
      </c>
      <c r="L82" s="38" t="s">
        <v>119</v>
      </c>
      <c r="M82" s="38" t="s">
        <v>119</v>
      </c>
      <c r="N82" s="38">
        <v>56.722400999999998</v>
      </c>
      <c r="O82" s="38" t="s">
        <v>120</v>
      </c>
      <c r="P82" s="38" t="s">
        <v>120</v>
      </c>
      <c r="Q82" s="38" t="s">
        <v>119</v>
      </c>
      <c r="R82" s="38" t="s">
        <v>119</v>
      </c>
      <c r="S82" s="38" t="s">
        <v>119</v>
      </c>
      <c r="T82" s="38">
        <v>78.948873000000006</v>
      </c>
      <c r="U82" s="38">
        <v>78.473395999999994</v>
      </c>
      <c r="V82" s="38" t="s">
        <v>119</v>
      </c>
      <c r="W82" s="38" t="s">
        <v>119</v>
      </c>
      <c r="X82" s="38" t="s">
        <v>119</v>
      </c>
      <c r="Y82" s="38" t="s">
        <v>119</v>
      </c>
      <c r="Z82" s="38" t="s">
        <v>119</v>
      </c>
      <c r="AA82" s="38" t="s">
        <v>119</v>
      </c>
      <c r="AB82" s="38" t="s">
        <v>119</v>
      </c>
      <c r="AC82" s="38" t="s">
        <v>119</v>
      </c>
      <c r="AD82" s="38" t="s">
        <v>119</v>
      </c>
      <c r="AE82" s="38" t="s">
        <v>119</v>
      </c>
      <c r="AF82" s="38" t="s">
        <v>119</v>
      </c>
      <c r="AG82" s="38" t="s">
        <v>119</v>
      </c>
      <c r="AH82" s="38" t="s">
        <v>119</v>
      </c>
      <c r="AI82" s="38" t="s">
        <v>119</v>
      </c>
      <c r="AJ82" s="38" t="s">
        <v>119</v>
      </c>
      <c r="AK82" s="38" t="s">
        <v>119</v>
      </c>
      <c r="AL82" s="38" t="s">
        <v>119</v>
      </c>
      <c r="AM82" s="38" t="s">
        <v>119</v>
      </c>
      <c r="AN82" s="38" t="s">
        <v>119</v>
      </c>
      <c r="AO82" s="38" t="s">
        <v>119</v>
      </c>
      <c r="AP82" s="38" t="s">
        <v>119</v>
      </c>
      <c r="AQ82" s="38" t="s">
        <v>119</v>
      </c>
      <c r="AR82" s="38" t="s">
        <v>119</v>
      </c>
      <c r="AS82" s="38" t="s">
        <v>119</v>
      </c>
      <c r="AT82" s="38" t="s">
        <v>119</v>
      </c>
      <c r="AU82" s="38" t="s">
        <v>119</v>
      </c>
      <c r="AV82" s="38" t="s">
        <v>119</v>
      </c>
      <c r="AW82" s="38" t="s">
        <v>119</v>
      </c>
      <c r="AX82" s="38" t="s">
        <v>119</v>
      </c>
    </row>
    <row r="83" spans="1:50" x14ac:dyDescent="0.45">
      <c r="A83" s="38" t="s">
        <v>201</v>
      </c>
      <c r="B83" s="38">
        <v>84</v>
      </c>
      <c r="C83" s="38" t="s">
        <v>118</v>
      </c>
      <c r="D83" s="38">
        <v>84</v>
      </c>
      <c r="E83" s="38">
        <v>29500</v>
      </c>
      <c r="F83" s="38">
        <f t="shared" si="2"/>
        <v>29.5</v>
      </c>
      <c r="G83" s="38">
        <v>10231875</v>
      </c>
      <c r="H83" s="38">
        <f t="shared" si="3"/>
        <v>10.231875</v>
      </c>
      <c r="I83" s="38">
        <v>2650</v>
      </c>
      <c r="J83" s="38">
        <v>2650</v>
      </c>
      <c r="K83" s="38" t="s">
        <v>119</v>
      </c>
      <c r="L83" s="38" t="s">
        <v>119</v>
      </c>
      <c r="M83" s="38" t="s">
        <v>119</v>
      </c>
      <c r="N83" s="38">
        <v>5.6420849999999998</v>
      </c>
      <c r="O83" s="38" t="s">
        <v>120</v>
      </c>
      <c r="P83" s="38" t="s">
        <v>120</v>
      </c>
      <c r="Q83" s="38" t="s">
        <v>119</v>
      </c>
      <c r="R83" s="38" t="s">
        <v>119</v>
      </c>
      <c r="S83" s="38" t="s">
        <v>119</v>
      </c>
      <c r="T83" s="38">
        <v>62.922246000000001</v>
      </c>
      <c r="U83" s="38">
        <v>88.017101999999994</v>
      </c>
      <c r="V83" s="38" t="s">
        <v>119</v>
      </c>
      <c r="W83" s="38" t="s">
        <v>119</v>
      </c>
      <c r="X83" s="38" t="s">
        <v>119</v>
      </c>
      <c r="Y83" s="38" t="s">
        <v>119</v>
      </c>
      <c r="Z83" s="38" t="s">
        <v>119</v>
      </c>
      <c r="AA83" s="38" t="s">
        <v>119</v>
      </c>
      <c r="AB83" s="38" t="s">
        <v>119</v>
      </c>
      <c r="AC83" s="38" t="s">
        <v>119</v>
      </c>
      <c r="AD83" s="38" t="s">
        <v>119</v>
      </c>
      <c r="AE83" s="38" t="s">
        <v>119</v>
      </c>
      <c r="AF83" s="38" t="s">
        <v>119</v>
      </c>
      <c r="AG83" s="38" t="s">
        <v>119</v>
      </c>
      <c r="AH83" s="38" t="s">
        <v>119</v>
      </c>
      <c r="AI83" s="38" t="s">
        <v>119</v>
      </c>
      <c r="AJ83" s="38" t="s">
        <v>119</v>
      </c>
      <c r="AK83" s="38" t="s">
        <v>119</v>
      </c>
      <c r="AL83" s="38" t="s">
        <v>119</v>
      </c>
      <c r="AM83" s="38" t="s">
        <v>119</v>
      </c>
      <c r="AN83" s="38" t="s">
        <v>119</v>
      </c>
      <c r="AO83" s="38" t="s">
        <v>119</v>
      </c>
      <c r="AP83" s="38" t="s">
        <v>119</v>
      </c>
      <c r="AQ83" s="38" t="s">
        <v>119</v>
      </c>
      <c r="AR83" s="38" t="s">
        <v>119</v>
      </c>
      <c r="AS83" s="38" t="s">
        <v>119</v>
      </c>
      <c r="AT83" s="38" t="s">
        <v>119</v>
      </c>
      <c r="AU83" s="38" t="s">
        <v>119</v>
      </c>
      <c r="AV83" s="38" t="s">
        <v>119</v>
      </c>
      <c r="AW83" s="38" t="s">
        <v>119</v>
      </c>
      <c r="AX83" s="38" t="s">
        <v>119</v>
      </c>
    </row>
    <row r="84" spans="1:50" x14ac:dyDescent="0.45">
      <c r="A84" s="38" t="s">
        <v>202</v>
      </c>
      <c r="B84" s="38">
        <v>85</v>
      </c>
      <c r="C84" s="38" t="s">
        <v>118</v>
      </c>
      <c r="D84" s="38">
        <v>85</v>
      </c>
      <c r="E84" s="38">
        <v>16000</v>
      </c>
      <c r="F84" s="38">
        <f t="shared" si="2"/>
        <v>16</v>
      </c>
      <c r="G84" s="38">
        <v>4886250</v>
      </c>
      <c r="H84" s="38">
        <f t="shared" si="3"/>
        <v>4.8862500000000004</v>
      </c>
      <c r="I84" s="38">
        <v>2651</v>
      </c>
      <c r="J84" s="38">
        <v>2651</v>
      </c>
      <c r="K84" s="38" t="s">
        <v>119</v>
      </c>
      <c r="L84" s="38" t="s">
        <v>119</v>
      </c>
      <c r="M84" s="38" t="s">
        <v>119</v>
      </c>
      <c r="N84" s="38">
        <v>13.603035999999999</v>
      </c>
      <c r="O84" s="38" t="s">
        <v>120</v>
      </c>
      <c r="P84" s="38" t="s">
        <v>120</v>
      </c>
      <c r="Q84" s="38" t="s">
        <v>119</v>
      </c>
      <c r="R84" s="38" t="s">
        <v>119</v>
      </c>
      <c r="S84" s="38" t="s">
        <v>119</v>
      </c>
      <c r="T84" s="38">
        <v>58.473654000000003</v>
      </c>
      <c r="U84" s="38">
        <v>75.408373999999995</v>
      </c>
      <c r="V84" s="38" t="s">
        <v>119</v>
      </c>
      <c r="W84" s="38" t="s">
        <v>119</v>
      </c>
      <c r="X84" s="38" t="s">
        <v>119</v>
      </c>
      <c r="Y84" s="38" t="s">
        <v>119</v>
      </c>
      <c r="Z84" s="38" t="s">
        <v>119</v>
      </c>
      <c r="AA84" s="38" t="s">
        <v>119</v>
      </c>
      <c r="AB84" s="38" t="s">
        <v>119</v>
      </c>
      <c r="AC84" s="38" t="s">
        <v>119</v>
      </c>
      <c r="AD84" s="38" t="s">
        <v>119</v>
      </c>
      <c r="AE84" s="38" t="s">
        <v>119</v>
      </c>
      <c r="AF84" s="38" t="s">
        <v>119</v>
      </c>
      <c r="AG84" s="38" t="s">
        <v>119</v>
      </c>
      <c r="AH84" s="38" t="s">
        <v>119</v>
      </c>
      <c r="AI84" s="38" t="s">
        <v>119</v>
      </c>
      <c r="AJ84" s="38" t="s">
        <v>119</v>
      </c>
      <c r="AK84" s="38" t="s">
        <v>119</v>
      </c>
      <c r="AL84" s="38" t="s">
        <v>119</v>
      </c>
      <c r="AM84" s="38" t="s">
        <v>119</v>
      </c>
      <c r="AN84" s="38" t="s">
        <v>119</v>
      </c>
      <c r="AO84" s="38" t="s">
        <v>119</v>
      </c>
      <c r="AP84" s="38" t="s">
        <v>119</v>
      </c>
      <c r="AQ84" s="38" t="s">
        <v>119</v>
      </c>
      <c r="AR84" s="38" t="s">
        <v>119</v>
      </c>
      <c r="AS84" s="38" t="s">
        <v>119</v>
      </c>
      <c r="AT84" s="38" t="s">
        <v>119</v>
      </c>
      <c r="AU84" s="38" t="s">
        <v>119</v>
      </c>
      <c r="AV84" s="38" t="s">
        <v>119</v>
      </c>
      <c r="AW84" s="38" t="s">
        <v>119</v>
      </c>
      <c r="AX84" s="38" t="s">
        <v>119</v>
      </c>
    </row>
    <row r="85" spans="1:50" x14ac:dyDescent="0.45">
      <c r="A85" s="38" t="s">
        <v>203</v>
      </c>
      <c r="B85" s="38">
        <v>86</v>
      </c>
      <c r="C85" s="38" t="s">
        <v>118</v>
      </c>
      <c r="D85" s="38">
        <v>86</v>
      </c>
      <c r="E85" s="38">
        <v>24250</v>
      </c>
      <c r="F85" s="38">
        <f t="shared" si="2"/>
        <v>24.25</v>
      </c>
      <c r="G85" s="38">
        <v>5089062.5</v>
      </c>
      <c r="H85" s="38">
        <f t="shared" si="3"/>
        <v>5.0890624999999998</v>
      </c>
      <c r="I85" s="38">
        <v>2652</v>
      </c>
      <c r="J85" s="38">
        <v>2652</v>
      </c>
      <c r="K85" s="38" t="s">
        <v>119</v>
      </c>
      <c r="L85" s="38" t="s">
        <v>119</v>
      </c>
      <c r="M85" s="38" t="s">
        <v>119</v>
      </c>
      <c r="N85" s="38">
        <v>5.9516280000000004</v>
      </c>
      <c r="O85" s="38" t="s">
        <v>120</v>
      </c>
      <c r="P85" s="38" t="s">
        <v>120</v>
      </c>
      <c r="Q85" s="38" t="s">
        <v>119</v>
      </c>
      <c r="R85" s="38" t="s">
        <v>119</v>
      </c>
      <c r="S85" s="38" t="s">
        <v>119</v>
      </c>
      <c r="T85" s="38">
        <v>61.667695000000002</v>
      </c>
      <c r="U85" s="38">
        <v>85.116673000000006</v>
      </c>
      <c r="V85" s="38" t="s">
        <v>119</v>
      </c>
      <c r="W85" s="38" t="s">
        <v>119</v>
      </c>
      <c r="X85" s="38" t="s">
        <v>119</v>
      </c>
      <c r="Y85" s="38" t="s">
        <v>119</v>
      </c>
      <c r="Z85" s="38" t="s">
        <v>119</v>
      </c>
      <c r="AA85" s="38" t="s">
        <v>119</v>
      </c>
      <c r="AB85" s="38" t="s">
        <v>119</v>
      </c>
      <c r="AC85" s="38" t="s">
        <v>119</v>
      </c>
      <c r="AD85" s="38" t="s">
        <v>119</v>
      </c>
      <c r="AE85" s="38" t="s">
        <v>119</v>
      </c>
      <c r="AF85" s="38" t="s">
        <v>119</v>
      </c>
      <c r="AG85" s="38" t="s">
        <v>119</v>
      </c>
      <c r="AH85" s="38" t="s">
        <v>119</v>
      </c>
      <c r="AI85" s="38" t="s">
        <v>119</v>
      </c>
      <c r="AJ85" s="38" t="s">
        <v>119</v>
      </c>
      <c r="AK85" s="38" t="s">
        <v>119</v>
      </c>
      <c r="AL85" s="38" t="s">
        <v>119</v>
      </c>
      <c r="AM85" s="38" t="s">
        <v>119</v>
      </c>
      <c r="AN85" s="38" t="s">
        <v>119</v>
      </c>
      <c r="AO85" s="38" t="s">
        <v>119</v>
      </c>
      <c r="AP85" s="38" t="s">
        <v>119</v>
      </c>
      <c r="AQ85" s="38" t="s">
        <v>119</v>
      </c>
      <c r="AR85" s="38" t="s">
        <v>119</v>
      </c>
      <c r="AS85" s="38" t="s">
        <v>119</v>
      </c>
      <c r="AT85" s="38" t="s">
        <v>119</v>
      </c>
      <c r="AU85" s="38" t="s">
        <v>119</v>
      </c>
      <c r="AV85" s="38" t="s">
        <v>119</v>
      </c>
      <c r="AW85" s="38" t="s">
        <v>119</v>
      </c>
      <c r="AX85" s="38" t="s">
        <v>119</v>
      </c>
    </row>
    <row r="86" spans="1:50" x14ac:dyDescent="0.45">
      <c r="A86" s="38" t="s">
        <v>204</v>
      </c>
      <c r="B86" s="38">
        <v>87</v>
      </c>
      <c r="C86" s="38" t="s">
        <v>118</v>
      </c>
      <c r="D86" s="38">
        <v>87</v>
      </c>
      <c r="E86" s="38">
        <v>17950</v>
      </c>
      <c r="F86" s="38">
        <f t="shared" si="2"/>
        <v>17.95</v>
      </c>
      <c r="G86" s="38">
        <v>5219062.5</v>
      </c>
      <c r="H86" s="38">
        <f t="shared" si="3"/>
        <v>5.2190624999999997</v>
      </c>
      <c r="I86" s="38">
        <v>2653</v>
      </c>
      <c r="J86" s="38">
        <v>2653</v>
      </c>
      <c r="K86" s="38" t="s">
        <v>119</v>
      </c>
      <c r="L86" s="38" t="s">
        <v>119</v>
      </c>
      <c r="M86" s="38" t="s">
        <v>119</v>
      </c>
      <c r="N86" s="38">
        <v>6.987501</v>
      </c>
      <c r="O86" s="38" t="s">
        <v>120</v>
      </c>
      <c r="P86" s="38" t="s">
        <v>120</v>
      </c>
      <c r="Q86" s="38" t="s">
        <v>119</v>
      </c>
      <c r="R86" s="38" t="s">
        <v>119</v>
      </c>
      <c r="S86" s="38" t="s">
        <v>119</v>
      </c>
      <c r="T86" s="38">
        <v>54.876314999999998</v>
      </c>
      <c r="U86" s="38">
        <v>80.511207999999996</v>
      </c>
      <c r="V86" s="38" t="s">
        <v>119</v>
      </c>
      <c r="W86" s="38" t="s">
        <v>119</v>
      </c>
      <c r="X86" s="38" t="s">
        <v>119</v>
      </c>
      <c r="Y86" s="38" t="s">
        <v>119</v>
      </c>
      <c r="Z86" s="38" t="s">
        <v>119</v>
      </c>
      <c r="AA86" s="38" t="s">
        <v>119</v>
      </c>
      <c r="AB86" s="38" t="s">
        <v>119</v>
      </c>
      <c r="AC86" s="38" t="s">
        <v>119</v>
      </c>
      <c r="AD86" s="38" t="s">
        <v>119</v>
      </c>
      <c r="AE86" s="38" t="s">
        <v>119</v>
      </c>
      <c r="AF86" s="38" t="s">
        <v>119</v>
      </c>
      <c r="AG86" s="38" t="s">
        <v>119</v>
      </c>
      <c r="AH86" s="38" t="s">
        <v>119</v>
      </c>
      <c r="AI86" s="38" t="s">
        <v>119</v>
      </c>
      <c r="AJ86" s="38" t="s">
        <v>119</v>
      </c>
      <c r="AK86" s="38" t="s">
        <v>119</v>
      </c>
      <c r="AL86" s="38" t="s">
        <v>119</v>
      </c>
      <c r="AM86" s="38" t="s">
        <v>119</v>
      </c>
      <c r="AN86" s="38" t="s">
        <v>119</v>
      </c>
      <c r="AO86" s="38" t="s">
        <v>119</v>
      </c>
      <c r="AP86" s="38" t="s">
        <v>119</v>
      </c>
      <c r="AQ86" s="38" t="s">
        <v>119</v>
      </c>
      <c r="AR86" s="38" t="s">
        <v>119</v>
      </c>
      <c r="AS86" s="38" t="s">
        <v>119</v>
      </c>
      <c r="AT86" s="38" t="s">
        <v>119</v>
      </c>
      <c r="AU86" s="38" t="s">
        <v>119</v>
      </c>
      <c r="AV86" s="38" t="s">
        <v>119</v>
      </c>
      <c r="AW86" s="38" t="s">
        <v>119</v>
      </c>
      <c r="AX86" s="38" t="s">
        <v>119</v>
      </c>
    </row>
    <row r="87" spans="1:50" x14ac:dyDescent="0.45">
      <c r="A87" s="38" t="s">
        <v>205</v>
      </c>
      <c r="B87" s="38">
        <v>88</v>
      </c>
      <c r="C87" s="38" t="s">
        <v>118</v>
      </c>
      <c r="D87" s="38">
        <v>88</v>
      </c>
      <c r="E87" s="38">
        <v>38200</v>
      </c>
      <c r="F87" s="38">
        <f t="shared" si="2"/>
        <v>38.200000000000003</v>
      </c>
      <c r="G87" s="38">
        <v>9760000</v>
      </c>
      <c r="H87" s="38">
        <f t="shared" si="3"/>
        <v>9.76</v>
      </c>
      <c r="I87" s="38">
        <v>2654</v>
      </c>
      <c r="J87" s="38">
        <v>2654</v>
      </c>
      <c r="K87" s="38" t="s">
        <v>119</v>
      </c>
      <c r="L87" s="38" t="s">
        <v>119</v>
      </c>
      <c r="M87" s="38" t="s">
        <v>119</v>
      </c>
      <c r="N87" s="38">
        <v>8.1946820000000002</v>
      </c>
      <c r="O87" s="38" t="s">
        <v>120</v>
      </c>
      <c r="P87" s="38" t="s">
        <v>120</v>
      </c>
      <c r="Q87" s="38" t="s">
        <v>119</v>
      </c>
      <c r="R87" s="38" t="s">
        <v>119</v>
      </c>
      <c r="S87" s="38" t="s">
        <v>119</v>
      </c>
      <c r="T87" s="38">
        <v>68.476712000000006</v>
      </c>
      <c r="U87" s="38">
        <v>78.689666000000003</v>
      </c>
      <c r="V87" s="38" t="s">
        <v>119</v>
      </c>
      <c r="W87" s="38" t="s">
        <v>119</v>
      </c>
      <c r="X87" s="38" t="s">
        <v>119</v>
      </c>
      <c r="Y87" s="38" t="s">
        <v>119</v>
      </c>
      <c r="Z87" s="38" t="s">
        <v>119</v>
      </c>
      <c r="AA87" s="38" t="s">
        <v>119</v>
      </c>
      <c r="AB87" s="38" t="s">
        <v>119</v>
      </c>
      <c r="AC87" s="38" t="s">
        <v>119</v>
      </c>
      <c r="AD87" s="38" t="s">
        <v>119</v>
      </c>
      <c r="AE87" s="38" t="s">
        <v>119</v>
      </c>
      <c r="AF87" s="38" t="s">
        <v>119</v>
      </c>
      <c r="AG87" s="38" t="s">
        <v>119</v>
      </c>
      <c r="AH87" s="38" t="s">
        <v>119</v>
      </c>
      <c r="AI87" s="38" t="s">
        <v>119</v>
      </c>
      <c r="AJ87" s="38" t="s">
        <v>119</v>
      </c>
      <c r="AK87" s="38" t="s">
        <v>119</v>
      </c>
      <c r="AL87" s="38" t="s">
        <v>119</v>
      </c>
      <c r="AM87" s="38" t="s">
        <v>119</v>
      </c>
      <c r="AN87" s="38" t="s">
        <v>119</v>
      </c>
      <c r="AO87" s="38" t="s">
        <v>119</v>
      </c>
      <c r="AP87" s="38" t="s">
        <v>119</v>
      </c>
      <c r="AQ87" s="38" t="s">
        <v>119</v>
      </c>
      <c r="AR87" s="38" t="s">
        <v>119</v>
      </c>
      <c r="AS87" s="38" t="s">
        <v>119</v>
      </c>
      <c r="AT87" s="38" t="s">
        <v>119</v>
      </c>
      <c r="AU87" s="38" t="s">
        <v>119</v>
      </c>
      <c r="AV87" s="38" t="s">
        <v>119</v>
      </c>
      <c r="AW87" s="38" t="s">
        <v>119</v>
      </c>
      <c r="AX87" s="38" t="s">
        <v>119</v>
      </c>
    </row>
    <row r="88" spans="1:50" x14ac:dyDescent="0.45">
      <c r="A88" s="38" t="s">
        <v>206</v>
      </c>
      <c r="B88" s="38">
        <v>89</v>
      </c>
      <c r="C88" s="38" t="s">
        <v>118</v>
      </c>
      <c r="D88" s="38">
        <v>89</v>
      </c>
      <c r="E88" s="38">
        <v>29475</v>
      </c>
      <c r="F88" s="38">
        <f t="shared" si="2"/>
        <v>29.475000000000001</v>
      </c>
      <c r="G88" s="38">
        <v>9858593.75</v>
      </c>
      <c r="H88" s="38">
        <f t="shared" si="3"/>
        <v>9.8585937500000007</v>
      </c>
      <c r="I88" s="38">
        <v>2655</v>
      </c>
      <c r="J88" s="38">
        <v>2655</v>
      </c>
      <c r="K88" s="38" t="s">
        <v>119</v>
      </c>
      <c r="L88" s="38" t="s">
        <v>119</v>
      </c>
      <c r="M88" s="38" t="s">
        <v>119</v>
      </c>
      <c r="N88" s="38">
        <v>6.607011</v>
      </c>
      <c r="O88" s="38" t="s">
        <v>120</v>
      </c>
      <c r="P88" s="38" t="s">
        <v>120</v>
      </c>
      <c r="Q88" s="38" t="s">
        <v>119</v>
      </c>
      <c r="R88" s="38" t="s">
        <v>119</v>
      </c>
      <c r="S88" s="38" t="s">
        <v>119</v>
      </c>
      <c r="T88" s="38">
        <v>60.627301000000003</v>
      </c>
      <c r="U88" s="38">
        <v>79.047848999999999</v>
      </c>
      <c r="V88" s="38" t="s">
        <v>119</v>
      </c>
      <c r="W88" s="38" t="s">
        <v>119</v>
      </c>
      <c r="X88" s="38" t="s">
        <v>119</v>
      </c>
      <c r="Y88" s="38" t="s">
        <v>119</v>
      </c>
      <c r="Z88" s="38" t="s">
        <v>119</v>
      </c>
      <c r="AA88" s="38" t="s">
        <v>119</v>
      </c>
      <c r="AB88" s="38" t="s">
        <v>119</v>
      </c>
      <c r="AC88" s="38" t="s">
        <v>119</v>
      </c>
      <c r="AD88" s="38" t="s">
        <v>119</v>
      </c>
      <c r="AE88" s="38" t="s">
        <v>119</v>
      </c>
      <c r="AF88" s="38" t="s">
        <v>119</v>
      </c>
      <c r="AG88" s="38" t="s">
        <v>119</v>
      </c>
      <c r="AH88" s="38" t="s">
        <v>119</v>
      </c>
      <c r="AI88" s="38" t="s">
        <v>119</v>
      </c>
      <c r="AJ88" s="38" t="s">
        <v>119</v>
      </c>
      <c r="AK88" s="38" t="s">
        <v>119</v>
      </c>
      <c r="AL88" s="38" t="s">
        <v>119</v>
      </c>
      <c r="AM88" s="38" t="s">
        <v>119</v>
      </c>
      <c r="AN88" s="38" t="s">
        <v>119</v>
      </c>
      <c r="AO88" s="38" t="s">
        <v>119</v>
      </c>
      <c r="AP88" s="38" t="s">
        <v>119</v>
      </c>
      <c r="AQ88" s="38" t="s">
        <v>119</v>
      </c>
      <c r="AR88" s="38" t="s">
        <v>119</v>
      </c>
      <c r="AS88" s="38" t="s">
        <v>119</v>
      </c>
      <c r="AT88" s="38" t="s">
        <v>119</v>
      </c>
      <c r="AU88" s="38" t="s">
        <v>119</v>
      </c>
      <c r="AV88" s="38" t="s">
        <v>119</v>
      </c>
      <c r="AW88" s="38" t="s">
        <v>119</v>
      </c>
      <c r="AX88" s="38" t="s">
        <v>119</v>
      </c>
    </row>
    <row r="89" spans="1:50" x14ac:dyDescent="0.45">
      <c r="A89" s="38" t="s">
        <v>207</v>
      </c>
      <c r="B89" s="38">
        <v>90</v>
      </c>
      <c r="C89" s="38" t="s">
        <v>118</v>
      </c>
      <c r="D89" s="38">
        <v>90</v>
      </c>
      <c r="E89" s="38">
        <v>6275</v>
      </c>
      <c r="F89" s="38">
        <f t="shared" si="2"/>
        <v>6.2750000000000004</v>
      </c>
      <c r="G89" s="38">
        <v>735312.5</v>
      </c>
      <c r="H89" s="38">
        <f t="shared" si="3"/>
        <v>0.73531250000000004</v>
      </c>
      <c r="I89" s="38">
        <v>2656</v>
      </c>
      <c r="J89" s="38">
        <v>2656</v>
      </c>
      <c r="K89" s="38" t="s">
        <v>119</v>
      </c>
      <c r="L89" s="38" t="s">
        <v>119</v>
      </c>
      <c r="M89" s="38" t="s">
        <v>119</v>
      </c>
      <c r="N89" s="38">
        <v>6.4763450000000002</v>
      </c>
      <c r="O89" s="38" t="s">
        <v>120</v>
      </c>
      <c r="P89" s="38" t="s">
        <v>120</v>
      </c>
      <c r="Q89" s="38" t="s">
        <v>119</v>
      </c>
      <c r="R89" s="38" t="s">
        <v>119</v>
      </c>
      <c r="S89" s="38" t="s">
        <v>119</v>
      </c>
      <c r="T89" s="38">
        <v>62.958973999999998</v>
      </c>
      <c r="U89" s="38">
        <v>91.653204000000002</v>
      </c>
      <c r="V89" s="38" t="s">
        <v>119</v>
      </c>
      <c r="W89" s="38" t="s">
        <v>119</v>
      </c>
      <c r="X89" s="38" t="s">
        <v>119</v>
      </c>
      <c r="Y89" s="38" t="s">
        <v>119</v>
      </c>
      <c r="Z89" s="38" t="s">
        <v>119</v>
      </c>
      <c r="AA89" s="38" t="s">
        <v>119</v>
      </c>
      <c r="AB89" s="38" t="s">
        <v>119</v>
      </c>
      <c r="AC89" s="38" t="s">
        <v>119</v>
      </c>
      <c r="AD89" s="38" t="s">
        <v>119</v>
      </c>
      <c r="AE89" s="38" t="s">
        <v>119</v>
      </c>
      <c r="AF89" s="38" t="s">
        <v>119</v>
      </c>
      <c r="AG89" s="38" t="s">
        <v>119</v>
      </c>
      <c r="AH89" s="38" t="s">
        <v>119</v>
      </c>
      <c r="AI89" s="38" t="s">
        <v>119</v>
      </c>
      <c r="AJ89" s="38" t="s">
        <v>119</v>
      </c>
      <c r="AK89" s="38" t="s">
        <v>119</v>
      </c>
      <c r="AL89" s="38" t="s">
        <v>119</v>
      </c>
      <c r="AM89" s="38" t="s">
        <v>119</v>
      </c>
      <c r="AN89" s="38" t="s">
        <v>119</v>
      </c>
      <c r="AO89" s="38" t="s">
        <v>119</v>
      </c>
      <c r="AP89" s="38" t="s">
        <v>119</v>
      </c>
      <c r="AQ89" s="38" t="s">
        <v>119</v>
      </c>
      <c r="AR89" s="38" t="s">
        <v>119</v>
      </c>
      <c r="AS89" s="38" t="s">
        <v>119</v>
      </c>
      <c r="AT89" s="38" t="s">
        <v>119</v>
      </c>
      <c r="AU89" s="38" t="s">
        <v>119</v>
      </c>
      <c r="AV89" s="38" t="s">
        <v>119</v>
      </c>
      <c r="AW89" s="38" t="s">
        <v>119</v>
      </c>
      <c r="AX89" s="38" t="s">
        <v>119</v>
      </c>
    </row>
    <row r="90" spans="1:50" x14ac:dyDescent="0.45">
      <c r="A90" s="38" t="s">
        <v>208</v>
      </c>
      <c r="B90" s="38">
        <v>91</v>
      </c>
      <c r="C90" s="38" t="s">
        <v>118</v>
      </c>
      <c r="D90" s="38">
        <v>91</v>
      </c>
      <c r="E90" s="38">
        <v>19450</v>
      </c>
      <c r="F90" s="38">
        <f t="shared" si="2"/>
        <v>19.45</v>
      </c>
      <c r="G90" s="38">
        <v>4203281.25</v>
      </c>
      <c r="H90" s="38">
        <f t="shared" si="3"/>
        <v>4.2032812499999999</v>
      </c>
      <c r="I90" s="38">
        <v>2657</v>
      </c>
      <c r="J90" s="38">
        <v>2657</v>
      </c>
      <c r="K90" s="38" t="s">
        <v>119</v>
      </c>
      <c r="L90" s="38" t="s">
        <v>119</v>
      </c>
      <c r="M90" s="38" t="s">
        <v>119</v>
      </c>
      <c r="N90" s="38">
        <v>5.1193</v>
      </c>
      <c r="O90" s="38" t="s">
        <v>120</v>
      </c>
      <c r="P90" s="38" t="s">
        <v>120</v>
      </c>
      <c r="Q90" s="38" t="s">
        <v>119</v>
      </c>
      <c r="R90" s="38" t="s">
        <v>119</v>
      </c>
      <c r="S90" s="38" t="s">
        <v>119</v>
      </c>
      <c r="T90" s="38">
        <v>67</v>
      </c>
      <c r="U90" s="38">
        <v>89.751062000000005</v>
      </c>
      <c r="V90" s="38" t="s">
        <v>119</v>
      </c>
      <c r="W90" s="38" t="s">
        <v>119</v>
      </c>
      <c r="X90" s="38" t="s">
        <v>119</v>
      </c>
      <c r="Y90" s="38" t="s">
        <v>119</v>
      </c>
      <c r="Z90" s="38" t="s">
        <v>119</v>
      </c>
      <c r="AA90" s="38" t="s">
        <v>119</v>
      </c>
      <c r="AB90" s="38" t="s">
        <v>119</v>
      </c>
      <c r="AC90" s="38" t="s">
        <v>119</v>
      </c>
      <c r="AD90" s="38" t="s">
        <v>119</v>
      </c>
      <c r="AE90" s="38" t="s">
        <v>119</v>
      </c>
      <c r="AF90" s="38" t="s">
        <v>119</v>
      </c>
      <c r="AG90" s="38" t="s">
        <v>119</v>
      </c>
      <c r="AH90" s="38" t="s">
        <v>119</v>
      </c>
      <c r="AI90" s="38" t="s">
        <v>119</v>
      </c>
      <c r="AJ90" s="38" t="s">
        <v>119</v>
      </c>
      <c r="AK90" s="38" t="s">
        <v>119</v>
      </c>
      <c r="AL90" s="38" t="s">
        <v>119</v>
      </c>
      <c r="AM90" s="38" t="s">
        <v>119</v>
      </c>
      <c r="AN90" s="38" t="s">
        <v>119</v>
      </c>
      <c r="AO90" s="38" t="s">
        <v>119</v>
      </c>
      <c r="AP90" s="38" t="s">
        <v>119</v>
      </c>
      <c r="AQ90" s="38" t="s">
        <v>119</v>
      </c>
      <c r="AR90" s="38" t="s">
        <v>119</v>
      </c>
      <c r="AS90" s="38" t="s">
        <v>119</v>
      </c>
      <c r="AT90" s="38" t="s">
        <v>119</v>
      </c>
      <c r="AU90" s="38" t="s">
        <v>119</v>
      </c>
      <c r="AV90" s="38" t="s">
        <v>119</v>
      </c>
      <c r="AW90" s="38" t="s">
        <v>119</v>
      </c>
      <c r="AX90" s="38" t="s">
        <v>119</v>
      </c>
    </row>
    <row r="91" spans="1:50" x14ac:dyDescent="0.45">
      <c r="A91" s="38" t="s">
        <v>209</v>
      </c>
      <c r="B91" s="38">
        <v>92</v>
      </c>
      <c r="C91" s="38" t="s">
        <v>118</v>
      </c>
      <c r="D91" s="38">
        <v>92</v>
      </c>
      <c r="E91" s="38">
        <v>6700</v>
      </c>
      <c r="F91" s="38">
        <f t="shared" si="2"/>
        <v>6.7</v>
      </c>
      <c r="G91" s="38">
        <v>718750</v>
      </c>
      <c r="H91" s="38">
        <f t="shared" si="3"/>
        <v>0.71875</v>
      </c>
      <c r="I91" s="38">
        <v>2658</v>
      </c>
      <c r="J91" s="38">
        <v>2658</v>
      </c>
      <c r="K91" s="38" t="s">
        <v>119</v>
      </c>
      <c r="L91" s="38" t="s">
        <v>119</v>
      </c>
      <c r="M91" s="38" t="s">
        <v>119</v>
      </c>
      <c r="N91" s="38">
        <v>6.3954680000000002</v>
      </c>
      <c r="O91" s="38" t="s">
        <v>120</v>
      </c>
      <c r="P91" s="38" t="s">
        <v>120</v>
      </c>
      <c r="Q91" s="38" t="s">
        <v>119</v>
      </c>
      <c r="R91" s="38" t="s">
        <v>119</v>
      </c>
      <c r="S91" s="38" t="s">
        <v>119</v>
      </c>
      <c r="T91" s="38">
        <v>72.386126000000004</v>
      </c>
      <c r="U91" s="38">
        <v>79.901764999999997</v>
      </c>
      <c r="V91" s="38" t="s">
        <v>119</v>
      </c>
      <c r="W91" s="38" t="s">
        <v>119</v>
      </c>
      <c r="X91" s="38" t="s">
        <v>119</v>
      </c>
      <c r="Y91" s="38" t="s">
        <v>119</v>
      </c>
      <c r="Z91" s="38" t="s">
        <v>119</v>
      </c>
      <c r="AA91" s="38" t="s">
        <v>119</v>
      </c>
      <c r="AB91" s="38" t="s">
        <v>119</v>
      </c>
      <c r="AC91" s="38" t="s">
        <v>119</v>
      </c>
      <c r="AD91" s="38" t="s">
        <v>119</v>
      </c>
      <c r="AE91" s="38" t="s">
        <v>119</v>
      </c>
      <c r="AF91" s="38" t="s">
        <v>119</v>
      </c>
      <c r="AG91" s="38" t="s">
        <v>119</v>
      </c>
      <c r="AH91" s="38" t="s">
        <v>119</v>
      </c>
      <c r="AI91" s="38" t="s">
        <v>119</v>
      </c>
      <c r="AJ91" s="38" t="s">
        <v>119</v>
      </c>
      <c r="AK91" s="38" t="s">
        <v>119</v>
      </c>
      <c r="AL91" s="38" t="s">
        <v>119</v>
      </c>
      <c r="AM91" s="38" t="s">
        <v>119</v>
      </c>
      <c r="AN91" s="38" t="s">
        <v>119</v>
      </c>
      <c r="AO91" s="38" t="s">
        <v>119</v>
      </c>
      <c r="AP91" s="38" t="s">
        <v>119</v>
      </c>
      <c r="AQ91" s="38" t="s">
        <v>119</v>
      </c>
      <c r="AR91" s="38" t="s">
        <v>119</v>
      </c>
      <c r="AS91" s="38" t="s">
        <v>119</v>
      </c>
      <c r="AT91" s="38" t="s">
        <v>119</v>
      </c>
      <c r="AU91" s="38" t="s">
        <v>119</v>
      </c>
      <c r="AV91" s="38" t="s">
        <v>119</v>
      </c>
      <c r="AW91" s="38" t="s">
        <v>119</v>
      </c>
      <c r="AX91" s="38" t="s">
        <v>119</v>
      </c>
    </row>
    <row r="92" spans="1:50" x14ac:dyDescent="0.45">
      <c r="A92" s="38" t="s">
        <v>210</v>
      </c>
      <c r="B92" s="38">
        <v>93</v>
      </c>
      <c r="C92" s="38" t="s">
        <v>118</v>
      </c>
      <c r="D92" s="38">
        <v>93</v>
      </c>
      <c r="E92" s="38">
        <v>3625</v>
      </c>
      <c r="F92" s="38">
        <f t="shared" si="2"/>
        <v>3.625</v>
      </c>
      <c r="G92" s="38">
        <v>251562.5</v>
      </c>
      <c r="H92" s="38">
        <f t="shared" si="3"/>
        <v>0.25156250000000002</v>
      </c>
      <c r="I92" s="38">
        <v>2659</v>
      </c>
      <c r="J92" s="38">
        <v>2659</v>
      </c>
      <c r="K92" s="38" t="s">
        <v>119</v>
      </c>
      <c r="L92" s="38" t="s">
        <v>119</v>
      </c>
      <c r="M92" s="38" t="s">
        <v>119</v>
      </c>
      <c r="N92" s="38">
        <v>6.7186029999999999</v>
      </c>
      <c r="O92" s="38" t="s">
        <v>120</v>
      </c>
      <c r="P92" s="38" t="s">
        <v>120</v>
      </c>
      <c r="Q92" s="38" t="s">
        <v>119</v>
      </c>
      <c r="R92" s="38" t="s">
        <v>119</v>
      </c>
      <c r="S92" s="38" t="s">
        <v>119</v>
      </c>
      <c r="T92" s="38">
        <v>67</v>
      </c>
      <c r="U92" s="38">
        <v>93.147015999999994</v>
      </c>
      <c r="V92" s="38" t="s">
        <v>119</v>
      </c>
      <c r="W92" s="38" t="s">
        <v>119</v>
      </c>
      <c r="X92" s="38" t="s">
        <v>119</v>
      </c>
      <c r="Y92" s="38" t="s">
        <v>119</v>
      </c>
      <c r="Z92" s="38" t="s">
        <v>119</v>
      </c>
      <c r="AA92" s="38" t="s">
        <v>119</v>
      </c>
      <c r="AB92" s="38" t="s">
        <v>119</v>
      </c>
      <c r="AC92" s="38" t="s">
        <v>119</v>
      </c>
      <c r="AD92" s="38" t="s">
        <v>119</v>
      </c>
      <c r="AE92" s="38" t="s">
        <v>119</v>
      </c>
      <c r="AF92" s="38" t="s">
        <v>119</v>
      </c>
      <c r="AG92" s="38" t="s">
        <v>119</v>
      </c>
      <c r="AH92" s="38" t="s">
        <v>119</v>
      </c>
      <c r="AI92" s="38" t="s">
        <v>119</v>
      </c>
      <c r="AJ92" s="38" t="s">
        <v>119</v>
      </c>
      <c r="AK92" s="38" t="s">
        <v>119</v>
      </c>
      <c r="AL92" s="38" t="s">
        <v>119</v>
      </c>
      <c r="AM92" s="38" t="s">
        <v>119</v>
      </c>
      <c r="AN92" s="38" t="s">
        <v>119</v>
      </c>
      <c r="AO92" s="38" t="s">
        <v>119</v>
      </c>
      <c r="AP92" s="38" t="s">
        <v>119</v>
      </c>
      <c r="AQ92" s="38" t="s">
        <v>119</v>
      </c>
      <c r="AR92" s="38" t="s">
        <v>119</v>
      </c>
      <c r="AS92" s="38" t="s">
        <v>119</v>
      </c>
      <c r="AT92" s="38" t="s">
        <v>119</v>
      </c>
      <c r="AU92" s="38" t="s">
        <v>119</v>
      </c>
      <c r="AV92" s="38" t="s">
        <v>119</v>
      </c>
      <c r="AW92" s="38" t="s">
        <v>119</v>
      </c>
      <c r="AX92" s="38" t="s">
        <v>119</v>
      </c>
    </row>
    <row r="93" spans="1:50" x14ac:dyDescent="0.45">
      <c r="A93" s="38" t="s">
        <v>211</v>
      </c>
      <c r="B93" s="38">
        <v>94</v>
      </c>
      <c r="C93" s="38" t="s">
        <v>118</v>
      </c>
      <c r="D93" s="38">
        <v>94</v>
      </c>
      <c r="E93" s="38">
        <v>55175</v>
      </c>
      <c r="F93" s="38">
        <f t="shared" si="2"/>
        <v>55.174999999999997</v>
      </c>
      <c r="G93" s="38">
        <v>31942500</v>
      </c>
      <c r="H93" s="38">
        <f t="shared" si="3"/>
        <v>31.942499999999999</v>
      </c>
      <c r="I93" s="38">
        <v>2660</v>
      </c>
      <c r="J93" s="38">
        <v>2660</v>
      </c>
      <c r="K93" s="38" t="s">
        <v>119</v>
      </c>
      <c r="L93" s="38" t="s">
        <v>119</v>
      </c>
      <c r="M93" s="38" t="s">
        <v>119</v>
      </c>
      <c r="N93" s="38">
        <v>25.405556000000001</v>
      </c>
      <c r="O93" s="38" t="s">
        <v>120</v>
      </c>
      <c r="P93" s="38" t="s">
        <v>120</v>
      </c>
      <c r="Q93" s="38" t="s">
        <v>119</v>
      </c>
      <c r="R93" s="38" t="s">
        <v>119</v>
      </c>
      <c r="S93" s="38" t="s">
        <v>119</v>
      </c>
      <c r="T93" s="38">
        <v>72.390029999999996</v>
      </c>
      <c r="U93" s="38">
        <v>76.826407000000003</v>
      </c>
      <c r="V93" s="38" t="s">
        <v>119</v>
      </c>
      <c r="W93" s="38" t="s">
        <v>119</v>
      </c>
      <c r="X93" s="38" t="s">
        <v>119</v>
      </c>
      <c r="Y93" s="38" t="s">
        <v>119</v>
      </c>
      <c r="Z93" s="38" t="s">
        <v>119</v>
      </c>
      <c r="AA93" s="38" t="s">
        <v>119</v>
      </c>
      <c r="AB93" s="38" t="s">
        <v>119</v>
      </c>
      <c r="AC93" s="38" t="s">
        <v>119</v>
      </c>
      <c r="AD93" s="38" t="s">
        <v>119</v>
      </c>
      <c r="AE93" s="38" t="s">
        <v>119</v>
      </c>
      <c r="AF93" s="38" t="s">
        <v>119</v>
      </c>
      <c r="AG93" s="38" t="s">
        <v>119</v>
      </c>
      <c r="AH93" s="38" t="s">
        <v>119</v>
      </c>
      <c r="AI93" s="38" t="s">
        <v>119</v>
      </c>
      <c r="AJ93" s="38" t="s">
        <v>119</v>
      </c>
      <c r="AK93" s="38" t="s">
        <v>119</v>
      </c>
      <c r="AL93" s="38" t="s">
        <v>119</v>
      </c>
      <c r="AM93" s="38" t="s">
        <v>119</v>
      </c>
      <c r="AN93" s="38" t="s">
        <v>119</v>
      </c>
      <c r="AO93" s="38" t="s">
        <v>119</v>
      </c>
      <c r="AP93" s="38" t="s">
        <v>119</v>
      </c>
      <c r="AQ93" s="38" t="s">
        <v>119</v>
      </c>
      <c r="AR93" s="38" t="s">
        <v>119</v>
      </c>
      <c r="AS93" s="38" t="s">
        <v>119</v>
      </c>
      <c r="AT93" s="38" t="s">
        <v>119</v>
      </c>
      <c r="AU93" s="38" t="s">
        <v>119</v>
      </c>
      <c r="AV93" s="38" t="s">
        <v>119</v>
      </c>
      <c r="AW93" s="38" t="s">
        <v>119</v>
      </c>
      <c r="AX93" s="38" t="s">
        <v>119</v>
      </c>
    </row>
    <row r="94" spans="1:50" x14ac:dyDescent="0.45">
      <c r="A94" s="38" t="s">
        <v>212</v>
      </c>
      <c r="B94" s="38">
        <v>96</v>
      </c>
      <c r="C94" s="38" t="s">
        <v>118</v>
      </c>
      <c r="D94" s="38">
        <v>96</v>
      </c>
      <c r="E94" s="38">
        <v>19425</v>
      </c>
      <c r="F94" s="38">
        <f t="shared" si="2"/>
        <v>19.425000000000001</v>
      </c>
      <c r="G94" s="38">
        <v>4948437.5</v>
      </c>
      <c r="H94" s="38">
        <f t="shared" si="3"/>
        <v>4.9484374999999998</v>
      </c>
      <c r="I94" s="38">
        <v>2662</v>
      </c>
      <c r="J94" s="38">
        <v>2662</v>
      </c>
      <c r="K94" s="38" t="s">
        <v>119</v>
      </c>
      <c r="L94" s="38" t="s">
        <v>119</v>
      </c>
      <c r="M94" s="38" t="s">
        <v>119</v>
      </c>
      <c r="N94" s="38">
        <v>5.5637160000000003</v>
      </c>
      <c r="O94" s="38" t="s">
        <v>120</v>
      </c>
      <c r="P94" s="38" t="s">
        <v>120</v>
      </c>
      <c r="Q94" s="38" t="s">
        <v>119</v>
      </c>
      <c r="R94" s="38" t="s">
        <v>119</v>
      </c>
      <c r="S94" s="38" t="s">
        <v>119</v>
      </c>
      <c r="T94" s="38">
        <v>65.204632000000004</v>
      </c>
      <c r="U94" s="38">
        <v>94.027590000000004</v>
      </c>
      <c r="V94" s="38" t="s">
        <v>119</v>
      </c>
      <c r="W94" s="38" t="s">
        <v>119</v>
      </c>
      <c r="X94" s="38" t="s">
        <v>119</v>
      </c>
      <c r="Y94" s="38" t="s">
        <v>119</v>
      </c>
      <c r="Z94" s="38" t="s">
        <v>119</v>
      </c>
      <c r="AA94" s="38" t="s">
        <v>119</v>
      </c>
      <c r="AB94" s="38" t="s">
        <v>119</v>
      </c>
      <c r="AC94" s="38" t="s">
        <v>119</v>
      </c>
      <c r="AD94" s="38" t="s">
        <v>119</v>
      </c>
      <c r="AE94" s="38" t="s">
        <v>119</v>
      </c>
      <c r="AF94" s="38" t="s">
        <v>119</v>
      </c>
      <c r="AG94" s="38" t="s">
        <v>119</v>
      </c>
      <c r="AH94" s="38" t="s">
        <v>119</v>
      </c>
      <c r="AI94" s="38" t="s">
        <v>119</v>
      </c>
      <c r="AJ94" s="38" t="s">
        <v>119</v>
      </c>
      <c r="AK94" s="38" t="s">
        <v>119</v>
      </c>
      <c r="AL94" s="38" t="s">
        <v>119</v>
      </c>
      <c r="AM94" s="38" t="s">
        <v>119</v>
      </c>
      <c r="AN94" s="38" t="s">
        <v>119</v>
      </c>
      <c r="AO94" s="38" t="s">
        <v>119</v>
      </c>
      <c r="AP94" s="38" t="s">
        <v>119</v>
      </c>
      <c r="AQ94" s="38" t="s">
        <v>119</v>
      </c>
      <c r="AR94" s="38" t="s">
        <v>119</v>
      </c>
      <c r="AS94" s="38" t="s">
        <v>119</v>
      </c>
      <c r="AT94" s="38" t="s">
        <v>119</v>
      </c>
      <c r="AU94" s="38" t="s">
        <v>119</v>
      </c>
      <c r="AV94" s="38" t="s">
        <v>119</v>
      </c>
      <c r="AW94" s="38" t="s">
        <v>119</v>
      </c>
      <c r="AX94" s="38" t="s">
        <v>119</v>
      </c>
    </row>
    <row r="95" spans="1:50" x14ac:dyDescent="0.45">
      <c r="A95" s="38" t="s">
        <v>213</v>
      </c>
      <c r="B95" s="38">
        <v>97</v>
      </c>
      <c r="C95" s="38" t="s">
        <v>118</v>
      </c>
      <c r="D95" s="38">
        <v>97</v>
      </c>
      <c r="E95" s="38">
        <v>24000</v>
      </c>
      <c r="F95" s="38">
        <f t="shared" si="2"/>
        <v>24</v>
      </c>
      <c r="G95" s="38">
        <v>9543281.25</v>
      </c>
      <c r="H95" s="38">
        <f t="shared" si="3"/>
        <v>9.5432812499999997</v>
      </c>
      <c r="I95" s="38">
        <v>2663</v>
      </c>
      <c r="J95" s="38">
        <v>2663</v>
      </c>
      <c r="K95" s="38" t="s">
        <v>119</v>
      </c>
      <c r="L95" s="38" t="s">
        <v>119</v>
      </c>
      <c r="M95" s="38" t="s">
        <v>119</v>
      </c>
      <c r="N95" s="38">
        <v>6.1271139999999997</v>
      </c>
      <c r="O95" s="38" t="s">
        <v>120</v>
      </c>
      <c r="P95" s="38" t="s">
        <v>120</v>
      </c>
      <c r="Q95" s="38" t="s">
        <v>119</v>
      </c>
      <c r="R95" s="38" t="s">
        <v>119</v>
      </c>
      <c r="S95" s="38" t="s">
        <v>119</v>
      </c>
      <c r="T95" s="38">
        <v>65.021535</v>
      </c>
      <c r="U95" s="38">
        <v>95.882819999999995</v>
      </c>
      <c r="V95" s="38" t="s">
        <v>119</v>
      </c>
      <c r="W95" s="38" t="s">
        <v>119</v>
      </c>
      <c r="X95" s="38" t="s">
        <v>119</v>
      </c>
      <c r="Y95" s="38" t="s">
        <v>119</v>
      </c>
      <c r="Z95" s="38" t="s">
        <v>119</v>
      </c>
      <c r="AA95" s="38" t="s">
        <v>119</v>
      </c>
      <c r="AB95" s="38" t="s">
        <v>119</v>
      </c>
      <c r="AC95" s="38" t="s">
        <v>119</v>
      </c>
      <c r="AD95" s="38" t="s">
        <v>119</v>
      </c>
      <c r="AE95" s="38" t="s">
        <v>119</v>
      </c>
      <c r="AF95" s="38" t="s">
        <v>119</v>
      </c>
      <c r="AG95" s="38" t="s">
        <v>119</v>
      </c>
      <c r="AH95" s="38" t="s">
        <v>119</v>
      </c>
      <c r="AI95" s="38" t="s">
        <v>119</v>
      </c>
      <c r="AJ95" s="38" t="s">
        <v>119</v>
      </c>
      <c r="AK95" s="38" t="s">
        <v>119</v>
      </c>
      <c r="AL95" s="38" t="s">
        <v>119</v>
      </c>
      <c r="AM95" s="38" t="s">
        <v>119</v>
      </c>
      <c r="AN95" s="38" t="s">
        <v>119</v>
      </c>
      <c r="AO95" s="38" t="s">
        <v>119</v>
      </c>
      <c r="AP95" s="38" t="s">
        <v>119</v>
      </c>
      <c r="AQ95" s="38" t="s">
        <v>119</v>
      </c>
      <c r="AR95" s="38" t="s">
        <v>119</v>
      </c>
      <c r="AS95" s="38" t="s">
        <v>119</v>
      </c>
      <c r="AT95" s="38" t="s">
        <v>119</v>
      </c>
      <c r="AU95" s="38" t="s">
        <v>119</v>
      </c>
      <c r="AV95" s="38" t="s">
        <v>119</v>
      </c>
      <c r="AW95" s="38" t="s">
        <v>119</v>
      </c>
      <c r="AX95" s="38" t="s">
        <v>119</v>
      </c>
    </row>
    <row r="96" spans="1:50" x14ac:dyDescent="0.45">
      <c r="A96" s="38" t="s">
        <v>214</v>
      </c>
      <c r="B96" s="38">
        <v>98</v>
      </c>
      <c r="C96" s="38" t="s">
        <v>118</v>
      </c>
      <c r="D96" s="38">
        <v>98</v>
      </c>
      <c r="E96" s="38">
        <v>20150</v>
      </c>
      <c r="F96" s="38">
        <f t="shared" si="2"/>
        <v>20.149999999999999</v>
      </c>
      <c r="G96" s="38">
        <v>7172500</v>
      </c>
      <c r="H96" s="38">
        <f t="shared" si="3"/>
        <v>7.1725000000000003</v>
      </c>
      <c r="I96" s="38">
        <v>2664</v>
      </c>
      <c r="J96" s="38">
        <v>2664</v>
      </c>
      <c r="K96" s="38" t="s">
        <v>119</v>
      </c>
      <c r="L96" s="38" t="s">
        <v>119</v>
      </c>
      <c r="M96" s="38" t="s">
        <v>119</v>
      </c>
      <c r="N96" s="38">
        <v>8.0448789999999999</v>
      </c>
      <c r="O96" s="38" t="s">
        <v>120</v>
      </c>
      <c r="P96" s="38" t="s">
        <v>120</v>
      </c>
      <c r="Q96" s="38" t="s">
        <v>119</v>
      </c>
      <c r="R96" s="38" t="s">
        <v>119</v>
      </c>
      <c r="S96" s="38" t="s">
        <v>119</v>
      </c>
      <c r="T96" s="38">
        <v>52.461053</v>
      </c>
      <c r="U96" s="38">
        <v>78.442937999999998</v>
      </c>
      <c r="V96" s="38" t="s">
        <v>119</v>
      </c>
      <c r="W96" s="38" t="s">
        <v>119</v>
      </c>
      <c r="X96" s="38" t="s">
        <v>119</v>
      </c>
      <c r="Y96" s="38" t="s">
        <v>119</v>
      </c>
      <c r="Z96" s="38" t="s">
        <v>119</v>
      </c>
      <c r="AA96" s="38" t="s">
        <v>119</v>
      </c>
      <c r="AB96" s="38" t="s">
        <v>119</v>
      </c>
      <c r="AC96" s="38" t="s">
        <v>119</v>
      </c>
      <c r="AD96" s="38" t="s">
        <v>119</v>
      </c>
      <c r="AE96" s="38" t="s">
        <v>119</v>
      </c>
      <c r="AF96" s="38" t="s">
        <v>119</v>
      </c>
      <c r="AG96" s="38" t="s">
        <v>119</v>
      </c>
      <c r="AH96" s="38" t="s">
        <v>119</v>
      </c>
      <c r="AI96" s="38" t="s">
        <v>119</v>
      </c>
      <c r="AJ96" s="38" t="s">
        <v>119</v>
      </c>
      <c r="AK96" s="38" t="s">
        <v>119</v>
      </c>
      <c r="AL96" s="38" t="s">
        <v>119</v>
      </c>
      <c r="AM96" s="38" t="s">
        <v>119</v>
      </c>
      <c r="AN96" s="38" t="s">
        <v>119</v>
      </c>
      <c r="AO96" s="38" t="s">
        <v>119</v>
      </c>
      <c r="AP96" s="38" t="s">
        <v>119</v>
      </c>
      <c r="AQ96" s="38" t="s">
        <v>119</v>
      </c>
      <c r="AR96" s="38" t="s">
        <v>119</v>
      </c>
      <c r="AS96" s="38" t="s">
        <v>119</v>
      </c>
      <c r="AT96" s="38" t="s">
        <v>119</v>
      </c>
      <c r="AU96" s="38" t="s">
        <v>119</v>
      </c>
      <c r="AV96" s="38" t="s">
        <v>119</v>
      </c>
      <c r="AW96" s="38" t="s">
        <v>119</v>
      </c>
      <c r="AX96" s="38" t="s">
        <v>119</v>
      </c>
    </row>
    <row r="97" spans="1:50" x14ac:dyDescent="0.45">
      <c r="A97" s="38" t="s">
        <v>215</v>
      </c>
      <c r="B97" s="38">
        <v>99</v>
      </c>
      <c r="C97" s="38" t="s">
        <v>118</v>
      </c>
      <c r="D97" s="38">
        <v>99</v>
      </c>
      <c r="E97" s="38">
        <v>27825</v>
      </c>
      <c r="F97" s="38">
        <f t="shared" si="2"/>
        <v>27.824999999999999</v>
      </c>
      <c r="G97" s="38">
        <v>5262031.25</v>
      </c>
      <c r="H97" s="38">
        <f t="shared" si="3"/>
        <v>5.2620312499999997</v>
      </c>
      <c r="I97" s="38">
        <v>2665</v>
      </c>
      <c r="J97" s="38">
        <v>2665</v>
      </c>
      <c r="K97" s="38" t="s">
        <v>119</v>
      </c>
      <c r="L97" s="38" t="s">
        <v>119</v>
      </c>
      <c r="M97" s="38" t="s">
        <v>119</v>
      </c>
      <c r="N97" s="38">
        <v>17.142901999999999</v>
      </c>
      <c r="O97" s="38" t="s">
        <v>120</v>
      </c>
      <c r="P97" s="38" t="s">
        <v>120</v>
      </c>
      <c r="Q97" s="38" t="s">
        <v>119</v>
      </c>
      <c r="R97" s="38" t="s">
        <v>119</v>
      </c>
      <c r="S97" s="38" t="s">
        <v>119</v>
      </c>
      <c r="T97" s="38">
        <v>55.522834000000003</v>
      </c>
      <c r="U97" s="38">
        <v>76.194827000000004</v>
      </c>
      <c r="V97" s="38" t="s">
        <v>119</v>
      </c>
      <c r="W97" s="38" t="s">
        <v>119</v>
      </c>
      <c r="X97" s="38" t="s">
        <v>119</v>
      </c>
      <c r="Y97" s="38" t="s">
        <v>119</v>
      </c>
      <c r="Z97" s="38" t="s">
        <v>119</v>
      </c>
      <c r="AA97" s="38" t="s">
        <v>119</v>
      </c>
      <c r="AB97" s="38" t="s">
        <v>119</v>
      </c>
      <c r="AC97" s="38" t="s">
        <v>119</v>
      </c>
      <c r="AD97" s="38" t="s">
        <v>119</v>
      </c>
      <c r="AE97" s="38" t="s">
        <v>119</v>
      </c>
      <c r="AF97" s="38" t="s">
        <v>119</v>
      </c>
      <c r="AG97" s="38" t="s">
        <v>119</v>
      </c>
      <c r="AH97" s="38" t="s">
        <v>119</v>
      </c>
      <c r="AI97" s="38" t="s">
        <v>119</v>
      </c>
      <c r="AJ97" s="38" t="s">
        <v>119</v>
      </c>
      <c r="AK97" s="38" t="s">
        <v>119</v>
      </c>
      <c r="AL97" s="38" t="s">
        <v>119</v>
      </c>
      <c r="AM97" s="38" t="s">
        <v>119</v>
      </c>
      <c r="AN97" s="38" t="s">
        <v>119</v>
      </c>
      <c r="AO97" s="38" t="s">
        <v>119</v>
      </c>
      <c r="AP97" s="38" t="s">
        <v>119</v>
      </c>
      <c r="AQ97" s="38" t="s">
        <v>119</v>
      </c>
      <c r="AR97" s="38" t="s">
        <v>119</v>
      </c>
      <c r="AS97" s="38" t="s">
        <v>119</v>
      </c>
      <c r="AT97" s="38" t="s">
        <v>119</v>
      </c>
      <c r="AU97" s="38" t="s">
        <v>119</v>
      </c>
      <c r="AV97" s="38" t="s">
        <v>119</v>
      </c>
      <c r="AW97" s="38" t="s">
        <v>119</v>
      </c>
      <c r="AX97" s="38" t="s">
        <v>119</v>
      </c>
    </row>
    <row r="98" spans="1:50" x14ac:dyDescent="0.45">
      <c r="A98" s="38" t="s">
        <v>216</v>
      </c>
      <c r="B98" s="38">
        <v>100</v>
      </c>
      <c r="C98" s="38" t="s">
        <v>118</v>
      </c>
      <c r="D98" s="38">
        <v>100</v>
      </c>
      <c r="E98" s="38">
        <v>18350</v>
      </c>
      <c r="F98" s="38">
        <f t="shared" si="2"/>
        <v>18.350000000000001</v>
      </c>
      <c r="G98" s="38">
        <v>5258906.25</v>
      </c>
      <c r="H98" s="38">
        <f t="shared" si="3"/>
        <v>5.2589062499999999</v>
      </c>
      <c r="I98" s="38">
        <v>2666</v>
      </c>
      <c r="J98" s="38">
        <v>2666</v>
      </c>
      <c r="K98" s="38" t="s">
        <v>119</v>
      </c>
      <c r="L98" s="38" t="s">
        <v>119</v>
      </c>
      <c r="M98" s="38" t="s">
        <v>119</v>
      </c>
      <c r="N98" s="38">
        <v>9.7511019999999995</v>
      </c>
      <c r="O98" s="38" t="s">
        <v>120</v>
      </c>
      <c r="P98" s="38" t="s">
        <v>120</v>
      </c>
      <c r="Q98" s="38" t="s">
        <v>119</v>
      </c>
      <c r="R98" s="38" t="s">
        <v>119</v>
      </c>
      <c r="S98" s="38" t="s">
        <v>119</v>
      </c>
      <c r="T98" s="38">
        <v>49.518352</v>
      </c>
      <c r="U98" s="38">
        <v>76.426888000000005</v>
      </c>
      <c r="V98" s="38" t="s">
        <v>119</v>
      </c>
      <c r="W98" s="38" t="s">
        <v>119</v>
      </c>
      <c r="X98" s="38" t="s">
        <v>119</v>
      </c>
      <c r="Y98" s="38" t="s">
        <v>119</v>
      </c>
      <c r="Z98" s="38" t="s">
        <v>119</v>
      </c>
      <c r="AA98" s="38" t="s">
        <v>119</v>
      </c>
      <c r="AB98" s="38" t="s">
        <v>119</v>
      </c>
      <c r="AC98" s="38" t="s">
        <v>119</v>
      </c>
      <c r="AD98" s="38" t="s">
        <v>119</v>
      </c>
      <c r="AE98" s="38" t="s">
        <v>119</v>
      </c>
      <c r="AF98" s="38" t="s">
        <v>119</v>
      </c>
      <c r="AG98" s="38" t="s">
        <v>119</v>
      </c>
      <c r="AH98" s="38" t="s">
        <v>119</v>
      </c>
      <c r="AI98" s="38" t="s">
        <v>119</v>
      </c>
      <c r="AJ98" s="38" t="s">
        <v>119</v>
      </c>
      <c r="AK98" s="38" t="s">
        <v>119</v>
      </c>
      <c r="AL98" s="38" t="s">
        <v>119</v>
      </c>
      <c r="AM98" s="38" t="s">
        <v>119</v>
      </c>
      <c r="AN98" s="38" t="s">
        <v>119</v>
      </c>
      <c r="AO98" s="38" t="s">
        <v>119</v>
      </c>
      <c r="AP98" s="38" t="s">
        <v>119</v>
      </c>
      <c r="AQ98" s="38" t="s">
        <v>119</v>
      </c>
      <c r="AR98" s="38" t="s">
        <v>119</v>
      </c>
      <c r="AS98" s="38" t="s">
        <v>119</v>
      </c>
      <c r="AT98" s="38" t="s">
        <v>119</v>
      </c>
      <c r="AU98" s="38" t="s">
        <v>119</v>
      </c>
      <c r="AV98" s="38" t="s">
        <v>119</v>
      </c>
      <c r="AW98" s="38" t="s">
        <v>119</v>
      </c>
      <c r="AX98" s="38" t="s">
        <v>119</v>
      </c>
    </row>
    <row r="99" spans="1:50" x14ac:dyDescent="0.45">
      <c r="A99" s="38" t="s">
        <v>217</v>
      </c>
      <c r="B99" s="38">
        <v>101</v>
      </c>
      <c r="C99" s="38" t="s">
        <v>118</v>
      </c>
      <c r="D99" s="38">
        <v>101</v>
      </c>
      <c r="E99" s="38">
        <v>24350</v>
      </c>
      <c r="F99" s="38">
        <f t="shared" si="2"/>
        <v>24.35</v>
      </c>
      <c r="G99" s="38">
        <v>6972656.25</v>
      </c>
      <c r="H99" s="38">
        <f t="shared" si="3"/>
        <v>6.97265625</v>
      </c>
      <c r="I99" s="38">
        <v>2667</v>
      </c>
      <c r="J99" s="38">
        <v>2667</v>
      </c>
      <c r="K99" s="38" t="s">
        <v>119</v>
      </c>
      <c r="L99" s="38" t="s">
        <v>119</v>
      </c>
      <c r="M99" s="38" t="s">
        <v>119</v>
      </c>
      <c r="N99" s="38">
        <v>6.383076</v>
      </c>
      <c r="O99" s="38" t="s">
        <v>120</v>
      </c>
      <c r="P99" s="38" t="s">
        <v>120</v>
      </c>
      <c r="Q99" s="38" t="s">
        <v>119</v>
      </c>
      <c r="R99" s="38" t="s">
        <v>119</v>
      </c>
      <c r="S99" s="38" t="s">
        <v>119</v>
      </c>
      <c r="T99" s="38">
        <v>63.820019000000002</v>
      </c>
      <c r="U99" s="38">
        <v>90.524017000000001</v>
      </c>
      <c r="V99" s="38" t="s">
        <v>119</v>
      </c>
      <c r="W99" s="38" t="s">
        <v>119</v>
      </c>
      <c r="X99" s="38" t="s">
        <v>119</v>
      </c>
      <c r="Y99" s="38" t="s">
        <v>119</v>
      </c>
      <c r="Z99" s="38" t="s">
        <v>119</v>
      </c>
      <c r="AA99" s="38" t="s">
        <v>119</v>
      </c>
      <c r="AB99" s="38" t="s">
        <v>119</v>
      </c>
      <c r="AC99" s="38" t="s">
        <v>119</v>
      </c>
      <c r="AD99" s="38" t="s">
        <v>119</v>
      </c>
      <c r="AE99" s="38" t="s">
        <v>119</v>
      </c>
      <c r="AF99" s="38" t="s">
        <v>119</v>
      </c>
      <c r="AG99" s="38" t="s">
        <v>119</v>
      </c>
      <c r="AH99" s="38" t="s">
        <v>119</v>
      </c>
      <c r="AI99" s="38" t="s">
        <v>119</v>
      </c>
      <c r="AJ99" s="38" t="s">
        <v>119</v>
      </c>
      <c r="AK99" s="38" t="s">
        <v>119</v>
      </c>
      <c r="AL99" s="38" t="s">
        <v>119</v>
      </c>
      <c r="AM99" s="38" t="s">
        <v>119</v>
      </c>
      <c r="AN99" s="38" t="s">
        <v>119</v>
      </c>
      <c r="AO99" s="38" t="s">
        <v>119</v>
      </c>
      <c r="AP99" s="38" t="s">
        <v>119</v>
      </c>
      <c r="AQ99" s="38" t="s">
        <v>119</v>
      </c>
      <c r="AR99" s="38" t="s">
        <v>119</v>
      </c>
      <c r="AS99" s="38" t="s">
        <v>119</v>
      </c>
      <c r="AT99" s="38" t="s">
        <v>119</v>
      </c>
      <c r="AU99" s="38" t="s">
        <v>119</v>
      </c>
      <c r="AV99" s="38" t="s">
        <v>119</v>
      </c>
      <c r="AW99" s="38" t="s">
        <v>119</v>
      </c>
      <c r="AX99" s="38" t="s">
        <v>119</v>
      </c>
    </row>
    <row r="100" spans="1:50" x14ac:dyDescent="0.45">
      <c r="A100" s="38" t="s">
        <v>218</v>
      </c>
      <c r="B100" s="38">
        <v>102</v>
      </c>
      <c r="C100" s="38" t="s">
        <v>118</v>
      </c>
      <c r="D100" s="38">
        <v>102</v>
      </c>
      <c r="E100" s="38">
        <v>850</v>
      </c>
      <c r="F100" s="38">
        <f t="shared" si="2"/>
        <v>0.85</v>
      </c>
      <c r="G100" s="38">
        <v>21562.5</v>
      </c>
      <c r="H100" s="38">
        <f t="shared" si="3"/>
        <v>2.1562499999999998E-2</v>
      </c>
      <c r="I100" s="38">
        <v>2668</v>
      </c>
      <c r="J100" s="38">
        <v>2668</v>
      </c>
      <c r="K100" s="38" t="s">
        <v>119</v>
      </c>
      <c r="L100" s="38" t="s">
        <v>119</v>
      </c>
      <c r="M100" s="38" t="s">
        <v>119</v>
      </c>
      <c r="N100" s="38">
        <v>5.1482609999999998</v>
      </c>
      <c r="O100" s="38" t="s">
        <v>120</v>
      </c>
      <c r="P100" s="38" t="s">
        <v>120</v>
      </c>
      <c r="Q100" s="38" t="s">
        <v>119</v>
      </c>
      <c r="R100" s="38" t="s">
        <v>119</v>
      </c>
      <c r="S100" s="38" t="s">
        <v>119</v>
      </c>
      <c r="T100" s="38">
        <v>67</v>
      </c>
      <c r="U100" s="38">
        <v>94.663064000000006</v>
      </c>
      <c r="V100" s="38" t="s">
        <v>119</v>
      </c>
      <c r="W100" s="38" t="s">
        <v>119</v>
      </c>
      <c r="X100" s="38" t="s">
        <v>119</v>
      </c>
      <c r="Y100" s="38" t="s">
        <v>119</v>
      </c>
      <c r="Z100" s="38" t="s">
        <v>119</v>
      </c>
      <c r="AA100" s="38" t="s">
        <v>119</v>
      </c>
      <c r="AB100" s="38" t="s">
        <v>119</v>
      </c>
      <c r="AC100" s="38" t="s">
        <v>119</v>
      </c>
      <c r="AD100" s="38" t="s">
        <v>119</v>
      </c>
      <c r="AE100" s="38" t="s">
        <v>119</v>
      </c>
      <c r="AF100" s="38" t="s">
        <v>119</v>
      </c>
      <c r="AG100" s="38" t="s">
        <v>119</v>
      </c>
      <c r="AH100" s="38" t="s">
        <v>119</v>
      </c>
      <c r="AI100" s="38" t="s">
        <v>119</v>
      </c>
      <c r="AJ100" s="38" t="s">
        <v>119</v>
      </c>
      <c r="AK100" s="38" t="s">
        <v>119</v>
      </c>
      <c r="AL100" s="38" t="s">
        <v>119</v>
      </c>
      <c r="AM100" s="38" t="s">
        <v>119</v>
      </c>
      <c r="AN100" s="38" t="s">
        <v>119</v>
      </c>
      <c r="AO100" s="38" t="s">
        <v>119</v>
      </c>
      <c r="AP100" s="38" t="s">
        <v>119</v>
      </c>
      <c r="AQ100" s="38" t="s">
        <v>119</v>
      </c>
      <c r="AR100" s="38" t="s">
        <v>119</v>
      </c>
      <c r="AS100" s="38" t="s">
        <v>119</v>
      </c>
      <c r="AT100" s="38" t="s">
        <v>119</v>
      </c>
      <c r="AU100" s="38" t="s">
        <v>119</v>
      </c>
      <c r="AV100" s="38" t="s">
        <v>119</v>
      </c>
      <c r="AW100" s="38" t="s">
        <v>119</v>
      </c>
      <c r="AX100" s="38" t="s">
        <v>119</v>
      </c>
    </row>
    <row r="101" spans="1:50" x14ac:dyDescent="0.45">
      <c r="A101" s="38" t="s">
        <v>219</v>
      </c>
      <c r="B101" s="38">
        <v>103</v>
      </c>
      <c r="C101" s="38" t="s">
        <v>118</v>
      </c>
      <c r="D101" s="38">
        <v>103</v>
      </c>
      <c r="E101" s="38">
        <v>19025</v>
      </c>
      <c r="F101" s="38">
        <f t="shared" si="2"/>
        <v>19.024999999999999</v>
      </c>
      <c r="G101" s="38">
        <v>4147812.5</v>
      </c>
      <c r="H101" s="38">
        <f t="shared" si="3"/>
        <v>4.1478124999999997</v>
      </c>
      <c r="I101" s="38">
        <v>2669</v>
      </c>
      <c r="J101" s="38">
        <v>2669</v>
      </c>
      <c r="K101" s="38" t="s">
        <v>119</v>
      </c>
      <c r="L101" s="38" t="s">
        <v>119</v>
      </c>
      <c r="M101" s="38" t="s">
        <v>119</v>
      </c>
      <c r="N101" s="38">
        <v>5.5428980000000001</v>
      </c>
      <c r="O101" s="38" t="s">
        <v>120</v>
      </c>
      <c r="P101" s="38" t="s">
        <v>120</v>
      </c>
      <c r="Q101" s="38" t="s">
        <v>119</v>
      </c>
      <c r="R101" s="38" t="s">
        <v>119</v>
      </c>
      <c r="S101" s="38" t="s">
        <v>119</v>
      </c>
      <c r="T101" s="38">
        <v>68.626503</v>
      </c>
      <c r="U101" s="38">
        <v>96.971715000000003</v>
      </c>
      <c r="V101" s="38" t="s">
        <v>119</v>
      </c>
      <c r="W101" s="38" t="s">
        <v>119</v>
      </c>
      <c r="X101" s="38" t="s">
        <v>119</v>
      </c>
      <c r="Y101" s="38" t="s">
        <v>119</v>
      </c>
      <c r="Z101" s="38" t="s">
        <v>119</v>
      </c>
      <c r="AA101" s="38" t="s">
        <v>119</v>
      </c>
      <c r="AB101" s="38" t="s">
        <v>119</v>
      </c>
      <c r="AC101" s="38" t="s">
        <v>119</v>
      </c>
      <c r="AD101" s="38" t="s">
        <v>119</v>
      </c>
      <c r="AE101" s="38" t="s">
        <v>119</v>
      </c>
      <c r="AF101" s="38" t="s">
        <v>119</v>
      </c>
      <c r="AG101" s="38" t="s">
        <v>119</v>
      </c>
      <c r="AH101" s="38" t="s">
        <v>119</v>
      </c>
      <c r="AI101" s="38" t="s">
        <v>119</v>
      </c>
      <c r="AJ101" s="38" t="s">
        <v>119</v>
      </c>
      <c r="AK101" s="38" t="s">
        <v>119</v>
      </c>
      <c r="AL101" s="38" t="s">
        <v>119</v>
      </c>
      <c r="AM101" s="38" t="s">
        <v>119</v>
      </c>
      <c r="AN101" s="38" t="s">
        <v>119</v>
      </c>
      <c r="AO101" s="38" t="s">
        <v>119</v>
      </c>
      <c r="AP101" s="38" t="s">
        <v>119</v>
      </c>
      <c r="AQ101" s="38" t="s">
        <v>119</v>
      </c>
      <c r="AR101" s="38" t="s">
        <v>119</v>
      </c>
      <c r="AS101" s="38" t="s">
        <v>119</v>
      </c>
      <c r="AT101" s="38" t="s">
        <v>119</v>
      </c>
      <c r="AU101" s="38" t="s">
        <v>119</v>
      </c>
      <c r="AV101" s="38" t="s">
        <v>119</v>
      </c>
      <c r="AW101" s="38" t="s">
        <v>119</v>
      </c>
      <c r="AX101" s="38" t="s">
        <v>119</v>
      </c>
    </row>
    <row r="102" spans="1:50" x14ac:dyDescent="0.45">
      <c r="A102" s="38" t="s">
        <v>220</v>
      </c>
      <c r="B102" s="38">
        <v>104</v>
      </c>
      <c r="C102" s="38" t="s">
        <v>118</v>
      </c>
      <c r="D102" s="38">
        <v>104</v>
      </c>
      <c r="E102" s="38">
        <v>28625</v>
      </c>
      <c r="F102" s="38">
        <f t="shared" si="2"/>
        <v>28.625</v>
      </c>
      <c r="G102" s="38">
        <v>21356562.5</v>
      </c>
      <c r="H102" s="38">
        <f t="shared" si="3"/>
        <v>21.356562499999999</v>
      </c>
      <c r="I102" s="38">
        <v>2670</v>
      </c>
      <c r="J102" s="38">
        <v>2670</v>
      </c>
      <c r="K102" s="38" t="s">
        <v>119</v>
      </c>
      <c r="L102" s="38" t="s">
        <v>119</v>
      </c>
      <c r="M102" s="38" t="s">
        <v>119</v>
      </c>
      <c r="N102" s="38">
        <v>47.746265000000001</v>
      </c>
      <c r="O102" s="38" t="s">
        <v>120</v>
      </c>
      <c r="P102" s="38" t="s">
        <v>120</v>
      </c>
      <c r="Q102" s="38" t="s">
        <v>119</v>
      </c>
      <c r="R102" s="38" t="s">
        <v>119</v>
      </c>
      <c r="S102" s="38" t="s">
        <v>119</v>
      </c>
      <c r="T102" s="38">
        <v>76.659279999999995</v>
      </c>
      <c r="U102" s="38">
        <v>77.714821999999998</v>
      </c>
      <c r="V102" s="38" t="s">
        <v>119</v>
      </c>
      <c r="W102" s="38" t="s">
        <v>119</v>
      </c>
      <c r="X102" s="38" t="s">
        <v>119</v>
      </c>
      <c r="Y102" s="38" t="s">
        <v>119</v>
      </c>
      <c r="Z102" s="38" t="s">
        <v>119</v>
      </c>
      <c r="AA102" s="38" t="s">
        <v>119</v>
      </c>
      <c r="AB102" s="38" t="s">
        <v>119</v>
      </c>
      <c r="AC102" s="38" t="s">
        <v>119</v>
      </c>
      <c r="AD102" s="38" t="s">
        <v>119</v>
      </c>
      <c r="AE102" s="38" t="s">
        <v>119</v>
      </c>
      <c r="AF102" s="38" t="s">
        <v>119</v>
      </c>
      <c r="AG102" s="38" t="s">
        <v>119</v>
      </c>
      <c r="AH102" s="38" t="s">
        <v>119</v>
      </c>
      <c r="AI102" s="38" t="s">
        <v>119</v>
      </c>
      <c r="AJ102" s="38" t="s">
        <v>119</v>
      </c>
      <c r="AK102" s="38" t="s">
        <v>119</v>
      </c>
      <c r="AL102" s="38" t="s">
        <v>119</v>
      </c>
      <c r="AM102" s="38" t="s">
        <v>119</v>
      </c>
      <c r="AN102" s="38" t="s">
        <v>119</v>
      </c>
      <c r="AO102" s="38" t="s">
        <v>119</v>
      </c>
      <c r="AP102" s="38" t="s">
        <v>119</v>
      </c>
      <c r="AQ102" s="38" t="s">
        <v>119</v>
      </c>
      <c r="AR102" s="38" t="s">
        <v>119</v>
      </c>
      <c r="AS102" s="38" t="s">
        <v>119</v>
      </c>
      <c r="AT102" s="38" t="s">
        <v>119</v>
      </c>
      <c r="AU102" s="38" t="s">
        <v>119</v>
      </c>
      <c r="AV102" s="38" t="s">
        <v>119</v>
      </c>
      <c r="AW102" s="38" t="s">
        <v>119</v>
      </c>
      <c r="AX102" s="38" t="s">
        <v>119</v>
      </c>
    </row>
    <row r="103" spans="1:50" x14ac:dyDescent="0.45">
      <c r="A103" s="38" t="s">
        <v>7</v>
      </c>
      <c r="B103" s="38">
        <v>105</v>
      </c>
      <c r="C103" s="38" t="s">
        <v>118</v>
      </c>
      <c r="D103" s="38">
        <v>105</v>
      </c>
      <c r="E103" s="38">
        <v>17925</v>
      </c>
      <c r="F103" s="38">
        <f t="shared" si="2"/>
        <v>17.925000000000001</v>
      </c>
      <c r="G103" s="38">
        <v>7787343.75</v>
      </c>
      <c r="H103" s="38">
        <f t="shared" si="3"/>
        <v>7.7873437499999998</v>
      </c>
      <c r="I103" s="38">
        <v>2671</v>
      </c>
      <c r="J103" s="38">
        <v>2671</v>
      </c>
      <c r="K103" s="38" t="s">
        <v>119</v>
      </c>
      <c r="L103" s="38" t="s">
        <v>119</v>
      </c>
      <c r="M103" s="38" t="s">
        <v>119</v>
      </c>
      <c r="N103" s="38">
        <v>26.488610999999999</v>
      </c>
      <c r="O103" s="38" t="s">
        <v>120</v>
      </c>
      <c r="P103" s="38" t="s">
        <v>120</v>
      </c>
      <c r="Q103" s="38" t="s">
        <v>119</v>
      </c>
      <c r="R103" s="38" t="s">
        <v>119</v>
      </c>
      <c r="S103" s="38" t="s">
        <v>119</v>
      </c>
      <c r="T103" s="38">
        <v>73</v>
      </c>
      <c r="U103" s="38">
        <v>77.119973999999999</v>
      </c>
      <c r="V103" s="38" t="s">
        <v>119</v>
      </c>
      <c r="W103" s="38" t="s">
        <v>119</v>
      </c>
      <c r="X103" s="38" t="s">
        <v>119</v>
      </c>
      <c r="Y103" s="38" t="s">
        <v>119</v>
      </c>
      <c r="Z103" s="38" t="s">
        <v>119</v>
      </c>
      <c r="AA103" s="38" t="s">
        <v>119</v>
      </c>
      <c r="AB103" s="38" t="s">
        <v>119</v>
      </c>
      <c r="AC103" s="38" t="s">
        <v>119</v>
      </c>
      <c r="AD103" s="38" t="s">
        <v>119</v>
      </c>
      <c r="AE103" s="38" t="s">
        <v>119</v>
      </c>
      <c r="AF103" s="38" t="s">
        <v>119</v>
      </c>
      <c r="AG103" s="38" t="s">
        <v>119</v>
      </c>
      <c r="AH103" s="38" t="s">
        <v>119</v>
      </c>
      <c r="AI103" s="38" t="s">
        <v>119</v>
      </c>
      <c r="AJ103" s="38" t="s">
        <v>119</v>
      </c>
      <c r="AK103" s="38" t="s">
        <v>119</v>
      </c>
      <c r="AL103" s="38" t="s">
        <v>119</v>
      </c>
      <c r="AM103" s="38" t="s">
        <v>119</v>
      </c>
      <c r="AN103" s="38" t="s">
        <v>119</v>
      </c>
      <c r="AO103" s="38" t="s">
        <v>119</v>
      </c>
      <c r="AP103" s="38" t="s">
        <v>119</v>
      </c>
      <c r="AQ103" s="38" t="s">
        <v>119</v>
      </c>
      <c r="AR103" s="38" t="s">
        <v>119</v>
      </c>
      <c r="AS103" s="38" t="s">
        <v>119</v>
      </c>
      <c r="AT103" s="38" t="s">
        <v>119</v>
      </c>
      <c r="AU103" s="38" t="s">
        <v>119</v>
      </c>
      <c r="AV103" s="38" t="s">
        <v>119</v>
      </c>
      <c r="AW103" s="38" t="s">
        <v>119</v>
      </c>
      <c r="AX103" s="38" t="s">
        <v>119</v>
      </c>
    </row>
    <row r="104" spans="1:50" x14ac:dyDescent="0.45">
      <c r="A104" s="38" t="s">
        <v>8</v>
      </c>
      <c r="B104" s="38">
        <v>106</v>
      </c>
      <c r="C104" s="38" t="s">
        <v>118</v>
      </c>
      <c r="D104" s="38">
        <v>106</v>
      </c>
      <c r="E104" s="38">
        <v>18700</v>
      </c>
      <c r="F104" s="38">
        <f t="shared" si="2"/>
        <v>18.7</v>
      </c>
      <c r="G104" s="38">
        <v>6588906.25</v>
      </c>
      <c r="H104" s="38">
        <f t="shared" si="3"/>
        <v>6.58890625</v>
      </c>
      <c r="I104" s="38">
        <v>2672</v>
      </c>
      <c r="J104" s="38">
        <v>2672</v>
      </c>
      <c r="K104" s="38" t="s">
        <v>119</v>
      </c>
      <c r="L104" s="38" t="s">
        <v>119</v>
      </c>
      <c r="M104" s="38" t="s">
        <v>119</v>
      </c>
      <c r="N104" s="38">
        <v>7.9282810000000001</v>
      </c>
      <c r="O104" s="38" t="s">
        <v>120</v>
      </c>
      <c r="P104" s="38" t="s">
        <v>120</v>
      </c>
      <c r="Q104" s="38" t="s">
        <v>119</v>
      </c>
      <c r="R104" s="38" t="s">
        <v>119</v>
      </c>
      <c r="S104" s="38" t="s">
        <v>119</v>
      </c>
      <c r="T104" s="38">
        <v>45.679437999999998</v>
      </c>
      <c r="U104" s="38">
        <v>78.296144999999996</v>
      </c>
      <c r="V104" s="38" t="s">
        <v>119</v>
      </c>
      <c r="W104" s="38" t="s">
        <v>119</v>
      </c>
      <c r="X104" s="38" t="s">
        <v>119</v>
      </c>
      <c r="Y104" s="38" t="s">
        <v>119</v>
      </c>
      <c r="Z104" s="38" t="s">
        <v>119</v>
      </c>
      <c r="AA104" s="38" t="s">
        <v>119</v>
      </c>
      <c r="AB104" s="38" t="s">
        <v>119</v>
      </c>
      <c r="AC104" s="38" t="s">
        <v>119</v>
      </c>
      <c r="AD104" s="38" t="s">
        <v>119</v>
      </c>
      <c r="AE104" s="38" t="s">
        <v>119</v>
      </c>
      <c r="AF104" s="38" t="s">
        <v>119</v>
      </c>
      <c r="AG104" s="38" t="s">
        <v>119</v>
      </c>
      <c r="AH104" s="38" t="s">
        <v>119</v>
      </c>
      <c r="AI104" s="38" t="s">
        <v>119</v>
      </c>
      <c r="AJ104" s="38" t="s">
        <v>119</v>
      </c>
      <c r="AK104" s="38" t="s">
        <v>119</v>
      </c>
      <c r="AL104" s="38" t="s">
        <v>119</v>
      </c>
      <c r="AM104" s="38" t="s">
        <v>119</v>
      </c>
      <c r="AN104" s="38" t="s">
        <v>119</v>
      </c>
      <c r="AO104" s="38" t="s">
        <v>119</v>
      </c>
      <c r="AP104" s="38" t="s">
        <v>119</v>
      </c>
      <c r="AQ104" s="38" t="s">
        <v>119</v>
      </c>
      <c r="AR104" s="38" t="s">
        <v>119</v>
      </c>
      <c r="AS104" s="38" t="s">
        <v>119</v>
      </c>
      <c r="AT104" s="38" t="s">
        <v>119</v>
      </c>
      <c r="AU104" s="38" t="s">
        <v>119</v>
      </c>
      <c r="AV104" s="38" t="s">
        <v>119</v>
      </c>
      <c r="AW104" s="38" t="s">
        <v>119</v>
      </c>
      <c r="AX104" s="38" t="s">
        <v>119</v>
      </c>
    </row>
    <row r="105" spans="1:50" x14ac:dyDescent="0.45">
      <c r="A105" s="38" t="s">
        <v>9</v>
      </c>
      <c r="B105" s="38">
        <v>108</v>
      </c>
      <c r="C105" s="38" t="s">
        <v>118</v>
      </c>
      <c r="D105" s="38">
        <v>108</v>
      </c>
      <c r="E105" s="38">
        <v>15775</v>
      </c>
      <c r="F105" s="38">
        <f t="shared" si="2"/>
        <v>15.775</v>
      </c>
      <c r="G105" s="38">
        <v>3721093.75</v>
      </c>
      <c r="H105" s="38">
        <f t="shared" si="3"/>
        <v>3.7210937500000001</v>
      </c>
      <c r="I105" s="38">
        <v>2674</v>
      </c>
      <c r="J105" s="38">
        <v>2674</v>
      </c>
      <c r="K105" s="38" t="s">
        <v>119</v>
      </c>
      <c r="L105" s="38" t="s">
        <v>119</v>
      </c>
      <c r="M105" s="38" t="s">
        <v>119</v>
      </c>
      <c r="N105" s="38">
        <v>18.436236999999998</v>
      </c>
      <c r="O105" s="38" t="s">
        <v>120</v>
      </c>
      <c r="P105" s="38" t="s">
        <v>120</v>
      </c>
      <c r="Q105" s="38" t="s">
        <v>119</v>
      </c>
      <c r="R105" s="38" t="s">
        <v>119</v>
      </c>
      <c r="S105" s="38" t="s">
        <v>119</v>
      </c>
      <c r="T105" s="38">
        <v>66.205485999999993</v>
      </c>
      <c r="U105" s="38">
        <v>76.636733000000007</v>
      </c>
      <c r="V105" s="38" t="s">
        <v>119</v>
      </c>
      <c r="W105" s="38" t="s">
        <v>119</v>
      </c>
      <c r="X105" s="38" t="s">
        <v>119</v>
      </c>
      <c r="Y105" s="38" t="s">
        <v>119</v>
      </c>
      <c r="Z105" s="38" t="s">
        <v>119</v>
      </c>
      <c r="AA105" s="38" t="s">
        <v>119</v>
      </c>
      <c r="AB105" s="38" t="s">
        <v>119</v>
      </c>
      <c r="AC105" s="38" t="s">
        <v>119</v>
      </c>
      <c r="AD105" s="38" t="s">
        <v>119</v>
      </c>
      <c r="AE105" s="38" t="s">
        <v>119</v>
      </c>
      <c r="AF105" s="38" t="s">
        <v>119</v>
      </c>
      <c r="AG105" s="38" t="s">
        <v>119</v>
      </c>
      <c r="AH105" s="38" t="s">
        <v>119</v>
      </c>
      <c r="AI105" s="38" t="s">
        <v>119</v>
      </c>
      <c r="AJ105" s="38" t="s">
        <v>119</v>
      </c>
      <c r="AK105" s="38" t="s">
        <v>119</v>
      </c>
      <c r="AL105" s="38" t="s">
        <v>119</v>
      </c>
      <c r="AM105" s="38" t="s">
        <v>119</v>
      </c>
      <c r="AN105" s="38" t="s">
        <v>119</v>
      </c>
      <c r="AO105" s="38" t="s">
        <v>119</v>
      </c>
      <c r="AP105" s="38" t="s">
        <v>119</v>
      </c>
      <c r="AQ105" s="38" t="s">
        <v>119</v>
      </c>
      <c r="AR105" s="38" t="s">
        <v>119</v>
      </c>
      <c r="AS105" s="38" t="s">
        <v>119</v>
      </c>
      <c r="AT105" s="38" t="s">
        <v>119</v>
      </c>
      <c r="AU105" s="38" t="s">
        <v>119</v>
      </c>
      <c r="AV105" s="38" t="s">
        <v>119</v>
      </c>
      <c r="AW105" s="38" t="s">
        <v>119</v>
      </c>
      <c r="AX105" s="38" t="s">
        <v>119</v>
      </c>
    </row>
    <row r="106" spans="1:50" x14ac:dyDescent="0.45">
      <c r="A106" s="38" t="s">
        <v>10</v>
      </c>
      <c r="B106" s="38">
        <v>109</v>
      </c>
      <c r="C106" s="38" t="s">
        <v>118</v>
      </c>
      <c r="D106" s="38">
        <v>109</v>
      </c>
      <c r="E106" s="38">
        <v>9600</v>
      </c>
      <c r="F106" s="38">
        <f t="shared" si="2"/>
        <v>9.6</v>
      </c>
      <c r="G106" s="38">
        <v>1345781.25</v>
      </c>
      <c r="H106" s="38">
        <f t="shared" si="3"/>
        <v>1.3457812499999999</v>
      </c>
      <c r="I106" s="38">
        <v>2675</v>
      </c>
      <c r="J106" s="38">
        <v>2675</v>
      </c>
      <c r="K106" s="38" t="s">
        <v>119</v>
      </c>
      <c r="L106" s="38" t="s">
        <v>119</v>
      </c>
      <c r="M106" s="38" t="s">
        <v>119</v>
      </c>
      <c r="N106" s="38">
        <v>9.9809560000000008</v>
      </c>
      <c r="O106" s="38" t="s">
        <v>120</v>
      </c>
      <c r="P106" s="38" t="s">
        <v>120</v>
      </c>
      <c r="Q106" s="38" t="s">
        <v>119</v>
      </c>
      <c r="R106" s="38" t="s">
        <v>119</v>
      </c>
      <c r="S106" s="38" t="s">
        <v>119</v>
      </c>
      <c r="T106" s="38">
        <v>48.249825000000001</v>
      </c>
      <c r="U106" s="38">
        <v>77.848483999999999</v>
      </c>
      <c r="V106" s="38" t="s">
        <v>119</v>
      </c>
      <c r="W106" s="38" t="s">
        <v>119</v>
      </c>
      <c r="X106" s="38" t="s">
        <v>119</v>
      </c>
      <c r="Y106" s="38" t="s">
        <v>119</v>
      </c>
      <c r="Z106" s="38" t="s">
        <v>119</v>
      </c>
      <c r="AA106" s="38" t="s">
        <v>119</v>
      </c>
      <c r="AB106" s="38" t="s">
        <v>119</v>
      </c>
      <c r="AC106" s="38" t="s">
        <v>119</v>
      </c>
      <c r="AD106" s="38" t="s">
        <v>119</v>
      </c>
      <c r="AE106" s="38" t="s">
        <v>119</v>
      </c>
      <c r="AF106" s="38" t="s">
        <v>119</v>
      </c>
      <c r="AG106" s="38" t="s">
        <v>119</v>
      </c>
      <c r="AH106" s="38" t="s">
        <v>119</v>
      </c>
      <c r="AI106" s="38" t="s">
        <v>119</v>
      </c>
      <c r="AJ106" s="38" t="s">
        <v>119</v>
      </c>
      <c r="AK106" s="38" t="s">
        <v>119</v>
      </c>
      <c r="AL106" s="38" t="s">
        <v>119</v>
      </c>
      <c r="AM106" s="38" t="s">
        <v>119</v>
      </c>
      <c r="AN106" s="38" t="s">
        <v>119</v>
      </c>
      <c r="AO106" s="38" t="s">
        <v>119</v>
      </c>
      <c r="AP106" s="38" t="s">
        <v>119</v>
      </c>
      <c r="AQ106" s="38" t="s">
        <v>119</v>
      </c>
      <c r="AR106" s="38" t="s">
        <v>119</v>
      </c>
      <c r="AS106" s="38" t="s">
        <v>119</v>
      </c>
      <c r="AT106" s="38" t="s">
        <v>119</v>
      </c>
      <c r="AU106" s="38" t="s">
        <v>119</v>
      </c>
      <c r="AV106" s="38" t="s">
        <v>119</v>
      </c>
      <c r="AW106" s="38" t="s">
        <v>119</v>
      </c>
      <c r="AX106" s="38" t="s">
        <v>119</v>
      </c>
    </row>
    <row r="107" spans="1:50" x14ac:dyDescent="0.45">
      <c r="A107" s="38" t="s">
        <v>11</v>
      </c>
      <c r="B107" s="38">
        <v>110</v>
      </c>
      <c r="C107" s="38" t="s">
        <v>118</v>
      </c>
      <c r="D107" s="38">
        <v>110</v>
      </c>
      <c r="E107" s="38">
        <v>35350</v>
      </c>
      <c r="F107" s="38">
        <f t="shared" si="2"/>
        <v>35.35</v>
      </c>
      <c r="G107" s="38">
        <v>20037812.5</v>
      </c>
      <c r="H107" s="38">
        <f t="shared" si="3"/>
        <v>20.037812500000001</v>
      </c>
      <c r="I107" s="38">
        <v>2676</v>
      </c>
      <c r="J107" s="38">
        <v>2676</v>
      </c>
      <c r="K107" s="38" t="s">
        <v>119</v>
      </c>
      <c r="L107" s="38" t="s">
        <v>119</v>
      </c>
      <c r="M107" s="38" t="s">
        <v>119</v>
      </c>
      <c r="N107" s="38">
        <v>40.708495999999997</v>
      </c>
      <c r="O107" s="38" t="s">
        <v>120</v>
      </c>
      <c r="P107" s="38" t="s">
        <v>120</v>
      </c>
      <c r="Q107" s="38" t="s">
        <v>119</v>
      </c>
      <c r="R107" s="38" t="s">
        <v>119</v>
      </c>
      <c r="S107" s="38" t="s">
        <v>119</v>
      </c>
      <c r="T107" s="38">
        <v>75.843097</v>
      </c>
      <c r="U107" s="38">
        <v>77.068961000000002</v>
      </c>
      <c r="V107" s="38" t="s">
        <v>119</v>
      </c>
      <c r="W107" s="38" t="s">
        <v>119</v>
      </c>
      <c r="X107" s="38" t="s">
        <v>119</v>
      </c>
      <c r="Y107" s="38" t="s">
        <v>119</v>
      </c>
      <c r="Z107" s="38" t="s">
        <v>119</v>
      </c>
      <c r="AA107" s="38" t="s">
        <v>119</v>
      </c>
      <c r="AB107" s="38" t="s">
        <v>119</v>
      </c>
      <c r="AC107" s="38" t="s">
        <v>119</v>
      </c>
      <c r="AD107" s="38" t="s">
        <v>119</v>
      </c>
      <c r="AE107" s="38" t="s">
        <v>119</v>
      </c>
      <c r="AF107" s="38" t="s">
        <v>119</v>
      </c>
      <c r="AG107" s="38" t="s">
        <v>119</v>
      </c>
      <c r="AH107" s="38" t="s">
        <v>119</v>
      </c>
      <c r="AI107" s="38" t="s">
        <v>119</v>
      </c>
      <c r="AJ107" s="38" t="s">
        <v>119</v>
      </c>
      <c r="AK107" s="38" t="s">
        <v>119</v>
      </c>
      <c r="AL107" s="38" t="s">
        <v>119</v>
      </c>
      <c r="AM107" s="38" t="s">
        <v>119</v>
      </c>
      <c r="AN107" s="38" t="s">
        <v>119</v>
      </c>
      <c r="AO107" s="38" t="s">
        <v>119</v>
      </c>
      <c r="AP107" s="38" t="s">
        <v>119</v>
      </c>
      <c r="AQ107" s="38" t="s">
        <v>119</v>
      </c>
      <c r="AR107" s="38" t="s">
        <v>119</v>
      </c>
      <c r="AS107" s="38" t="s">
        <v>119</v>
      </c>
      <c r="AT107" s="38" t="s">
        <v>119</v>
      </c>
      <c r="AU107" s="38" t="s">
        <v>119</v>
      </c>
      <c r="AV107" s="38" t="s">
        <v>119</v>
      </c>
      <c r="AW107" s="38" t="s">
        <v>119</v>
      </c>
      <c r="AX107" s="38" t="s">
        <v>119</v>
      </c>
    </row>
    <row r="108" spans="1:50" x14ac:dyDescent="0.45">
      <c r="A108" s="38" t="s">
        <v>12</v>
      </c>
      <c r="B108" s="38">
        <v>111</v>
      </c>
      <c r="C108" s="38" t="s">
        <v>118</v>
      </c>
      <c r="D108" s="38">
        <v>111</v>
      </c>
      <c r="E108" s="38">
        <v>11200</v>
      </c>
      <c r="F108" s="38">
        <f t="shared" si="2"/>
        <v>11.2</v>
      </c>
      <c r="G108" s="38">
        <v>3798437.5</v>
      </c>
      <c r="H108" s="38">
        <f t="shared" si="3"/>
        <v>3.7984374999999999</v>
      </c>
      <c r="I108" s="38">
        <v>2677</v>
      </c>
      <c r="J108" s="38">
        <v>2677</v>
      </c>
      <c r="K108" s="38" t="s">
        <v>119</v>
      </c>
      <c r="L108" s="38" t="s">
        <v>119</v>
      </c>
      <c r="M108" s="38" t="s">
        <v>119</v>
      </c>
      <c r="N108" s="38">
        <v>24.909047999999999</v>
      </c>
      <c r="O108" s="38" t="s">
        <v>120</v>
      </c>
      <c r="P108" s="38" t="s">
        <v>120</v>
      </c>
      <c r="Q108" s="38" t="s">
        <v>119</v>
      </c>
      <c r="R108" s="38" t="s">
        <v>119</v>
      </c>
      <c r="S108" s="38" t="s">
        <v>119</v>
      </c>
      <c r="T108" s="38">
        <v>73</v>
      </c>
      <c r="U108" s="38">
        <v>77.588508000000004</v>
      </c>
      <c r="V108" s="38" t="s">
        <v>119</v>
      </c>
      <c r="W108" s="38" t="s">
        <v>119</v>
      </c>
      <c r="X108" s="38" t="s">
        <v>119</v>
      </c>
      <c r="Y108" s="38" t="s">
        <v>119</v>
      </c>
      <c r="Z108" s="38" t="s">
        <v>119</v>
      </c>
      <c r="AA108" s="38" t="s">
        <v>119</v>
      </c>
      <c r="AB108" s="38" t="s">
        <v>119</v>
      </c>
      <c r="AC108" s="38" t="s">
        <v>119</v>
      </c>
      <c r="AD108" s="38" t="s">
        <v>119</v>
      </c>
      <c r="AE108" s="38" t="s">
        <v>119</v>
      </c>
      <c r="AF108" s="38" t="s">
        <v>119</v>
      </c>
      <c r="AG108" s="38" t="s">
        <v>119</v>
      </c>
      <c r="AH108" s="38" t="s">
        <v>119</v>
      </c>
      <c r="AI108" s="38" t="s">
        <v>119</v>
      </c>
      <c r="AJ108" s="38" t="s">
        <v>119</v>
      </c>
      <c r="AK108" s="38" t="s">
        <v>119</v>
      </c>
      <c r="AL108" s="38" t="s">
        <v>119</v>
      </c>
      <c r="AM108" s="38" t="s">
        <v>119</v>
      </c>
      <c r="AN108" s="38" t="s">
        <v>119</v>
      </c>
      <c r="AO108" s="38" t="s">
        <v>119</v>
      </c>
      <c r="AP108" s="38" t="s">
        <v>119</v>
      </c>
      <c r="AQ108" s="38" t="s">
        <v>119</v>
      </c>
      <c r="AR108" s="38" t="s">
        <v>119</v>
      </c>
      <c r="AS108" s="38" t="s">
        <v>119</v>
      </c>
      <c r="AT108" s="38" t="s">
        <v>119</v>
      </c>
      <c r="AU108" s="38" t="s">
        <v>119</v>
      </c>
      <c r="AV108" s="38" t="s">
        <v>119</v>
      </c>
      <c r="AW108" s="38" t="s">
        <v>119</v>
      </c>
      <c r="AX108" s="38" t="s">
        <v>119</v>
      </c>
    </row>
    <row r="109" spans="1:50" x14ac:dyDescent="0.45">
      <c r="A109" s="38" t="s">
        <v>13</v>
      </c>
      <c r="B109" s="38">
        <v>112</v>
      </c>
      <c r="C109" s="38" t="s">
        <v>118</v>
      </c>
      <c r="D109" s="38">
        <v>112</v>
      </c>
      <c r="E109" s="38">
        <v>25250</v>
      </c>
      <c r="F109" s="38">
        <f t="shared" si="2"/>
        <v>25.25</v>
      </c>
      <c r="G109" s="38">
        <v>11014062.5</v>
      </c>
      <c r="H109" s="38">
        <f t="shared" si="3"/>
        <v>11.0140625</v>
      </c>
      <c r="I109" s="38">
        <v>2678</v>
      </c>
      <c r="J109" s="38">
        <v>2678</v>
      </c>
      <c r="K109" s="38" t="s">
        <v>119</v>
      </c>
      <c r="L109" s="38" t="s">
        <v>119</v>
      </c>
      <c r="M109" s="38" t="s">
        <v>119</v>
      </c>
      <c r="N109" s="38">
        <v>8.4656479999999998</v>
      </c>
      <c r="O109" s="38" t="s">
        <v>120</v>
      </c>
      <c r="P109" s="38" t="s">
        <v>120</v>
      </c>
      <c r="Q109" s="38" t="s">
        <v>119</v>
      </c>
      <c r="R109" s="38" t="s">
        <v>119</v>
      </c>
      <c r="S109" s="38" t="s">
        <v>119</v>
      </c>
      <c r="T109" s="38">
        <v>47.073822999999997</v>
      </c>
      <c r="U109" s="38">
        <v>77.549965</v>
      </c>
      <c r="V109" s="38" t="s">
        <v>119</v>
      </c>
      <c r="W109" s="38" t="s">
        <v>119</v>
      </c>
      <c r="X109" s="38" t="s">
        <v>119</v>
      </c>
      <c r="Y109" s="38" t="s">
        <v>119</v>
      </c>
      <c r="Z109" s="38" t="s">
        <v>119</v>
      </c>
      <c r="AA109" s="38" t="s">
        <v>119</v>
      </c>
      <c r="AB109" s="38" t="s">
        <v>119</v>
      </c>
      <c r="AC109" s="38" t="s">
        <v>119</v>
      </c>
      <c r="AD109" s="38" t="s">
        <v>119</v>
      </c>
      <c r="AE109" s="38" t="s">
        <v>119</v>
      </c>
      <c r="AF109" s="38" t="s">
        <v>119</v>
      </c>
      <c r="AG109" s="38" t="s">
        <v>119</v>
      </c>
      <c r="AH109" s="38" t="s">
        <v>119</v>
      </c>
      <c r="AI109" s="38" t="s">
        <v>119</v>
      </c>
      <c r="AJ109" s="38" t="s">
        <v>119</v>
      </c>
      <c r="AK109" s="38" t="s">
        <v>119</v>
      </c>
      <c r="AL109" s="38" t="s">
        <v>119</v>
      </c>
      <c r="AM109" s="38" t="s">
        <v>119</v>
      </c>
      <c r="AN109" s="38" t="s">
        <v>119</v>
      </c>
      <c r="AO109" s="38" t="s">
        <v>119</v>
      </c>
      <c r="AP109" s="38" t="s">
        <v>119</v>
      </c>
      <c r="AQ109" s="38" t="s">
        <v>119</v>
      </c>
      <c r="AR109" s="38" t="s">
        <v>119</v>
      </c>
      <c r="AS109" s="38" t="s">
        <v>119</v>
      </c>
      <c r="AT109" s="38" t="s">
        <v>119</v>
      </c>
      <c r="AU109" s="38" t="s">
        <v>119</v>
      </c>
      <c r="AV109" s="38" t="s">
        <v>119</v>
      </c>
      <c r="AW109" s="38" t="s">
        <v>119</v>
      </c>
      <c r="AX109" s="38" t="s">
        <v>119</v>
      </c>
    </row>
    <row r="110" spans="1:50" x14ac:dyDescent="0.45">
      <c r="A110" s="38" t="s">
        <v>14</v>
      </c>
      <c r="B110" s="38">
        <v>113</v>
      </c>
      <c r="C110" s="38" t="s">
        <v>118</v>
      </c>
      <c r="D110" s="38">
        <v>113</v>
      </c>
      <c r="E110" s="38">
        <v>50150</v>
      </c>
      <c r="F110" s="38">
        <f t="shared" si="2"/>
        <v>50.15</v>
      </c>
      <c r="G110" s="38">
        <v>31629531.25</v>
      </c>
      <c r="H110" s="38">
        <f t="shared" si="3"/>
        <v>31.629531249999999</v>
      </c>
      <c r="I110" s="38">
        <v>2679</v>
      </c>
      <c r="J110" s="38">
        <v>2679</v>
      </c>
      <c r="K110" s="38" t="s">
        <v>119</v>
      </c>
      <c r="L110" s="38" t="s">
        <v>119</v>
      </c>
      <c r="M110" s="38" t="s">
        <v>119</v>
      </c>
      <c r="N110" s="38">
        <v>46.026890000000002</v>
      </c>
      <c r="O110" s="38" t="s">
        <v>120</v>
      </c>
      <c r="P110" s="38" t="s">
        <v>120</v>
      </c>
      <c r="Q110" s="38" t="s">
        <v>119</v>
      </c>
      <c r="R110" s="38" t="s">
        <v>119</v>
      </c>
      <c r="S110" s="38" t="s">
        <v>119</v>
      </c>
      <c r="T110" s="38">
        <v>73.942716000000004</v>
      </c>
      <c r="U110" s="38">
        <v>76.958428999999995</v>
      </c>
      <c r="V110" s="38" t="s">
        <v>119</v>
      </c>
      <c r="W110" s="38" t="s">
        <v>119</v>
      </c>
      <c r="X110" s="38" t="s">
        <v>119</v>
      </c>
      <c r="Y110" s="38" t="s">
        <v>119</v>
      </c>
      <c r="Z110" s="38" t="s">
        <v>119</v>
      </c>
      <c r="AA110" s="38" t="s">
        <v>119</v>
      </c>
      <c r="AB110" s="38" t="s">
        <v>119</v>
      </c>
      <c r="AC110" s="38" t="s">
        <v>119</v>
      </c>
      <c r="AD110" s="38" t="s">
        <v>119</v>
      </c>
      <c r="AE110" s="38" t="s">
        <v>119</v>
      </c>
      <c r="AF110" s="38" t="s">
        <v>119</v>
      </c>
      <c r="AG110" s="38" t="s">
        <v>119</v>
      </c>
      <c r="AH110" s="38" t="s">
        <v>119</v>
      </c>
      <c r="AI110" s="38" t="s">
        <v>119</v>
      </c>
      <c r="AJ110" s="38" t="s">
        <v>119</v>
      </c>
      <c r="AK110" s="38" t="s">
        <v>119</v>
      </c>
      <c r="AL110" s="38" t="s">
        <v>119</v>
      </c>
      <c r="AM110" s="38" t="s">
        <v>119</v>
      </c>
      <c r="AN110" s="38" t="s">
        <v>119</v>
      </c>
      <c r="AO110" s="38" t="s">
        <v>119</v>
      </c>
      <c r="AP110" s="38" t="s">
        <v>119</v>
      </c>
      <c r="AQ110" s="38" t="s">
        <v>119</v>
      </c>
      <c r="AR110" s="38" t="s">
        <v>119</v>
      </c>
      <c r="AS110" s="38" t="s">
        <v>119</v>
      </c>
      <c r="AT110" s="38" t="s">
        <v>119</v>
      </c>
      <c r="AU110" s="38" t="s">
        <v>119</v>
      </c>
      <c r="AV110" s="38" t="s">
        <v>119</v>
      </c>
      <c r="AW110" s="38" t="s">
        <v>119</v>
      </c>
      <c r="AX110" s="38" t="s">
        <v>119</v>
      </c>
    </row>
    <row r="111" spans="1:50" x14ac:dyDescent="0.45">
      <c r="A111" s="38" t="s">
        <v>15</v>
      </c>
      <c r="B111" s="38">
        <v>115</v>
      </c>
      <c r="C111" s="38" t="s">
        <v>118</v>
      </c>
      <c r="D111" s="38">
        <v>115</v>
      </c>
      <c r="E111" s="38">
        <v>28025</v>
      </c>
      <c r="F111" s="38">
        <f t="shared" si="2"/>
        <v>28.024999999999999</v>
      </c>
      <c r="G111" s="38">
        <v>16107968.75</v>
      </c>
      <c r="H111" s="38">
        <f t="shared" si="3"/>
        <v>16.107968750000001</v>
      </c>
      <c r="I111" s="38">
        <v>2681</v>
      </c>
      <c r="J111" s="38">
        <v>2681</v>
      </c>
      <c r="K111" s="38" t="s">
        <v>119</v>
      </c>
      <c r="L111" s="38" t="s">
        <v>119</v>
      </c>
      <c r="M111" s="38" t="s">
        <v>119</v>
      </c>
      <c r="N111" s="38">
        <v>52.823185000000002</v>
      </c>
      <c r="O111" s="38" t="s">
        <v>120</v>
      </c>
      <c r="P111" s="38" t="s">
        <v>120</v>
      </c>
      <c r="Q111" s="38" t="s">
        <v>119</v>
      </c>
      <c r="R111" s="38" t="s">
        <v>119</v>
      </c>
      <c r="S111" s="38" t="s">
        <v>119</v>
      </c>
      <c r="T111" s="38">
        <v>77.039235000000005</v>
      </c>
      <c r="U111" s="38">
        <v>77.158355</v>
      </c>
      <c r="V111" s="38" t="s">
        <v>119</v>
      </c>
      <c r="W111" s="38" t="s">
        <v>119</v>
      </c>
      <c r="X111" s="38" t="s">
        <v>119</v>
      </c>
      <c r="Y111" s="38" t="s">
        <v>119</v>
      </c>
      <c r="Z111" s="38" t="s">
        <v>119</v>
      </c>
      <c r="AA111" s="38" t="s">
        <v>119</v>
      </c>
      <c r="AB111" s="38" t="s">
        <v>119</v>
      </c>
      <c r="AC111" s="38" t="s">
        <v>119</v>
      </c>
      <c r="AD111" s="38" t="s">
        <v>119</v>
      </c>
      <c r="AE111" s="38" t="s">
        <v>119</v>
      </c>
      <c r="AF111" s="38" t="s">
        <v>119</v>
      </c>
      <c r="AG111" s="38" t="s">
        <v>119</v>
      </c>
      <c r="AH111" s="38" t="s">
        <v>119</v>
      </c>
      <c r="AI111" s="38" t="s">
        <v>119</v>
      </c>
      <c r="AJ111" s="38" t="s">
        <v>119</v>
      </c>
      <c r="AK111" s="38" t="s">
        <v>119</v>
      </c>
      <c r="AL111" s="38" t="s">
        <v>119</v>
      </c>
      <c r="AM111" s="38" t="s">
        <v>119</v>
      </c>
      <c r="AN111" s="38" t="s">
        <v>119</v>
      </c>
      <c r="AO111" s="38" t="s">
        <v>119</v>
      </c>
      <c r="AP111" s="38" t="s">
        <v>119</v>
      </c>
      <c r="AQ111" s="38" t="s">
        <v>119</v>
      </c>
      <c r="AR111" s="38" t="s">
        <v>119</v>
      </c>
      <c r="AS111" s="38" t="s">
        <v>119</v>
      </c>
      <c r="AT111" s="38" t="s">
        <v>119</v>
      </c>
      <c r="AU111" s="38" t="s">
        <v>119</v>
      </c>
      <c r="AV111" s="38" t="s">
        <v>119</v>
      </c>
      <c r="AW111" s="38" t="s">
        <v>119</v>
      </c>
      <c r="AX111" s="38" t="s">
        <v>119</v>
      </c>
    </row>
    <row r="112" spans="1:50" x14ac:dyDescent="0.45">
      <c r="A112" s="38" t="s">
        <v>16</v>
      </c>
      <c r="B112" s="38">
        <v>116</v>
      </c>
      <c r="C112" s="38" t="s">
        <v>118</v>
      </c>
      <c r="D112" s="38">
        <v>116</v>
      </c>
      <c r="E112" s="38">
        <v>7250</v>
      </c>
      <c r="F112" s="38">
        <f t="shared" si="2"/>
        <v>7.25</v>
      </c>
      <c r="G112" s="38">
        <v>991093.75</v>
      </c>
      <c r="H112" s="38">
        <f t="shared" si="3"/>
        <v>0.99109375</v>
      </c>
      <c r="I112" s="38">
        <v>2682</v>
      </c>
      <c r="J112" s="38">
        <v>2682</v>
      </c>
      <c r="K112" s="38" t="s">
        <v>119</v>
      </c>
      <c r="L112" s="38" t="s">
        <v>119</v>
      </c>
      <c r="M112" s="38" t="s">
        <v>119</v>
      </c>
      <c r="N112" s="38">
        <v>10.660062999999999</v>
      </c>
      <c r="O112" s="38" t="s">
        <v>120</v>
      </c>
      <c r="P112" s="38" t="s">
        <v>120</v>
      </c>
      <c r="Q112" s="38" t="s">
        <v>119</v>
      </c>
      <c r="R112" s="38" t="s">
        <v>119</v>
      </c>
      <c r="S112" s="38" t="s">
        <v>119</v>
      </c>
      <c r="T112" s="38">
        <v>58.678435</v>
      </c>
      <c r="U112" s="38">
        <v>76.878765000000001</v>
      </c>
      <c r="V112" s="38" t="s">
        <v>119</v>
      </c>
      <c r="W112" s="38" t="s">
        <v>119</v>
      </c>
      <c r="X112" s="38" t="s">
        <v>119</v>
      </c>
      <c r="Y112" s="38" t="s">
        <v>119</v>
      </c>
      <c r="Z112" s="38" t="s">
        <v>119</v>
      </c>
      <c r="AA112" s="38" t="s">
        <v>119</v>
      </c>
      <c r="AB112" s="38" t="s">
        <v>119</v>
      </c>
      <c r="AC112" s="38" t="s">
        <v>119</v>
      </c>
      <c r="AD112" s="38" t="s">
        <v>119</v>
      </c>
      <c r="AE112" s="38" t="s">
        <v>119</v>
      </c>
      <c r="AF112" s="38" t="s">
        <v>119</v>
      </c>
      <c r="AG112" s="38" t="s">
        <v>119</v>
      </c>
      <c r="AH112" s="38" t="s">
        <v>119</v>
      </c>
      <c r="AI112" s="38" t="s">
        <v>119</v>
      </c>
      <c r="AJ112" s="38" t="s">
        <v>119</v>
      </c>
      <c r="AK112" s="38" t="s">
        <v>119</v>
      </c>
      <c r="AL112" s="38" t="s">
        <v>119</v>
      </c>
      <c r="AM112" s="38" t="s">
        <v>119</v>
      </c>
      <c r="AN112" s="38" t="s">
        <v>119</v>
      </c>
      <c r="AO112" s="38" t="s">
        <v>119</v>
      </c>
      <c r="AP112" s="38" t="s">
        <v>119</v>
      </c>
      <c r="AQ112" s="38" t="s">
        <v>119</v>
      </c>
      <c r="AR112" s="38" t="s">
        <v>119</v>
      </c>
      <c r="AS112" s="38" t="s">
        <v>119</v>
      </c>
      <c r="AT112" s="38" t="s">
        <v>119</v>
      </c>
      <c r="AU112" s="38" t="s">
        <v>119</v>
      </c>
      <c r="AV112" s="38" t="s">
        <v>119</v>
      </c>
      <c r="AW112" s="38" t="s">
        <v>119</v>
      </c>
      <c r="AX112" s="38" t="s">
        <v>119</v>
      </c>
    </row>
    <row r="113" spans="1:50" x14ac:dyDescent="0.45">
      <c r="A113" s="38" t="s">
        <v>221</v>
      </c>
      <c r="B113" s="38">
        <v>117</v>
      </c>
      <c r="C113" s="38" t="s">
        <v>118</v>
      </c>
      <c r="D113" s="38">
        <v>117</v>
      </c>
      <c r="E113" s="38">
        <v>20150</v>
      </c>
      <c r="F113" s="38">
        <f t="shared" si="2"/>
        <v>20.149999999999999</v>
      </c>
      <c r="G113" s="38">
        <v>8746093.75</v>
      </c>
      <c r="H113" s="38">
        <f t="shared" si="3"/>
        <v>8.74609375</v>
      </c>
      <c r="I113" s="38">
        <v>2683</v>
      </c>
      <c r="J113" s="38">
        <v>2683</v>
      </c>
      <c r="K113" s="38" t="s">
        <v>119</v>
      </c>
      <c r="L113" s="38" t="s">
        <v>119</v>
      </c>
      <c r="M113" s="38" t="s">
        <v>119</v>
      </c>
      <c r="N113" s="38">
        <v>48.929606999999997</v>
      </c>
      <c r="O113" s="38" t="s">
        <v>120</v>
      </c>
      <c r="P113" s="38" t="s">
        <v>120</v>
      </c>
      <c r="Q113" s="38" t="s">
        <v>119</v>
      </c>
      <c r="R113" s="38" t="s">
        <v>119</v>
      </c>
      <c r="S113" s="38" t="s">
        <v>119</v>
      </c>
      <c r="T113" s="38">
        <v>77.609318999999999</v>
      </c>
      <c r="U113" s="38">
        <v>77.506204999999994</v>
      </c>
      <c r="V113" s="38" t="s">
        <v>119</v>
      </c>
      <c r="W113" s="38" t="s">
        <v>119</v>
      </c>
      <c r="X113" s="38" t="s">
        <v>119</v>
      </c>
      <c r="Y113" s="38" t="s">
        <v>119</v>
      </c>
      <c r="Z113" s="38" t="s">
        <v>119</v>
      </c>
      <c r="AA113" s="38" t="s">
        <v>119</v>
      </c>
      <c r="AB113" s="38" t="s">
        <v>119</v>
      </c>
      <c r="AC113" s="38" t="s">
        <v>119</v>
      </c>
      <c r="AD113" s="38" t="s">
        <v>119</v>
      </c>
      <c r="AE113" s="38" t="s">
        <v>119</v>
      </c>
      <c r="AF113" s="38" t="s">
        <v>119</v>
      </c>
      <c r="AG113" s="38" t="s">
        <v>119</v>
      </c>
      <c r="AH113" s="38" t="s">
        <v>119</v>
      </c>
      <c r="AI113" s="38" t="s">
        <v>119</v>
      </c>
      <c r="AJ113" s="38" t="s">
        <v>119</v>
      </c>
      <c r="AK113" s="38" t="s">
        <v>119</v>
      </c>
      <c r="AL113" s="38" t="s">
        <v>119</v>
      </c>
      <c r="AM113" s="38" t="s">
        <v>119</v>
      </c>
      <c r="AN113" s="38" t="s">
        <v>119</v>
      </c>
      <c r="AO113" s="38" t="s">
        <v>119</v>
      </c>
      <c r="AP113" s="38" t="s">
        <v>119</v>
      </c>
      <c r="AQ113" s="38" t="s">
        <v>119</v>
      </c>
      <c r="AR113" s="38" t="s">
        <v>119</v>
      </c>
      <c r="AS113" s="38" t="s">
        <v>119</v>
      </c>
      <c r="AT113" s="38" t="s">
        <v>119</v>
      </c>
      <c r="AU113" s="38" t="s">
        <v>119</v>
      </c>
      <c r="AV113" s="38" t="s">
        <v>119</v>
      </c>
      <c r="AW113" s="38" t="s">
        <v>119</v>
      </c>
      <c r="AX113" s="38" t="s">
        <v>119</v>
      </c>
    </row>
    <row r="114" spans="1:50" x14ac:dyDescent="0.45">
      <c r="A114" s="38" t="s">
        <v>17</v>
      </c>
      <c r="B114" s="38">
        <v>118</v>
      </c>
      <c r="C114" s="38" t="s">
        <v>118</v>
      </c>
      <c r="D114" s="38">
        <v>118</v>
      </c>
      <c r="E114" s="38">
        <v>16550</v>
      </c>
      <c r="F114" s="38">
        <f t="shared" si="2"/>
        <v>16.55</v>
      </c>
      <c r="G114" s="38">
        <v>3681718.75</v>
      </c>
      <c r="H114" s="38">
        <f t="shared" si="3"/>
        <v>3.6817187499999999</v>
      </c>
      <c r="I114" s="38">
        <v>2684</v>
      </c>
      <c r="J114" s="38">
        <v>2684</v>
      </c>
      <c r="K114" s="38" t="s">
        <v>119</v>
      </c>
      <c r="L114" s="38" t="s">
        <v>119</v>
      </c>
      <c r="M114" s="38" t="s">
        <v>119</v>
      </c>
      <c r="N114" s="38">
        <v>8.0271559999999997</v>
      </c>
      <c r="O114" s="38" t="s">
        <v>120</v>
      </c>
      <c r="P114" s="38" t="s">
        <v>120</v>
      </c>
      <c r="Q114" s="38" t="s">
        <v>119</v>
      </c>
      <c r="R114" s="38" t="s">
        <v>119</v>
      </c>
      <c r="S114" s="38" t="s">
        <v>119</v>
      </c>
      <c r="T114" s="38">
        <v>68.590908999999996</v>
      </c>
      <c r="U114" s="38">
        <v>76.590093999999993</v>
      </c>
      <c r="V114" s="38" t="s">
        <v>119</v>
      </c>
      <c r="W114" s="38" t="s">
        <v>119</v>
      </c>
      <c r="X114" s="38" t="s">
        <v>119</v>
      </c>
      <c r="Y114" s="38" t="s">
        <v>119</v>
      </c>
      <c r="Z114" s="38" t="s">
        <v>119</v>
      </c>
      <c r="AA114" s="38" t="s">
        <v>119</v>
      </c>
      <c r="AB114" s="38" t="s">
        <v>119</v>
      </c>
      <c r="AC114" s="38" t="s">
        <v>119</v>
      </c>
      <c r="AD114" s="38" t="s">
        <v>119</v>
      </c>
      <c r="AE114" s="38" t="s">
        <v>119</v>
      </c>
      <c r="AF114" s="38" t="s">
        <v>119</v>
      </c>
      <c r="AG114" s="38" t="s">
        <v>119</v>
      </c>
      <c r="AH114" s="38" t="s">
        <v>119</v>
      </c>
      <c r="AI114" s="38" t="s">
        <v>119</v>
      </c>
      <c r="AJ114" s="38" t="s">
        <v>119</v>
      </c>
      <c r="AK114" s="38" t="s">
        <v>119</v>
      </c>
      <c r="AL114" s="38" t="s">
        <v>119</v>
      </c>
      <c r="AM114" s="38" t="s">
        <v>119</v>
      </c>
      <c r="AN114" s="38" t="s">
        <v>119</v>
      </c>
      <c r="AO114" s="38" t="s">
        <v>119</v>
      </c>
      <c r="AP114" s="38" t="s">
        <v>119</v>
      </c>
      <c r="AQ114" s="38" t="s">
        <v>119</v>
      </c>
      <c r="AR114" s="38" t="s">
        <v>119</v>
      </c>
      <c r="AS114" s="38" t="s">
        <v>119</v>
      </c>
      <c r="AT114" s="38" t="s">
        <v>119</v>
      </c>
      <c r="AU114" s="38" t="s">
        <v>119</v>
      </c>
      <c r="AV114" s="38" t="s">
        <v>119</v>
      </c>
      <c r="AW114" s="38" t="s">
        <v>119</v>
      </c>
      <c r="AX114" s="38" t="s">
        <v>119</v>
      </c>
    </row>
    <row r="115" spans="1:50" x14ac:dyDescent="0.45">
      <c r="A115" s="38" t="s">
        <v>18</v>
      </c>
      <c r="B115" s="38">
        <v>119</v>
      </c>
      <c r="C115" s="38" t="s">
        <v>118</v>
      </c>
      <c r="D115" s="38">
        <v>119</v>
      </c>
      <c r="E115" s="38">
        <v>17850</v>
      </c>
      <c r="F115" s="38">
        <f t="shared" si="2"/>
        <v>17.850000000000001</v>
      </c>
      <c r="G115" s="38">
        <v>5526093.75</v>
      </c>
      <c r="H115" s="38">
        <f t="shared" si="3"/>
        <v>5.5260937500000002</v>
      </c>
      <c r="I115" s="38">
        <v>2685</v>
      </c>
      <c r="J115" s="38">
        <v>2685</v>
      </c>
      <c r="K115" s="38" t="s">
        <v>119</v>
      </c>
      <c r="L115" s="38" t="s">
        <v>119</v>
      </c>
      <c r="M115" s="38" t="s">
        <v>119</v>
      </c>
      <c r="N115" s="38">
        <v>12.367421999999999</v>
      </c>
      <c r="O115" s="38" t="s">
        <v>120</v>
      </c>
      <c r="P115" s="38" t="s">
        <v>120</v>
      </c>
      <c r="Q115" s="38" t="s">
        <v>119</v>
      </c>
      <c r="R115" s="38" t="s">
        <v>119</v>
      </c>
      <c r="S115" s="38" t="s">
        <v>119</v>
      </c>
      <c r="T115" s="38">
        <v>56.692228999999998</v>
      </c>
      <c r="U115" s="38">
        <v>76.781514000000001</v>
      </c>
      <c r="V115" s="38" t="s">
        <v>119</v>
      </c>
      <c r="W115" s="38" t="s">
        <v>119</v>
      </c>
      <c r="X115" s="38" t="s">
        <v>119</v>
      </c>
      <c r="Y115" s="38" t="s">
        <v>119</v>
      </c>
      <c r="Z115" s="38" t="s">
        <v>119</v>
      </c>
      <c r="AA115" s="38" t="s">
        <v>119</v>
      </c>
      <c r="AB115" s="38" t="s">
        <v>119</v>
      </c>
      <c r="AC115" s="38" t="s">
        <v>119</v>
      </c>
      <c r="AD115" s="38" t="s">
        <v>119</v>
      </c>
      <c r="AE115" s="38" t="s">
        <v>119</v>
      </c>
      <c r="AF115" s="38" t="s">
        <v>119</v>
      </c>
      <c r="AG115" s="38" t="s">
        <v>119</v>
      </c>
      <c r="AH115" s="38" t="s">
        <v>119</v>
      </c>
      <c r="AI115" s="38" t="s">
        <v>119</v>
      </c>
      <c r="AJ115" s="38" t="s">
        <v>119</v>
      </c>
      <c r="AK115" s="38" t="s">
        <v>119</v>
      </c>
      <c r="AL115" s="38" t="s">
        <v>119</v>
      </c>
      <c r="AM115" s="38" t="s">
        <v>119</v>
      </c>
      <c r="AN115" s="38" t="s">
        <v>119</v>
      </c>
      <c r="AO115" s="38" t="s">
        <v>119</v>
      </c>
      <c r="AP115" s="38" t="s">
        <v>119</v>
      </c>
      <c r="AQ115" s="38" t="s">
        <v>119</v>
      </c>
      <c r="AR115" s="38" t="s">
        <v>119</v>
      </c>
      <c r="AS115" s="38" t="s">
        <v>119</v>
      </c>
      <c r="AT115" s="38" t="s">
        <v>119</v>
      </c>
      <c r="AU115" s="38" t="s">
        <v>119</v>
      </c>
      <c r="AV115" s="38" t="s">
        <v>119</v>
      </c>
      <c r="AW115" s="38" t="s">
        <v>119</v>
      </c>
      <c r="AX115" s="38" t="s">
        <v>119</v>
      </c>
    </row>
    <row r="116" spans="1:50" x14ac:dyDescent="0.45">
      <c r="A116" s="38" t="s">
        <v>222</v>
      </c>
      <c r="B116" s="38">
        <v>121</v>
      </c>
      <c r="C116" s="38" t="s">
        <v>118</v>
      </c>
      <c r="D116" s="38">
        <v>121</v>
      </c>
      <c r="E116" s="38">
        <v>21100</v>
      </c>
      <c r="F116" s="38">
        <f t="shared" si="2"/>
        <v>21.1</v>
      </c>
      <c r="G116" s="38">
        <v>9101406.25</v>
      </c>
      <c r="H116" s="38">
        <f t="shared" si="3"/>
        <v>9.1014062500000001</v>
      </c>
      <c r="I116" s="38">
        <v>2687</v>
      </c>
      <c r="J116" s="38">
        <v>2687</v>
      </c>
      <c r="K116" s="38" t="s">
        <v>119</v>
      </c>
      <c r="L116" s="38" t="s">
        <v>119</v>
      </c>
      <c r="M116" s="38" t="s">
        <v>119</v>
      </c>
      <c r="N116" s="38">
        <v>26.648869000000001</v>
      </c>
      <c r="O116" s="38" t="s">
        <v>120</v>
      </c>
      <c r="P116" s="38" t="s">
        <v>120</v>
      </c>
      <c r="Q116" s="38" t="s">
        <v>119</v>
      </c>
      <c r="R116" s="38" t="s">
        <v>119</v>
      </c>
      <c r="S116" s="38" t="s">
        <v>119</v>
      </c>
      <c r="T116" s="38">
        <v>64.786783</v>
      </c>
      <c r="U116" s="38">
        <v>77.023183000000003</v>
      </c>
      <c r="V116" s="38" t="s">
        <v>119</v>
      </c>
      <c r="W116" s="38" t="s">
        <v>119</v>
      </c>
      <c r="X116" s="38" t="s">
        <v>119</v>
      </c>
      <c r="Y116" s="38" t="s">
        <v>119</v>
      </c>
      <c r="Z116" s="38" t="s">
        <v>119</v>
      </c>
      <c r="AA116" s="38" t="s">
        <v>119</v>
      </c>
      <c r="AB116" s="38" t="s">
        <v>119</v>
      </c>
      <c r="AC116" s="38" t="s">
        <v>119</v>
      </c>
      <c r="AD116" s="38" t="s">
        <v>119</v>
      </c>
      <c r="AE116" s="38" t="s">
        <v>119</v>
      </c>
      <c r="AF116" s="38" t="s">
        <v>119</v>
      </c>
      <c r="AG116" s="38" t="s">
        <v>119</v>
      </c>
      <c r="AH116" s="38" t="s">
        <v>119</v>
      </c>
      <c r="AI116" s="38" t="s">
        <v>119</v>
      </c>
      <c r="AJ116" s="38" t="s">
        <v>119</v>
      </c>
      <c r="AK116" s="38" t="s">
        <v>119</v>
      </c>
      <c r="AL116" s="38" t="s">
        <v>119</v>
      </c>
      <c r="AM116" s="38" t="s">
        <v>119</v>
      </c>
      <c r="AN116" s="38" t="s">
        <v>119</v>
      </c>
      <c r="AO116" s="38" t="s">
        <v>119</v>
      </c>
      <c r="AP116" s="38" t="s">
        <v>119</v>
      </c>
      <c r="AQ116" s="38" t="s">
        <v>119</v>
      </c>
      <c r="AR116" s="38" t="s">
        <v>119</v>
      </c>
      <c r="AS116" s="38" t="s">
        <v>119</v>
      </c>
      <c r="AT116" s="38" t="s">
        <v>119</v>
      </c>
      <c r="AU116" s="38" t="s">
        <v>119</v>
      </c>
      <c r="AV116" s="38" t="s">
        <v>119</v>
      </c>
      <c r="AW116" s="38" t="s">
        <v>119</v>
      </c>
      <c r="AX116" s="38" t="s">
        <v>119</v>
      </c>
    </row>
    <row r="117" spans="1:50" x14ac:dyDescent="0.45">
      <c r="A117" s="38" t="s">
        <v>19</v>
      </c>
      <c r="B117" s="38">
        <v>122</v>
      </c>
      <c r="C117" s="38" t="s">
        <v>118</v>
      </c>
      <c r="D117" s="38">
        <v>122</v>
      </c>
      <c r="E117" s="38">
        <v>15100</v>
      </c>
      <c r="F117" s="38">
        <f t="shared" si="2"/>
        <v>15.1</v>
      </c>
      <c r="G117" s="38">
        <v>3484843.75</v>
      </c>
      <c r="H117" s="38">
        <f t="shared" si="3"/>
        <v>3.48484375</v>
      </c>
      <c r="I117" s="38">
        <v>2688</v>
      </c>
      <c r="J117" s="38">
        <v>2688</v>
      </c>
      <c r="K117" s="38" t="s">
        <v>119</v>
      </c>
      <c r="L117" s="38" t="s">
        <v>119</v>
      </c>
      <c r="M117" s="38" t="s">
        <v>119</v>
      </c>
      <c r="N117" s="38">
        <v>12.622348000000001</v>
      </c>
      <c r="O117" s="38" t="s">
        <v>120</v>
      </c>
      <c r="P117" s="38" t="s">
        <v>120</v>
      </c>
      <c r="Q117" s="38" t="s">
        <v>119</v>
      </c>
      <c r="R117" s="38" t="s">
        <v>119</v>
      </c>
      <c r="S117" s="38" t="s">
        <v>119</v>
      </c>
      <c r="T117" s="38">
        <v>70.102327000000002</v>
      </c>
      <c r="U117" s="38">
        <v>77.065083999999999</v>
      </c>
      <c r="V117" s="38" t="s">
        <v>119</v>
      </c>
      <c r="W117" s="38" t="s">
        <v>119</v>
      </c>
      <c r="X117" s="38" t="s">
        <v>119</v>
      </c>
      <c r="Y117" s="38" t="s">
        <v>119</v>
      </c>
      <c r="Z117" s="38" t="s">
        <v>119</v>
      </c>
      <c r="AA117" s="38" t="s">
        <v>119</v>
      </c>
      <c r="AB117" s="38" t="s">
        <v>119</v>
      </c>
      <c r="AC117" s="38" t="s">
        <v>119</v>
      </c>
      <c r="AD117" s="38" t="s">
        <v>119</v>
      </c>
      <c r="AE117" s="38" t="s">
        <v>119</v>
      </c>
      <c r="AF117" s="38" t="s">
        <v>119</v>
      </c>
      <c r="AG117" s="38" t="s">
        <v>119</v>
      </c>
      <c r="AH117" s="38" t="s">
        <v>119</v>
      </c>
      <c r="AI117" s="38" t="s">
        <v>119</v>
      </c>
      <c r="AJ117" s="38" t="s">
        <v>119</v>
      </c>
      <c r="AK117" s="38" t="s">
        <v>119</v>
      </c>
      <c r="AL117" s="38" t="s">
        <v>119</v>
      </c>
      <c r="AM117" s="38" t="s">
        <v>119</v>
      </c>
      <c r="AN117" s="38" t="s">
        <v>119</v>
      </c>
      <c r="AO117" s="38" t="s">
        <v>119</v>
      </c>
      <c r="AP117" s="38" t="s">
        <v>119</v>
      </c>
      <c r="AQ117" s="38" t="s">
        <v>119</v>
      </c>
      <c r="AR117" s="38" t="s">
        <v>119</v>
      </c>
      <c r="AS117" s="38" t="s">
        <v>119</v>
      </c>
      <c r="AT117" s="38" t="s">
        <v>119</v>
      </c>
      <c r="AU117" s="38" t="s">
        <v>119</v>
      </c>
      <c r="AV117" s="38" t="s">
        <v>119</v>
      </c>
      <c r="AW117" s="38" t="s">
        <v>119</v>
      </c>
      <c r="AX117" s="38" t="s">
        <v>119</v>
      </c>
    </row>
    <row r="118" spans="1:50" x14ac:dyDescent="0.45">
      <c r="A118" s="38" t="s">
        <v>223</v>
      </c>
      <c r="B118" s="38">
        <v>123</v>
      </c>
      <c r="C118" s="38" t="s">
        <v>118</v>
      </c>
      <c r="D118" s="38">
        <v>123</v>
      </c>
      <c r="E118" s="38">
        <v>4650</v>
      </c>
      <c r="F118" s="38">
        <f t="shared" si="2"/>
        <v>4.6500000000000004</v>
      </c>
      <c r="G118" s="38">
        <v>464062.5</v>
      </c>
      <c r="H118" s="38">
        <f t="shared" si="3"/>
        <v>0.46406249999999999</v>
      </c>
      <c r="I118" s="38">
        <v>2689</v>
      </c>
      <c r="J118" s="38">
        <v>2689</v>
      </c>
      <c r="K118" s="38" t="s">
        <v>119</v>
      </c>
      <c r="L118" s="38" t="s">
        <v>119</v>
      </c>
      <c r="M118" s="38" t="s">
        <v>119</v>
      </c>
      <c r="N118" s="38">
        <v>8.6032729999999997</v>
      </c>
      <c r="O118" s="38" t="s">
        <v>120</v>
      </c>
      <c r="P118" s="38" t="s">
        <v>120</v>
      </c>
      <c r="Q118" s="38" t="s">
        <v>119</v>
      </c>
      <c r="R118" s="38" t="s">
        <v>119</v>
      </c>
      <c r="S118" s="38" t="s">
        <v>119</v>
      </c>
      <c r="T118" s="38">
        <v>60.362139999999997</v>
      </c>
      <c r="U118" s="38">
        <v>76.948556999999994</v>
      </c>
      <c r="V118" s="38" t="s">
        <v>119</v>
      </c>
      <c r="W118" s="38" t="s">
        <v>119</v>
      </c>
      <c r="X118" s="38" t="s">
        <v>119</v>
      </c>
      <c r="Y118" s="38" t="s">
        <v>119</v>
      </c>
      <c r="Z118" s="38" t="s">
        <v>119</v>
      </c>
      <c r="AA118" s="38" t="s">
        <v>119</v>
      </c>
      <c r="AB118" s="38" t="s">
        <v>119</v>
      </c>
      <c r="AC118" s="38" t="s">
        <v>119</v>
      </c>
      <c r="AD118" s="38" t="s">
        <v>119</v>
      </c>
      <c r="AE118" s="38" t="s">
        <v>119</v>
      </c>
      <c r="AF118" s="38" t="s">
        <v>119</v>
      </c>
      <c r="AG118" s="38" t="s">
        <v>119</v>
      </c>
      <c r="AH118" s="38" t="s">
        <v>119</v>
      </c>
      <c r="AI118" s="38" t="s">
        <v>119</v>
      </c>
      <c r="AJ118" s="38" t="s">
        <v>119</v>
      </c>
      <c r="AK118" s="38" t="s">
        <v>119</v>
      </c>
      <c r="AL118" s="38" t="s">
        <v>119</v>
      </c>
      <c r="AM118" s="38" t="s">
        <v>119</v>
      </c>
      <c r="AN118" s="38" t="s">
        <v>119</v>
      </c>
      <c r="AO118" s="38" t="s">
        <v>119</v>
      </c>
      <c r="AP118" s="38" t="s">
        <v>119</v>
      </c>
      <c r="AQ118" s="38" t="s">
        <v>119</v>
      </c>
      <c r="AR118" s="38" t="s">
        <v>119</v>
      </c>
      <c r="AS118" s="38" t="s">
        <v>119</v>
      </c>
      <c r="AT118" s="38" t="s">
        <v>119</v>
      </c>
      <c r="AU118" s="38" t="s">
        <v>119</v>
      </c>
      <c r="AV118" s="38" t="s">
        <v>119</v>
      </c>
      <c r="AW118" s="38" t="s">
        <v>119</v>
      </c>
      <c r="AX118" s="38" t="s">
        <v>119</v>
      </c>
    </row>
    <row r="119" spans="1:50" x14ac:dyDescent="0.45">
      <c r="A119" s="38" t="s">
        <v>20</v>
      </c>
      <c r="B119" s="38">
        <v>124</v>
      </c>
      <c r="C119" s="38" t="s">
        <v>118</v>
      </c>
      <c r="D119" s="38">
        <v>124</v>
      </c>
      <c r="E119" s="38">
        <v>5350</v>
      </c>
      <c r="F119" s="38">
        <f t="shared" si="2"/>
        <v>5.35</v>
      </c>
      <c r="G119" s="38">
        <v>490625</v>
      </c>
      <c r="H119" s="38">
        <f t="shared" si="3"/>
        <v>0.49062499999999998</v>
      </c>
      <c r="I119" s="38">
        <v>2690</v>
      </c>
      <c r="J119" s="38">
        <v>2690</v>
      </c>
      <c r="K119" s="38" t="s">
        <v>119</v>
      </c>
      <c r="L119" s="38" t="s">
        <v>119</v>
      </c>
      <c r="M119" s="38" t="s">
        <v>119</v>
      </c>
      <c r="N119" s="38">
        <v>8.9123809999999999</v>
      </c>
      <c r="O119" s="38" t="s">
        <v>120</v>
      </c>
      <c r="P119" s="38" t="s">
        <v>120</v>
      </c>
      <c r="Q119" s="38" t="s">
        <v>119</v>
      </c>
      <c r="R119" s="38" t="s">
        <v>119</v>
      </c>
      <c r="S119" s="38" t="s">
        <v>119</v>
      </c>
      <c r="T119" s="38">
        <v>68.944551000000004</v>
      </c>
      <c r="U119" s="38">
        <v>76.975762000000003</v>
      </c>
      <c r="V119" s="38" t="s">
        <v>119</v>
      </c>
      <c r="W119" s="38" t="s">
        <v>119</v>
      </c>
      <c r="X119" s="38" t="s">
        <v>119</v>
      </c>
      <c r="Y119" s="38" t="s">
        <v>119</v>
      </c>
      <c r="Z119" s="38" t="s">
        <v>119</v>
      </c>
      <c r="AA119" s="38" t="s">
        <v>119</v>
      </c>
      <c r="AB119" s="38" t="s">
        <v>119</v>
      </c>
      <c r="AC119" s="38" t="s">
        <v>119</v>
      </c>
      <c r="AD119" s="38" t="s">
        <v>119</v>
      </c>
      <c r="AE119" s="38" t="s">
        <v>119</v>
      </c>
      <c r="AF119" s="38" t="s">
        <v>119</v>
      </c>
      <c r="AG119" s="38" t="s">
        <v>119</v>
      </c>
      <c r="AH119" s="38" t="s">
        <v>119</v>
      </c>
      <c r="AI119" s="38" t="s">
        <v>119</v>
      </c>
      <c r="AJ119" s="38" t="s">
        <v>119</v>
      </c>
      <c r="AK119" s="38" t="s">
        <v>119</v>
      </c>
      <c r="AL119" s="38" t="s">
        <v>119</v>
      </c>
      <c r="AM119" s="38" t="s">
        <v>119</v>
      </c>
      <c r="AN119" s="38" t="s">
        <v>119</v>
      </c>
      <c r="AO119" s="38" t="s">
        <v>119</v>
      </c>
      <c r="AP119" s="38" t="s">
        <v>119</v>
      </c>
      <c r="AQ119" s="38" t="s">
        <v>119</v>
      </c>
      <c r="AR119" s="38" t="s">
        <v>119</v>
      </c>
      <c r="AS119" s="38" t="s">
        <v>119</v>
      </c>
      <c r="AT119" s="38" t="s">
        <v>119</v>
      </c>
      <c r="AU119" s="38" t="s">
        <v>119</v>
      </c>
      <c r="AV119" s="38" t="s">
        <v>119</v>
      </c>
      <c r="AW119" s="38" t="s">
        <v>119</v>
      </c>
      <c r="AX119" s="38" t="s">
        <v>119</v>
      </c>
    </row>
    <row r="120" spans="1:50" x14ac:dyDescent="0.45">
      <c r="A120" s="38" t="s">
        <v>21</v>
      </c>
      <c r="B120" s="38">
        <v>125</v>
      </c>
      <c r="C120" s="38" t="s">
        <v>118</v>
      </c>
      <c r="D120" s="38">
        <v>125</v>
      </c>
      <c r="E120" s="38">
        <v>21250</v>
      </c>
      <c r="F120" s="38">
        <f t="shared" si="2"/>
        <v>21.25</v>
      </c>
      <c r="G120" s="38">
        <v>6614531.25</v>
      </c>
      <c r="H120" s="38">
        <f t="shared" si="3"/>
        <v>6.6145312499999998</v>
      </c>
      <c r="I120" s="38">
        <v>2691</v>
      </c>
      <c r="J120" s="38">
        <v>2691</v>
      </c>
      <c r="K120" s="38" t="s">
        <v>119</v>
      </c>
      <c r="L120" s="38" t="s">
        <v>119</v>
      </c>
      <c r="M120" s="38" t="s">
        <v>119</v>
      </c>
      <c r="N120" s="38">
        <v>8.8770930000000003</v>
      </c>
      <c r="O120" s="38" t="s">
        <v>120</v>
      </c>
      <c r="P120" s="38" t="s">
        <v>120</v>
      </c>
      <c r="Q120" s="38" t="s">
        <v>119</v>
      </c>
      <c r="R120" s="38" t="s">
        <v>119</v>
      </c>
      <c r="S120" s="38" t="s">
        <v>119</v>
      </c>
      <c r="T120" s="38">
        <v>64.938463999999996</v>
      </c>
      <c r="U120" s="38">
        <v>77.079503000000003</v>
      </c>
      <c r="V120" s="38" t="s">
        <v>119</v>
      </c>
      <c r="W120" s="38" t="s">
        <v>119</v>
      </c>
      <c r="X120" s="38" t="s">
        <v>119</v>
      </c>
      <c r="Y120" s="38" t="s">
        <v>119</v>
      </c>
      <c r="Z120" s="38" t="s">
        <v>119</v>
      </c>
      <c r="AA120" s="38" t="s">
        <v>119</v>
      </c>
      <c r="AB120" s="38" t="s">
        <v>119</v>
      </c>
      <c r="AC120" s="38" t="s">
        <v>119</v>
      </c>
      <c r="AD120" s="38" t="s">
        <v>119</v>
      </c>
      <c r="AE120" s="38" t="s">
        <v>119</v>
      </c>
      <c r="AF120" s="38" t="s">
        <v>119</v>
      </c>
      <c r="AG120" s="38" t="s">
        <v>119</v>
      </c>
      <c r="AH120" s="38" t="s">
        <v>119</v>
      </c>
      <c r="AI120" s="38" t="s">
        <v>119</v>
      </c>
      <c r="AJ120" s="38" t="s">
        <v>119</v>
      </c>
      <c r="AK120" s="38" t="s">
        <v>119</v>
      </c>
      <c r="AL120" s="38" t="s">
        <v>119</v>
      </c>
      <c r="AM120" s="38" t="s">
        <v>119</v>
      </c>
      <c r="AN120" s="38" t="s">
        <v>119</v>
      </c>
      <c r="AO120" s="38" t="s">
        <v>119</v>
      </c>
      <c r="AP120" s="38" t="s">
        <v>119</v>
      </c>
      <c r="AQ120" s="38" t="s">
        <v>119</v>
      </c>
      <c r="AR120" s="38" t="s">
        <v>119</v>
      </c>
      <c r="AS120" s="38" t="s">
        <v>119</v>
      </c>
      <c r="AT120" s="38" t="s">
        <v>119</v>
      </c>
      <c r="AU120" s="38" t="s">
        <v>119</v>
      </c>
      <c r="AV120" s="38" t="s">
        <v>119</v>
      </c>
      <c r="AW120" s="38" t="s">
        <v>119</v>
      </c>
      <c r="AX120" s="38" t="s">
        <v>119</v>
      </c>
    </row>
    <row r="121" spans="1:50" x14ac:dyDescent="0.45">
      <c r="A121" s="38" t="s">
        <v>22</v>
      </c>
      <c r="B121" s="38">
        <v>126</v>
      </c>
      <c r="C121" s="38" t="s">
        <v>118</v>
      </c>
      <c r="D121" s="38">
        <v>126</v>
      </c>
      <c r="E121" s="38">
        <v>250</v>
      </c>
      <c r="F121" s="38">
        <f t="shared" si="2"/>
        <v>0.25</v>
      </c>
      <c r="G121" s="38">
        <v>1562.5</v>
      </c>
      <c r="H121" s="38">
        <f t="shared" si="3"/>
        <v>1.5625000000000001E-3</v>
      </c>
      <c r="I121" s="38">
        <v>2692</v>
      </c>
      <c r="J121" s="38">
        <v>2692</v>
      </c>
      <c r="K121" s="38" t="s">
        <v>119</v>
      </c>
      <c r="L121" s="38" t="s">
        <v>119</v>
      </c>
      <c r="M121" s="38" t="s">
        <v>119</v>
      </c>
      <c r="N121" s="38">
        <v>9.2921040000000001</v>
      </c>
      <c r="O121" s="38" t="s">
        <v>120</v>
      </c>
      <c r="P121" s="38" t="s">
        <v>120</v>
      </c>
      <c r="Q121" s="38" t="s">
        <v>119</v>
      </c>
      <c r="R121" s="38" t="s">
        <v>119</v>
      </c>
      <c r="S121" s="38" t="s">
        <v>119</v>
      </c>
      <c r="T121" s="38">
        <v>67</v>
      </c>
      <c r="U121" s="38">
        <v>76.993347</v>
      </c>
      <c r="V121" s="38" t="s">
        <v>119</v>
      </c>
      <c r="W121" s="38" t="s">
        <v>119</v>
      </c>
      <c r="X121" s="38" t="s">
        <v>119</v>
      </c>
      <c r="Y121" s="38" t="s">
        <v>119</v>
      </c>
      <c r="Z121" s="38" t="s">
        <v>119</v>
      </c>
      <c r="AA121" s="38" t="s">
        <v>119</v>
      </c>
      <c r="AB121" s="38" t="s">
        <v>119</v>
      </c>
      <c r="AC121" s="38" t="s">
        <v>119</v>
      </c>
      <c r="AD121" s="38" t="s">
        <v>119</v>
      </c>
      <c r="AE121" s="38" t="s">
        <v>119</v>
      </c>
      <c r="AF121" s="38" t="s">
        <v>119</v>
      </c>
      <c r="AG121" s="38" t="s">
        <v>119</v>
      </c>
      <c r="AH121" s="38" t="s">
        <v>119</v>
      </c>
      <c r="AI121" s="38" t="s">
        <v>119</v>
      </c>
      <c r="AJ121" s="38" t="s">
        <v>119</v>
      </c>
      <c r="AK121" s="38" t="s">
        <v>119</v>
      </c>
      <c r="AL121" s="38" t="s">
        <v>119</v>
      </c>
      <c r="AM121" s="38" t="s">
        <v>119</v>
      </c>
      <c r="AN121" s="38" t="s">
        <v>119</v>
      </c>
      <c r="AO121" s="38" t="s">
        <v>119</v>
      </c>
      <c r="AP121" s="38" t="s">
        <v>119</v>
      </c>
      <c r="AQ121" s="38" t="s">
        <v>119</v>
      </c>
      <c r="AR121" s="38" t="s">
        <v>119</v>
      </c>
      <c r="AS121" s="38" t="s">
        <v>119</v>
      </c>
      <c r="AT121" s="38" t="s">
        <v>119</v>
      </c>
      <c r="AU121" s="38" t="s">
        <v>119</v>
      </c>
      <c r="AV121" s="38" t="s">
        <v>119</v>
      </c>
      <c r="AW121" s="38" t="s">
        <v>119</v>
      </c>
      <c r="AX121" s="38" t="s">
        <v>119</v>
      </c>
    </row>
    <row r="122" spans="1:50" x14ac:dyDescent="0.45">
      <c r="A122" s="38" t="s">
        <v>23</v>
      </c>
      <c r="B122" s="38">
        <v>127</v>
      </c>
      <c r="C122" s="38" t="s">
        <v>118</v>
      </c>
      <c r="D122" s="38">
        <v>127</v>
      </c>
      <c r="E122" s="38">
        <v>2025</v>
      </c>
      <c r="F122" s="38">
        <f t="shared" si="2"/>
        <v>2.0249999999999999</v>
      </c>
      <c r="G122" s="38">
        <v>110625</v>
      </c>
      <c r="H122" s="38">
        <f t="shared" si="3"/>
        <v>0.110625</v>
      </c>
      <c r="I122" s="38">
        <v>2693</v>
      </c>
      <c r="J122" s="38">
        <v>2693</v>
      </c>
      <c r="K122" s="38" t="s">
        <v>119</v>
      </c>
      <c r="L122" s="38" t="s">
        <v>119</v>
      </c>
      <c r="M122" s="38" t="s">
        <v>119</v>
      </c>
      <c r="N122" s="38">
        <v>13.083462000000001</v>
      </c>
      <c r="O122" s="38" t="s">
        <v>120</v>
      </c>
      <c r="P122" s="38" t="s">
        <v>120</v>
      </c>
      <c r="Q122" s="38" t="s">
        <v>119</v>
      </c>
      <c r="R122" s="38" t="s">
        <v>119</v>
      </c>
      <c r="S122" s="38" t="s">
        <v>119</v>
      </c>
      <c r="T122" s="38">
        <v>60.128205000000001</v>
      </c>
      <c r="U122" s="38">
        <v>76.992400000000004</v>
      </c>
      <c r="V122" s="38" t="s">
        <v>119</v>
      </c>
      <c r="W122" s="38" t="s">
        <v>119</v>
      </c>
      <c r="X122" s="38" t="s">
        <v>119</v>
      </c>
      <c r="Y122" s="38" t="s">
        <v>119</v>
      </c>
      <c r="Z122" s="38" t="s">
        <v>119</v>
      </c>
      <c r="AA122" s="38" t="s">
        <v>119</v>
      </c>
      <c r="AB122" s="38" t="s">
        <v>119</v>
      </c>
      <c r="AC122" s="38" t="s">
        <v>119</v>
      </c>
      <c r="AD122" s="38" t="s">
        <v>119</v>
      </c>
      <c r="AE122" s="38" t="s">
        <v>119</v>
      </c>
      <c r="AF122" s="38" t="s">
        <v>119</v>
      </c>
      <c r="AG122" s="38" t="s">
        <v>119</v>
      </c>
      <c r="AH122" s="38" t="s">
        <v>119</v>
      </c>
      <c r="AI122" s="38" t="s">
        <v>119</v>
      </c>
      <c r="AJ122" s="38" t="s">
        <v>119</v>
      </c>
      <c r="AK122" s="38" t="s">
        <v>119</v>
      </c>
      <c r="AL122" s="38" t="s">
        <v>119</v>
      </c>
      <c r="AM122" s="38" t="s">
        <v>119</v>
      </c>
      <c r="AN122" s="38" t="s">
        <v>119</v>
      </c>
      <c r="AO122" s="38" t="s">
        <v>119</v>
      </c>
      <c r="AP122" s="38" t="s">
        <v>119</v>
      </c>
      <c r="AQ122" s="38" t="s">
        <v>119</v>
      </c>
      <c r="AR122" s="38" t="s">
        <v>119</v>
      </c>
      <c r="AS122" s="38" t="s">
        <v>119</v>
      </c>
      <c r="AT122" s="38" t="s">
        <v>119</v>
      </c>
      <c r="AU122" s="38" t="s">
        <v>119</v>
      </c>
      <c r="AV122" s="38" t="s">
        <v>119</v>
      </c>
      <c r="AW122" s="38" t="s">
        <v>119</v>
      </c>
      <c r="AX122" s="38" t="s">
        <v>119</v>
      </c>
    </row>
    <row r="123" spans="1:50" x14ac:dyDescent="0.45">
      <c r="A123" s="38" t="s">
        <v>24</v>
      </c>
      <c r="B123" s="38">
        <v>128</v>
      </c>
      <c r="C123" s="38" t="s">
        <v>118</v>
      </c>
      <c r="D123" s="38">
        <v>128</v>
      </c>
      <c r="E123" s="38">
        <v>21425</v>
      </c>
      <c r="F123" s="38">
        <f t="shared" si="2"/>
        <v>21.425000000000001</v>
      </c>
      <c r="G123" s="38">
        <v>12036875</v>
      </c>
      <c r="H123" s="38">
        <f t="shared" si="3"/>
        <v>12.036875</v>
      </c>
      <c r="I123" s="38">
        <v>2694</v>
      </c>
      <c r="J123" s="38">
        <v>2694</v>
      </c>
      <c r="K123" s="38" t="s">
        <v>119</v>
      </c>
      <c r="L123" s="38" t="s">
        <v>119</v>
      </c>
      <c r="M123" s="38" t="s">
        <v>119</v>
      </c>
      <c r="N123" s="38">
        <v>33.212749000000002</v>
      </c>
      <c r="O123" s="38" t="s">
        <v>120</v>
      </c>
      <c r="P123" s="38" t="s">
        <v>120</v>
      </c>
      <c r="Q123" s="38" t="s">
        <v>119</v>
      </c>
      <c r="R123" s="38" t="s">
        <v>119</v>
      </c>
      <c r="S123" s="38" t="s">
        <v>119</v>
      </c>
      <c r="T123" s="38">
        <v>59.005809999999997</v>
      </c>
      <c r="U123" s="38">
        <v>76.984435000000005</v>
      </c>
      <c r="V123" s="38" t="s">
        <v>119</v>
      </c>
      <c r="W123" s="38" t="s">
        <v>119</v>
      </c>
      <c r="X123" s="38" t="s">
        <v>119</v>
      </c>
      <c r="Y123" s="38" t="s">
        <v>119</v>
      </c>
      <c r="Z123" s="38" t="s">
        <v>119</v>
      </c>
      <c r="AA123" s="38" t="s">
        <v>119</v>
      </c>
      <c r="AB123" s="38" t="s">
        <v>119</v>
      </c>
      <c r="AC123" s="38" t="s">
        <v>119</v>
      </c>
      <c r="AD123" s="38" t="s">
        <v>119</v>
      </c>
      <c r="AE123" s="38" t="s">
        <v>119</v>
      </c>
      <c r="AF123" s="38" t="s">
        <v>119</v>
      </c>
      <c r="AG123" s="38" t="s">
        <v>119</v>
      </c>
      <c r="AH123" s="38" t="s">
        <v>119</v>
      </c>
      <c r="AI123" s="38" t="s">
        <v>119</v>
      </c>
      <c r="AJ123" s="38" t="s">
        <v>119</v>
      </c>
      <c r="AK123" s="38" t="s">
        <v>119</v>
      </c>
      <c r="AL123" s="38" t="s">
        <v>119</v>
      </c>
      <c r="AM123" s="38" t="s">
        <v>119</v>
      </c>
      <c r="AN123" s="38" t="s">
        <v>119</v>
      </c>
      <c r="AO123" s="38" t="s">
        <v>119</v>
      </c>
      <c r="AP123" s="38" t="s">
        <v>119</v>
      </c>
      <c r="AQ123" s="38" t="s">
        <v>119</v>
      </c>
      <c r="AR123" s="38" t="s">
        <v>119</v>
      </c>
      <c r="AS123" s="38" t="s">
        <v>119</v>
      </c>
      <c r="AT123" s="38" t="s">
        <v>119</v>
      </c>
      <c r="AU123" s="38" t="s">
        <v>119</v>
      </c>
      <c r="AV123" s="38" t="s">
        <v>119</v>
      </c>
      <c r="AW123" s="38" t="s">
        <v>119</v>
      </c>
      <c r="AX123" s="38" t="s">
        <v>119</v>
      </c>
    </row>
    <row r="124" spans="1:50" x14ac:dyDescent="0.45">
      <c r="A124" s="38" t="s">
        <v>224</v>
      </c>
      <c r="B124" s="38">
        <v>129</v>
      </c>
      <c r="C124" s="38" t="s">
        <v>118</v>
      </c>
      <c r="D124" s="38">
        <v>129</v>
      </c>
      <c r="E124" s="38">
        <v>2325</v>
      </c>
      <c r="F124" s="38">
        <f t="shared" si="2"/>
        <v>2.3250000000000002</v>
      </c>
      <c r="G124" s="38">
        <v>159062.5</v>
      </c>
      <c r="H124" s="38">
        <f t="shared" si="3"/>
        <v>0.1590625</v>
      </c>
      <c r="I124" s="38">
        <v>2695</v>
      </c>
      <c r="J124" s="38">
        <v>2695</v>
      </c>
      <c r="K124" s="38" t="s">
        <v>119</v>
      </c>
      <c r="L124" s="38" t="s">
        <v>119</v>
      </c>
      <c r="M124" s="38" t="s">
        <v>119</v>
      </c>
      <c r="N124" s="38">
        <v>8.9377169999999992</v>
      </c>
      <c r="O124" s="38" t="s">
        <v>120</v>
      </c>
      <c r="P124" s="38" t="s">
        <v>120</v>
      </c>
      <c r="Q124" s="38" t="s">
        <v>119</v>
      </c>
      <c r="R124" s="38" t="s">
        <v>119</v>
      </c>
      <c r="S124" s="38" t="s">
        <v>119</v>
      </c>
      <c r="T124" s="38">
        <v>76.147058999999999</v>
      </c>
      <c r="U124" s="38">
        <v>76.248654000000002</v>
      </c>
      <c r="V124" s="38" t="s">
        <v>119</v>
      </c>
      <c r="W124" s="38" t="s">
        <v>119</v>
      </c>
      <c r="X124" s="38" t="s">
        <v>119</v>
      </c>
      <c r="Y124" s="38" t="s">
        <v>119</v>
      </c>
      <c r="Z124" s="38" t="s">
        <v>119</v>
      </c>
      <c r="AA124" s="38" t="s">
        <v>119</v>
      </c>
      <c r="AB124" s="38" t="s">
        <v>119</v>
      </c>
      <c r="AC124" s="38" t="s">
        <v>119</v>
      </c>
      <c r="AD124" s="38" t="s">
        <v>119</v>
      </c>
      <c r="AE124" s="38" t="s">
        <v>119</v>
      </c>
      <c r="AF124" s="38" t="s">
        <v>119</v>
      </c>
      <c r="AG124" s="38" t="s">
        <v>119</v>
      </c>
      <c r="AH124" s="38" t="s">
        <v>119</v>
      </c>
      <c r="AI124" s="38" t="s">
        <v>119</v>
      </c>
      <c r="AJ124" s="38" t="s">
        <v>119</v>
      </c>
      <c r="AK124" s="38" t="s">
        <v>119</v>
      </c>
      <c r="AL124" s="38" t="s">
        <v>119</v>
      </c>
      <c r="AM124" s="38" t="s">
        <v>119</v>
      </c>
      <c r="AN124" s="38" t="s">
        <v>119</v>
      </c>
      <c r="AO124" s="38" t="s">
        <v>119</v>
      </c>
      <c r="AP124" s="38" t="s">
        <v>119</v>
      </c>
      <c r="AQ124" s="38" t="s">
        <v>119</v>
      </c>
      <c r="AR124" s="38" t="s">
        <v>119</v>
      </c>
      <c r="AS124" s="38" t="s">
        <v>119</v>
      </c>
      <c r="AT124" s="38" t="s">
        <v>119</v>
      </c>
      <c r="AU124" s="38" t="s">
        <v>119</v>
      </c>
      <c r="AV124" s="38" t="s">
        <v>119</v>
      </c>
      <c r="AW124" s="38" t="s">
        <v>119</v>
      </c>
      <c r="AX124" s="38" t="s">
        <v>119</v>
      </c>
    </row>
    <row r="125" spans="1:50" x14ac:dyDescent="0.45">
      <c r="A125" s="38" t="s">
        <v>25</v>
      </c>
      <c r="B125" s="38">
        <v>130</v>
      </c>
      <c r="C125" s="38" t="s">
        <v>118</v>
      </c>
      <c r="D125" s="38">
        <v>130</v>
      </c>
      <c r="E125" s="38">
        <v>28975</v>
      </c>
      <c r="F125" s="38">
        <f t="shared" si="2"/>
        <v>28.975000000000001</v>
      </c>
      <c r="G125" s="38">
        <v>17039218.75</v>
      </c>
      <c r="H125" s="38">
        <f t="shared" si="3"/>
        <v>17.03921875</v>
      </c>
      <c r="I125" s="38">
        <v>2696</v>
      </c>
      <c r="J125" s="38">
        <v>2696</v>
      </c>
      <c r="K125" s="38" t="s">
        <v>119</v>
      </c>
      <c r="L125" s="38" t="s">
        <v>119</v>
      </c>
      <c r="M125" s="38" t="s">
        <v>119</v>
      </c>
      <c r="N125" s="38">
        <v>20.997906</v>
      </c>
      <c r="O125" s="38" t="s">
        <v>120</v>
      </c>
      <c r="P125" s="38" t="s">
        <v>120</v>
      </c>
      <c r="Q125" s="38" t="s">
        <v>119</v>
      </c>
      <c r="R125" s="38" t="s">
        <v>119</v>
      </c>
      <c r="S125" s="38" t="s">
        <v>119</v>
      </c>
      <c r="T125" s="38">
        <v>70.473813000000007</v>
      </c>
      <c r="U125" s="38">
        <v>77.105700999999996</v>
      </c>
      <c r="V125" s="38" t="s">
        <v>119</v>
      </c>
      <c r="W125" s="38" t="s">
        <v>119</v>
      </c>
      <c r="X125" s="38" t="s">
        <v>119</v>
      </c>
      <c r="Y125" s="38" t="s">
        <v>119</v>
      </c>
      <c r="Z125" s="38" t="s">
        <v>119</v>
      </c>
      <c r="AA125" s="38" t="s">
        <v>119</v>
      </c>
      <c r="AB125" s="38" t="s">
        <v>119</v>
      </c>
      <c r="AC125" s="38" t="s">
        <v>119</v>
      </c>
      <c r="AD125" s="38" t="s">
        <v>119</v>
      </c>
      <c r="AE125" s="38" t="s">
        <v>119</v>
      </c>
      <c r="AF125" s="38" t="s">
        <v>119</v>
      </c>
      <c r="AG125" s="38" t="s">
        <v>119</v>
      </c>
      <c r="AH125" s="38" t="s">
        <v>119</v>
      </c>
      <c r="AI125" s="38" t="s">
        <v>119</v>
      </c>
      <c r="AJ125" s="38" t="s">
        <v>119</v>
      </c>
      <c r="AK125" s="38" t="s">
        <v>119</v>
      </c>
      <c r="AL125" s="38" t="s">
        <v>119</v>
      </c>
      <c r="AM125" s="38" t="s">
        <v>119</v>
      </c>
      <c r="AN125" s="38" t="s">
        <v>119</v>
      </c>
      <c r="AO125" s="38" t="s">
        <v>119</v>
      </c>
      <c r="AP125" s="38" t="s">
        <v>119</v>
      </c>
      <c r="AQ125" s="38" t="s">
        <v>119</v>
      </c>
      <c r="AR125" s="38" t="s">
        <v>119</v>
      </c>
      <c r="AS125" s="38" t="s">
        <v>119</v>
      </c>
      <c r="AT125" s="38" t="s">
        <v>119</v>
      </c>
      <c r="AU125" s="38" t="s">
        <v>119</v>
      </c>
      <c r="AV125" s="38" t="s">
        <v>119</v>
      </c>
      <c r="AW125" s="38" t="s">
        <v>119</v>
      </c>
      <c r="AX125" s="38" t="s">
        <v>119</v>
      </c>
    </row>
    <row r="126" spans="1:50" x14ac:dyDescent="0.45">
      <c r="A126" s="38" t="s">
        <v>26</v>
      </c>
      <c r="B126" s="38">
        <v>131</v>
      </c>
      <c r="C126" s="38" t="s">
        <v>118</v>
      </c>
      <c r="D126" s="38">
        <v>131</v>
      </c>
      <c r="E126" s="38">
        <v>15375</v>
      </c>
      <c r="F126" s="38">
        <f t="shared" si="2"/>
        <v>15.375</v>
      </c>
      <c r="G126" s="38">
        <v>8341718.75</v>
      </c>
      <c r="H126" s="38">
        <f t="shared" si="3"/>
        <v>8.3417187500000001</v>
      </c>
      <c r="I126" s="38">
        <v>2697</v>
      </c>
      <c r="J126" s="38">
        <v>2697</v>
      </c>
      <c r="K126" s="38" t="s">
        <v>119</v>
      </c>
      <c r="L126" s="38" t="s">
        <v>119</v>
      </c>
      <c r="M126" s="38" t="s">
        <v>119</v>
      </c>
      <c r="N126" s="38">
        <v>56.354819999999997</v>
      </c>
      <c r="O126" s="38" t="s">
        <v>120</v>
      </c>
      <c r="P126" s="38" t="s">
        <v>120</v>
      </c>
      <c r="Q126" s="38" t="s">
        <v>119</v>
      </c>
      <c r="R126" s="38" t="s">
        <v>119</v>
      </c>
      <c r="S126" s="38" t="s">
        <v>119</v>
      </c>
      <c r="T126" s="38">
        <v>79</v>
      </c>
      <c r="U126" s="38">
        <v>77.268124</v>
      </c>
      <c r="V126" s="38" t="s">
        <v>119</v>
      </c>
      <c r="W126" s="38" t="s">
        <v>119</v>
      </c>
      <c r="X126" s="38" t="s">
        <v>119</v>
      </c>
      <c r="Y126" s="38" t="s">
        <v>119</v>
      </c>
      <c r="Z126" s="38" t="s">
        <v>119</v>
      </c>
      <c r="AA126" s="38" t="s">
        <v>119</v>
      </c>
      <c r="AB126" s="38" t="s">
        <v>119</v>
      </c>
      <c r="AC126" s="38" t="s">
        <v>119</v>
      </c>
      <c r="AD126" s="38" t="s">
        <v>119</v>
      </c>
      <c r="AE126" s="38" t="s">
        <v>119</v>
      </c>
      <c r="AF126" s="38" t="s">
        <v>119</v>
      </c>
      <c r="AG126" s="38" t="s">
        <v>119</v>
      </c>
      <c r="AH126" s="38" t="s">
        <v>119</v>
      </c>
      <c r="AI126" s="38" t="s">
        <v>119</v>
      </c>
      <c r="AJ126" s="38" t="s">
        <v>119</v>
      </c>
      <c r="AK126" s="38" t="s">
        <v>119</v>
      </c>
      <c r="AL126" s="38" t="s">
        <v>119</v>
      </c>
      <c r="AM126" s="38" t="s">
        <v>119</v>
      </c>
      <c r="AN126" s="38" t="s">
        <v>119</v>
      </c>
      <c r="AO126" s="38" t="s">
        <v>119</v>
      </c>
      <c r="AP126" s="38" t="s">
        <v>119</v>
      </c>
      <c r="AQ126" s="38" t="s">
        <v>119</v>
      </c>
      <c r="AR126" s="38" t="s">
        <v>119</v>
      </c>
      <c r="AS126" s="38" t="s">
        <v>119</v>
      </c>
      <c r="AT126" s="38" t="s">
        <v>119</v>
      </c>
      <c r="AU126" s="38" t="s">
        <v>119</v>
      </c>
      <c r="AV126" s="38" t="s">
        <v>119</v>
      </c>
      <c r="AW126" s="38" t="s">
        <v>119</v>
      </c>
      <c r="AX126" s="38" t="s">
        <v>119</v>
      </c>
    </row>
    <row r="127" spans="1:50" x14ac:dyDescent="0.45">
      <c r="A127" s="38" t="s">
        <v>225</v>
      </c>
      <c r="B127" s="38">
        <v>132</v>
      </c>
      <c r="C127" s="38" t="s">
        <v>118</v>
      </c>
      <c r="D127" s="38">
        <v>132</v>
      </c>
      <c r="E127" s="38">
        <v>14100</v>
      </c>
      <c r="F127" s="38">
        <f t="shared" si="2"/>
        <v>14.1</v>
      </c>
      <c r="G127" s="38">
        <v>2334531.25</v>
      </c>
      <c r="H127" s="38">
        <f t="shared" si="3"/>
        <v>2.3345312499999999</v>
      </c>
      <c r="I127" s="38">
        <v>2698</v>
      </c>
      <c r="J127" s="38">
        <v>2698</v>
      </c>
      <c r="K127" s="38" t="s">
        <v>119</v>
      </c>
      <c r="L127" s="38" t="s">
        <v>119</v>
      </c>
      <c r="M127" s="38" t="s">
        <v>119</v>
      </c>
      <c r="N127" s="38">
        <v>8.8691289999999992</v>
      </c>
      <c r="O127" s="38" t="s">
        <v>120</v>
      </c>
      <c r="P127" s="38" t="s">
        <v>120</v>
      </c>
      <c r="Q127" s="38" t="s">
        <v>119</v>
      </c>
      <c r="R127" s="38" t="s">
        <v>119</v>
      </c>
      <c r="S127" s="38" t="s">
        <v>119</v>
      </c>
      <c r="T127" s="38">
        <v>52.786606999999997</v>
      </c>
      <c r="U127" s="38">
        <v>75.890182999999993</v>
      </c>
      <c r="V127" s="38" t="s">
        <v>119</v>
      </c>
      <c r="W127" s="38" t="s">
        <v>119</v>
      </c>
      <c r="X127" s="38" t="s">
        <v>119</v>
      </c>
      <c r="Y127" s="38" t="s">
        <v>119</v>
      </c>
      <c r="Z127" s="38" t="s">
        <v>119</v>
      </c>
      <c r="AA127" s="38" t="s">
        <v>119</v>
      </c>
      <c r="AB127" s="38" t="s">
        <v>119</v>
      </c>
      <c r="AC127" s="38" t="s">
        <v>119</v>
      </c>
      <c r="AD127" s="38" t="s">
        <v>119</v>
      </c>
      <c r="AE127" s="38" t="s">
        <v>119</v>
      </c>
      <c r="AF127" s="38" t="s">
        <v>119</v>
      </c>
      <c r="AG127" s="38" t="s">
        <v>119</v>
      </c>
      <c r="AH127" s="38" t="s">
        <v>119</v>
      </c>
      <c r="AI127" s="38" t="s">
        <v>119</v>
      </c>
      <c r="AJ127" s="38" t="s">
        <v>119</v>
      </c>
      <c r="AK127" s="38" t="s">
        <v>119</v>
      </c>
      <c r="AL127" s="38" t="s">
        <v>119</v>
      </c>
      <c r="AM127" s="38" t="s">
        <v>119</v>
      </c>
      <c r="AN127" s="38" t="s">
        <v>119</v>
      </c>
      <c r="AO127" s="38" t="s">
        <v>119</v>
      </c>
      <c r="AP127" s="38" t="s">
        <v>119</v>
      </c>
      <c r="AQ127" s="38" t="s">
        <v>119</v>
      </c>
      <c r="AR127" s="38" t="s">
        <v>119</v>
      </c>
      <c r="AS127" s="38" t="s">
        <v>119</v>
      </c>
      <c r="AT127" s="38" t="s">
        <v>119</v>
      </c>
      <c r="AU127" s="38" t="s">
        <v>119</v>
      </c>
      <c r="AV127" s="38" t="s">
        <v>119</v>
      </c>
      <c r="AW127" s="38" t="s">
        <v>119</v>
      </c>
      <c r="AX127" s="38" t="s">
        <v>119</v>
      </c>
    </row>
    <row r="128" spans="1:50" x14ac:dyDescent="0.45">
      <c r="A128" s="38" t="s">
        <v>27</v>
      </c>
      <c r="B128" s="38">
        <v>133</v>
      </c>
      <c r="C128" s="38" t="s">
        <v>118</v>
      </c>
      <c r="D128" s="38">
        <v>133</v>
      </c>
      <c r="E128" s="38">
        <v>26400</v>
      </c>
      <c r="F128" s="38">
        <f t="shared" si="2"/>
        <v>26.4</v>
      </c>
      <c r="G128" s="38">
        <v>11921718.75</v>
      </c>
      <c r="H128" s="38">
        <f t="shared" si="3"/>
        <v>11.92171875</v>
      </c>
      <c r="I128" s="38">
        <v>2699</v>
      </c>
      <c r="J128" s="38">
        <v>2699</v>
      </c>
      <c r="K128" s="38" t="s">
        <v>119</v>
      </c>
      <c r="L128" s="38" t="s">
        <v>119</v>
      </c>
      <c r="M128" s="38" t="s">
        <v>119</v>
      </c>
      <c r="N128" s="38">
        <v>36.128017</v>
      </c>
      <c r="O128" s="38" t="s">
        <v>120</v>
      </c>
      <c r="P128" s="38" t="s">
        <v>120</v>
      </c>
      <c r="Q128" s="38" t="s">
        <v>119</v>
      </c>
      <c r="R128" s="38" t="s">
        <v>119</v>
      </c>
      <c r="S128" s="38" t="s">
        <v>119</v>
      </c>
      <c r="T128" s="38">
        <v>65.150975000000003</v>
      </c>
      <c r="U128" s="38">
        <v>76.995063000000002</v>
      </c>
      <c r="V128" s="38" t="s">
        <v>119</v>
      </c>
      <c r="W128" s="38" t="s">
        <v>119</v>
      </c>
      <c r="X128" s="38" t="s">
        <v>119</v>
      </c>
      <c r="Y128" s="38" t="s">
        <v>119</v>
      </c>
      <c r="Z128" s="38" t="s">
        <v>119</v>
      </c>
      <c r="AA128" s="38" t="s">
        <v>119</v>
      </c>
      <c r="AB128" s="38" t="s">
        <v>119</v>
      </c>
      <c r="AC128" s="38" t="s">
        <v>119</v>
      </c>
      <c r="AD128" s="38" t="s">
        <v>119</v>
      </c>
      <c r="AE128" s="38" t="s">
        <v>119</v>
      </c>
      <c r="AF128" s="38" t="s">
        <v>119</v>
      </c>
      <c r="AG128" s="38" t="s">
        <v>119</v>
      </c>
      <c r="AH128" s="38" t="s">
        <v>119</v>
      </c>
      <c r="AI128" s="38" t="s">
        <v>119</v>
      </c>
      <c r="AJ128" s="38" t="s">
        <v>119</v>
      </c>
      <c r="AK128" s="38" t="s">
        <v>119</v>
      </c>
      <c r="AL128" s="38" t="s">
        <v>119</v>
      </c>
      <c r="AM128" s="38" t="s">
        <v>119</v>
      </c>
      <c r="AN128" s="38" t="s">
        <v>119</v>
      </c>
      <c r="AO128" s="38" t="s">
        <v>119</v>
      </c>
      <c r="AP128" s="38" t="s">
        <v>119</v>
      </c>
      <c r="AQ128" s="38" t="s">
        <v>119</v>
      </c>
      <c r="AR128" s="38" t="s">
        <v>119</v>
      </c>
      <c r="AS128" s="38" t="s">
        <v>119</v>
      </c>
      <c r="AT128" s="38" t="s">
        <v>119</v>
      </c>
      <c r="AU128" s="38" t="s">
        <v>119</v>
      </c>
      <c r="AV128" s="38" t="s">
        <v>119</v>
      </c>
      <c r="AW128" s="38" t="s">
        <v>119</v>
      </c>
      <c r="AX128" s="38" t="s">
        <v>119</v>
      </c>
    </row>
    <row r="129" spans="1:50" x14ac:dyDescent="0.45">
      <c r="A129" s="38" t="s">
        <v>28</v>
      </c>
      <c r="B129" s="38">
        <v>134</v>
      </c>
      <c r="C129" s="38" t="s">
        <v>118</v>
      </c>
      <c r="D129" s="38">
        <v>134</v>
      </c>
      <c r="E129" s="38">
        <v>36925</v>
      </c>
      <c r="F129" s="38">
        <f t="shared" si="2"/>
        <v>36.924999999999997</v>
      </c>
      <c r="G129" s="38">
        <v>20121562.5</v>
      </c>
      <c r="H129" s="38">
        <f t="shared" si="3"/>
        <v>20.1215625</v>
      </c>
      <c r="I129" s="38">
        <v>2700</v>
      </c>
      <c r="J129" s="38">
        <v>2700</v>
      </c>
      <c r="K129" s="38" t="s">
        <v>119</v>
      </c>
      <c r="L129" s="38" t="s">
        <v>119</v>
      </c>
      <c r="M129" s="38" t="s">
        <v>119</v>
      </c>
      <c r="N129" s="38">
        <v>49.445374000000001</v>
      </c>
      <c r="O129" s="38" t="s">
        <v>120</v>
      </c>
      <c r="P129" s="38" t="s">
        <v>120</v>
      </c>
      <c r="Q129" s="38" t="s">
        <v>119</v>
      </c>
      <c r="R129" s="38" t="s">
        <v>119</v>
      </c>
      <c r="S129" s="38" t="s">
        <v>119</v>
      </c>
      <c r="T129" s="38">
        <v>74.244427000000002</v>
      </c>
      <c r="U129" s="38">
        <v>76.938479999999998</v>
      </c>
      <c r="V129" s="38" t="s">
        <v>119</v>
      </c>
      <c r="W129" s="38" t="s">
        <v>119</v>
      </c>
      <c r="X129" s="38" t="s">
        <v>119</v>
      </c>
      <c r="Y129" s="38" t="s">
        <v>119</v>
      </c>
      <c r="Z129" s="38" t="s">
        <v>119</v>
      </c>
      <c r="AA129" s="38" t="s">
        <v>119</v>
      </c>
      <c r="AB129" s="38" t="s">
        <v>119</v>
      </c>
      <c r="AC129" s="38" t="s">
        <v>119</v>
      </c>
      <c r="AD129" s="38" t="s">
        <v>119</v>
      </c>
      <c r="AE129" s="38" t="s">
        <v>119</v>
      </c>
      <c r="AF129" s="38" t="s">
        <v>119</v>
      </c>
      <c r="AG129" s="38" t="s">
        <v>119</v>
      </c>
      <c r="AH129" s="38" t="s">
        <v>119</v>
      </c>
      <c r="AI129" s="38" t="s">
        <v>119</v>
      </c>
      <c r="AJ129" s="38" t="s">
        <v>119</v>
      </c>
      <c r="AK129" s="38" t="s">
        <v>119</v>
      </c>
      <c r="AL129" s="38" t="s">
        <v>119</v>
      </c>
      <c r="AM129" s="38" t="s">
        <v>119</v>
      </c>
      <c r="AN129" s="38" t="s">
        <v>119</v>
      </c>
      <c r="AO129" s="38" t="s">
        <v>119</v>
      </c>
      <c r="AP129" s="38" t="s">
        <v>119</v>
      </c>
      <c r="AQ129" s="38" t="s">
        <v>119</v>
      </c>
      <c r="AR129" s="38" t="s">
        <v>119</v>
      </c>
      <c r="AS129" s="38" t="s">
        <v>119</v>
      </c>
      <c r="AT129" s="38" t="s">
        <v>119</v>
      </c>
      <c r="AU129" s="38" t="s">
        <v>119</v>
      </c>
      <c r="AV129" s="38" t="s">
        <v>119</v>
      </c>
      <c r="AW129" s="38" t="s">
        <v>119</v>
      </c>
      <c r="AX129" s="38" t="s">
        <v>119</v>
      </c>
    </row>
    <row r="130" spans="1:50" x14ac:dyDescent="0.45">
      <c r="A130" s="38" t="s">
        <v>29</v>
      </c>
      <c r="B130" s="38">
        <v>135</v>
      </c>
      <c r="C130" s="38" t="s">
        <v>118</v>
      </c>
      <c r="D130" s="38">
        <v>135</v>
      </c>
      <c r="E130" s="38">
        <v>20175</v>
      </c>
      <c r="F130" s="38">
        <f t="shared" si="2"/>
        <v>20.175000000000001</v>
      </c>
      <c r="G130" s="38">
        <v>11410937.5</v>
      </c>
      <c r="H130" s="38">
        <f t="shared" si="3"/>
        <v>11.410937499999999</v>
      </c>
      <c r="I130" s="38">
        <v>2701</v>
      </c>
      <c r="J130" s="38">
        <v>2701</v>
      </c>
      <c r="K130" s="38" t="s">
        <v>119</v>
      </c>
      <c r="L130" s="38" t="s">
        <v>119</v>
      </c>
      <c r="M130" s="38" t="s">
        <v>119</v>
      </c>
      <c r="N130" s="38">
        <v>61.13776</v>
      </c>
      <c r="O130" s="38" t="s">
        <v>120</v>
      </c>
      <c r="P130" s="38" t="s">
        <v>120</v>
      </c>
      <c r="Q130" s="38" t="s">
        <v>119</v>
      </c>
      <c r="R130" s="38" t="s">
        <v>119</v>
      </c>
      <c r="S130" s="38" t="s">
        <v>119</v>
      </c>
      <c r="T130" s="38">
        <v>79</v>
      </c>
      <c r="U130" s="38">
        <v>76.876686000000007</v>
      </c>
      <c r="V130" s="38" t="s">
        <v>119</v>
      </c>
      <c r="W130" s="38" t="s">
        <v>119</v>
      </c>
      <c r="X130" s="38" t="s">
        <v>119</v>
      </c>
      <c r="Y130" s="38" t="s">
        <v>119</v>
      </c>
      <c r="Z130" s="38" t="s">
        <v>119</v>
      </c>
      <c r="AA130" s="38" t="s">
        <v>119</v>
      </c>
      <c r="AB130" s="38" t="s">
        <v>119</v>
      </c>
      <c r="AC130" s="38" t="s">
        <v>119</v>
      </c>
      <c r="AD130" s="38" t="s">
        <v>119</v>
      </c>
      <c r="AE130" s="38" t="s">
        <v>119</v>
      </c>
      <c r="AF130" s="38" t="s">
        <v>119</v>
      </c>
      <c r="AG130" s="38" t="s">
        <v>119</v>
      </c>
      <c r="AH130" s="38" t="s">
        <v>119</v>
      </c>
      <c r="AI130" s="38" t="s">
        <v>119</v>
      </c>
      <c r="AJ130" s="38" t="s">
        <v>119</v>
      </c>
      <c r="AK130" s="38" t="s">
        <v>119</v>
      </c>
      <c r="AL130" s="38" t="s">
        <v>119</v>
      </c>
      <c r="AM130" s="38" t="s">
        <v>119</v>
      </c>
      <c r="AN130" s="38" t="s">
        <v>119</v>
      </c>
      <c r="AO130" s="38" t="s">
        <v>119</v>
      </c>
      <c r="AP130" s="38" t="s">
        <v>119</v>
      </c>
      <c r="AQ130" s="38" t="s">
        <v>119</v>
      </c>
      <c r="AR130" s="38" t="s">
        <v>119</v>
      </c>
      <c r="AS130" s="38" t="s">
        <v>119</v>
      </c>
      <c r="AT130" s="38" t="s">
        <v>119</v>
      </c>
      <c r="AU130" s="38" t="s">
        <v>119</v>
      </c>
      <c r="AV130" s="38" t="s">
        <v>119</v>
      </c>
      <c r="AW130" s="38" t="s">
        <v>119</v>
      </c>
      <c r="AX130" s="38" t="s">
        <v>119</v>
      </c>
    </row>
    <row r="131" spans="1:50" x14ac:dyDescent="0.45">
      <c r="A131" s="38" t="s">
        <v>30</v>
      </c>
      <c r="B131" s="38">
        <v>138</v>
      </c>
      <c r="C131" s="38" t="s">
        <v>118</v>
      </c>
      <c r="D131" s="38">
        <v>138</v>
      </c>
      <c r="E131" s="38">
        <v>17850</v>
      </c>
      <c r="F131" s="38">
        <f t="shared" ref="F131:F160" si="4">E131/1000</f>
        <v>17.850000000000001</v>
      </c>
      <c r="G131" s="38">
        <v>6074843.75</v>
      </c>
      <c r="H131" s="38">
        <f t="shared" ref="H131:H160" si="5">G131/(1000*1000)</f>
        <v>6.0748437500000003</v>
      </c>
      <c r="I131" s="38">
        <v>2704</v>
      </c>
      <c r="J131" s="38">
        <v>2704</v>
      </c>
      <c r="K131" s="38" t="s">
        <v>119</v>
      </c>
      <c r="L131" s="38" t="s">
        <v>119</v>
      </c>
      <c r="M131" s="38" t="s">
        <v>119</v>
      </c>
      <c r="N131" s="38">
        <v>18.645164000000001</v>
      </c>
      <c r="O131" s="38" t="s">
        <v>120</v>
      </c>
      <c r="P131" s="38" t="s">
        <v>120</v>
      </c>
      <c r="Q131" s="38" t="s">
        <v>119</v>
      </c>
      <c r="R131" s="38" t="s">
        <v>119</v>
      </c>
      <c r="S131" s="38" t="s">
        <v>119</v>
      </c>
      <c r="T131" s="38">
        <v>71.248061000000007</v>
      </c>
      <c r="U131" s="38">
        <v>76.565398999999999</v>
      </c>
      <c r="V131" s="38" t="s">
        <v>119</v>
      </c>
      <c r="W131" s="38" t="s">
        <v>119</v>
      </c>
      <c r="X131" s="38" t="s">
        <v>119</v>
      </c>
      <c r="Y131" s="38" t="s">
        <v>119</v>
      </c>
      <c r="Z131" s="38" t="s">
        <v>119</v>
      </c>
      <c r="AA131" s="38" t="s">
        <v>119</v>
      </c>
      <c r="AB131" s="38" t="s">
        <v>119</v>
      </c>
      <c r="AC131" s="38" t="s">
        <v>119</v>
      </c>
      <c r="AD131" s="38" t="s">
        <v>119</v>
      </c>
      <c r="AE131" s="38" t="s">
        <v>119</v>
      </c>
      <c r="AF131" s="38" t="s">
        <v>119</v>
      </c>
      <c r="AG131" s="38" t="s">
        <v>119</v>
      </c>
      <c r="AH131" s="38" t="s">
        <v>119</v>
      </c>
      <c r="AI131" s="38" t="s">
        <v>119</v>
      </c>
      <c r="AJ131" s="38" t="s">
        <v>119</v>
      </c>
      <c r="AK131" s="38" t="s">
        <v>119</v>
      </c>
      <c r="AL131" s="38" t="s">
        <v>119</v>
      </c>
      <c r="AM131" s="38" t="s">
        <v>119</v>
      </c>
      <c r="AN131" s="38" t="s">
        <v>119</v>
      </c>
      <c r="AO131" s="38" t="s">
        <v>119</v>
      </c>
      <c r="AP131" s="38" t="s">
        <v>119</v>
      </c>
      <c r="AQ131" s="38" t="s">
        <v>119</v>
      </c>
      <c r="AR131" s="38" t="s">
        <v>119</v>
      </c>
      <c r="AS131" s="38" t="s">
        <v>119</v>
      </c>
      <c r="AT131" s="38" t="s">
        <v>119</v>
      </c>
      <c r="AU131" s="38" t="s">
        <v>119</v>
      </c>
      <c r="AV131" s="38" t="s">
        <v>119</v>
      </c>
      <c r="AW131" s="38" t="s">
        <v>119</v>
      </c>
      <c r="AX131" s="38" t="s">
        <v>119</v>
      </c>
    </row>
    <row r="132" spans="1:50" x14ac:dyDescent="0.45">
      <c r="A132" s="38" t="s">
        <v>226</v>
      </c>
      <c r="B132" s="38">
        <v>139</v>
      </c>
      <c r="C132" s="38" t="s">
        <v>118</v>
      </c>
      <c r="D132" s="38">
        <v>139</v>
      </c>
      <c r="E132" s="38">
        <v>22650</v>
      </c>
      <c r="F132" s="38">
        <f t="shared" si="4"/>
        <v>22.65</v>
      </c>
      <c r="G132" s="38">
        <v>11265937.5</v>
      </c>
      <c r="H132" s="38">
        <f t="shared" si="5"/>
        <v>11.2659375</v>
      </c>
      <c r="I132" s="38">
        <v>2705</v>
      </c>
      <c r="J132" s="38">
        <v>2705</v>
      </c>
      <c r="K132" s="38" t="s">
        <v>119</v>
      </c>
      <c r="L132" s="38" t="s">
        <v>119</v>
      </c>
      <c r="M132" s="38" t="s">
        <v>119</v>
      </c>
      <c r="N132" s="38">
        <v>17.769231999999999</v>
      </c>
      <c r="O132" s="38" t="s">
        <v>120</v>
      </c>
      <c r="P132" s="38" t="s">
        <v>120</v>
      </c>
      <c r="Q132" s="38" t="s">
        <v>119</v>
      </c>
      <c r="R132" s="38" t="s">
        <v>119</v>
      </c>
      <c r="S132" s="38" t="s">
        <v>119</v>
      </c>
      <c r="T132" s="38">
        <v>62.820864</v>
      </c>
      <c r="U132" s="38">
        <v>76.347205000000002</v>
      </c>
      <c r="V132" s="38" t="s">
        <v>119</v>
      </c>
      <c r="W132" s="38" t="s">
        <v>119</v>
      </c>
      <c r="X132" s="38" t="s">
        <v>119</v>
      </c>
      <c r="Y132" s="38" t="s">
        <v>119</v>
      </c>
      <c r="Z132" s="38" t="s">
        <v>119</v>
      </c>
      <c r="AA132" s="38" t="s">
        <v>119</v>
      </c>
      <c r="AB132" s="38" t="s">
        <v>119</v>
      </c>
      <c r="AC132" s="38" t="s">
        <v>119</v>
      </c>
      <c r="AD132" s="38" t="s">
        <v>119</v>
      </c>
      <c r="AE132" s="38" t="s">
        <v>119</v>
      </c>
      <c r="AF132" s="38" t="s">
        <v>119</v>
      </c>
      <c r="AG132" s="38" t="s">
        <v>119</v>
      </c>
      <c r="AH132" s="38" t="s">
        <v>119</v>
      </c>
      <c r="AI132" s="38" t="s">
        <v>119</v>
      </c>
      <c r="AJ132" s="38" t="s">
        <v>119</v>
      </c>
      <c r="AK132" s="38" t="s">
        <v>119</v>
      </c>
      <c r="AL132" s="38" t="s">
        <v>119</v>
      </c>
      <c r="AM132" s="38" t="s">
        <v>119</v>
      </c>
      <c r="AN132" s="38" t="s">
        <v>119</v>
      </c>
      <c r="AO132" s="38" t="s">
        <v>119</v>
      </c>
      <c r="AP132" s="38" t="s">
        <v>119</v>
      </c>
      <c r="AQ132" s="38" t="s">
        <v>119</v>
      </c>
      <c r="AR132" s="38" t="s">
        <v>119</v>
      </c>
      <c r="AS132" s="38" t="s">
        <v>119</v>
      </c>
      <c r="AT132" s="38" t="s">
        <v>119</v>
      </c>
      <c r="AU132" s="38" t="s">
        <v>119</v>
      </c>
      <c r="AV132" s="38" t="s">
        <v>119</v>
      </c>
      <c r="AW132" s="38" t="s">
        <v>119</v>
      </c>
      <c r="AX132" s="38" t="s">
        <v>119</v>
      </c>
    </row>
    <row r="133" spans="1:50" x14ac:dyDescent="0.45">
      <c r="A133" s="38" t="s">
        <v>31</v>
      </c>
      <c r="B133" s="38">
        <v>140</v>
      </c>
      <c r="C133" s="38" t="s">
        <v>118</v>
      </c>
      <c r="D133" s="38">
        <v>140</v>
      </c>
      <c r="E133" s="38">
        <v>30050</v>
      </c>
      <c r="F133" s="38">
        <f t="shared" si="4"/>
        <v>30.05</v>
      </c>
      <c r="G133" s="38">
        <v>8132343.75</v>
      </c>
      <c r="H133" s="38">
        <f t="shared" si="5"/>
        <v>8.1323437500000004</v>
      </c>
      <c r="I133" s="38">
        <v>2706</v>
      </c>
      <c r="J133" s="38">
        <v>2706</v>
      </c>
      <c r="K133" s="38" t="s">
        <v>119</v>
      </c>
      <c r="L133" s="38" t="s">
        <v>119</v>
      </c>
      <c r="M133" s="38" t="s">
        <v>119</v>
      </c>
      <c r="N133" s="38">
        <v>38.365600999999998</v>
      </c>
      <c r="O133" s="38" t="s">
        <v>120</v>
      </c>
      <c r="P133" s="38" t="s">
        <v>120</v>
      </c>
      <c r="Q133" s="38" t="s">
        <v>119</v>
      </c>
      <c r="R133" s="38" t="s">
        <v>119</v>
      </c>
      <c r="S133" s="38" t="s">
        <v>119</v>
      </c>
      <c r="T133" s="38">
        <v>65.764419000000004</v>
      </c>
      <c r="U133" s="38">
        <v>76.723639000000006</v>
      </c>
      <c r="V133" s="38" t="s">
        <v>119</v>
      </c>
      <c r="W133" s="38" t="s">
        <v>119</v>
      </c>
      <c r="X133" s="38" t="s">
        <v>119</v>
      </c>
      <c r="Y133" s="38" t="s">
        <v>119</v>
      </c>
      <c r="Z133" s="38" t="s">
        <v>119</v>
      </c>
      <c r="AA133" s="38" t="s">
        <v>119</v>
      </c>
      <c r="AB133" s="38" t="s">
        <v>119</v>
      </c>
      <c r="AC133" s="38" t="s">
        <v>119</v>
      </c>
      <c r="AD133" s="38" t="s">
        <v>119</v>
      </c>
      <c r="AE133" s="38" t="s">
        <v>119</v>
      </c>
      <c r="AF133" s="38" t="s">
        <v>119</v>
      </c>
      <c r="AG133" s="38" t="s">
        <v>119</v>
      </c>
      <c r="AH133" s="38" t="s">
        <v>119</v>
      </c>
      <c r="AI133" s="38" t="s">
        <v>119</v>
      </c>
      <c r="AJ133" s="38" t="s">
        <v>119</v>
      </c>
      <c r="AK133" s="38" t="s">
        <v>119</v>
      </c>
      <c r="AL133" s="38" t="s">
        <v>119</v>
      </c>
      <c r="AM133" s="38" t="s">
        <v>119</v>
      </c>
      <c r="AN133" s="38" t="s">
        <v>119</v>
      </c>
      <c r="AO133" s="38" t="s">
        <v>119</v>
      </c>
      <c r="AP133" s="38" t="s">
        <v>119</v>
      </c>
      <c r="AQ133" s="38" t="s">
        <v>119</v>
      </c>
      <c r="AR133" s="38" t="s">
        <v>119</v>
      </c>
      <c r="AS133" s="38" t="s">
        <v>119</v>
      </c>
      <c r="AT133" s="38" t="s">
        <v>119</v>
      </c>
      <c r="AU133" s="38" t="s">
        <v>119</v>
      </c>
      <c r="AV133" s="38" t="s">
        <v>119</v>
      </c>
      <c r="AW133" s="38" t="s">
        <v>119</v>
      </c>
      <c r="AX133" s="38" t="s">
        <v>119</v>
      </c>
    </row>
    <row r="134" spans="1:50" x14ac:dyDescent="0.45">
      <c r="A134" s="38" t="s">
        <v>227</v>
      </c>
      <c r="B134" s="38">
        <v>141</v>
      </c>
      <c r="C134" s="38" t="s">
        <v>118</v>
      </c>
      <c r="D134" s="38">
        <v>141</v>
      </c>
      <c r="E134" s="38">
        <v>27200</v>
      </c>
      <c r="F134" s="38">
        <f t="shared" si="4"/>
        <v>27.2</v>
      </c>
      <c r="G134" s="38">
        <v>16078437.5</v>
      </c>
      <c r="H134" s="38">
        <f t="shared" si="5"/>
        <v>16.0784375</v>
      </c>
      <c r="I134" s="38">
        <v>2707</v>
      </c>
      <c r="J134" s="38">
        <v>2707</v>
      </c>
      <c r="K134" s="38" t="s">
        <v>119</v>
      </c>
      <c r="L134" s="38" t="s">
        <v>119</v>
      </c>
      <c r="M134" s="38" t="s">
        <v>119</v>
      </c>
      <c r="N134" s="38">
        <v>54.982475000000001</v>
      </c>
      <c r="O134" s="38" t="s">
        <v>120</v>
      </c>
      <c r="P134" s="38" t="s">
        <v>120</v>
      </c>
      <c r="Q134" s="38" t="s">
        <v>119</v>
      </c>
      <c r="R134" s="38" t="s">
        <v>119</v>
      </c>
      <c r="S134" s="38" t="s">
        <v>119</v>
      </c>
      <c r="T134" s="38">
        <v>76.484297999999995</v>
      </c>
      <c r="U134" s="38">
        <v>76.664073000000002</v>
      </c>
      <c r="V134" s="38" t="s">
        <v>119</v>
      </c>
      <c r="W134" s="38" t="s">
        <v>119</v>
      </c>
      <c r="X134" s="38" t="s">
        <v>119</v>
      </c>
      <c r="Y134" s="38" t="s">
        <v>119</v>
      </c>
      <c r="Z134" s="38" t="s">
        <v>119</v>
      </c>
      <c r="AA134" s="38" t="s">
        <v>119</v>
      </c>
      <c r="AB134" s="38" t="s">
        <v>119</v>
      </c>
      <c r="AC134" s="38" t="s">
        <v>119</v>
      </c>
      <c r="AD134" s="38" t="s">
        <v>119</v>
      </c>
      <c r="AE134" s="38" t="s">
        <v>119</v>
      </c>
      <c r="AF134" s="38" t="s">
        <v>119</v>
      </c>
      <c r="AG134" s="38" t="s">
        <v>119</v>
      </c>
      <c r="AH134" s="38" t="s">
        <v>119</v>
      </c>
      <c r="AI134" s="38" t="s">
        <v>119</v>
      </c>
      <c r="AJ134" s="38" t="s">
        <v>119</v>
      </c>
      <c r="AK134" s="38" t="s">
        <v>119</v>
      </c>
      <c r="AL134" s="38" t="s">
        <v>119</v>
      </c>
      <c r="AM134" s="38" t="s">
        <v>119</v>
      </c>
      <c r="AN134" s="38" t="s">
        <v>119</v>
      </c>
      <c r="AO134" s="38" t="s">
        <v>119</v>
      </c>
      <c r="AP134" s="38" t="s">
        <v>119</v>
      </c>
      <c r="AQ134" s="38" t="s">
        <v>119</v>
      </c>
      <c r="AR134" s="38" t="s">
        <v>119</v>
      </c>
      <c r="AS134" s="38" t="s">
        <v>119</v>
      </c>
      <c r="AT134" s="38" t="s">
        <v>119</v>
      </c>
      <c r="AU134" s="38" t="s">
        <v>119</v>
      </c>
      <c r="AV134" s="38" t="s">
        <v>119</v>
      </c>
      <c r="AW134" s="38" t="s">
        <v>119</v>
      </c>
      <c r="AX134" s="38" t="s">
        <v>119</v>
      </c>
    </row>
    <row r="135" spans="1:50" x14ac:dyDescent="0.45">
      <c r="A135" s="38" t="s">
        <v>32</v>
      </c>
      <c r="B135" s="38">
        <v>142</v>
      </c>
      <c r="C135" s="38" t="s">
        <v>118</v>
      </c>
      <c r="D135" s="38">
        <v>142</v>
      </c>
      <c r="E135" s="38">
        <v>14675</v>
      </c>
      <c r="F135" s="38">
        <f t="shared" si="4"/>
        <v>14.675000000000001</v>
      </c>
      <c r="G135" s="38">
        <v>4866875</v>
      </c>
      <c r="H135" s="38">
        <f t="shared" si="5"/>
        <v>4.8668750000000003</v>
      </c>
      <c r="I135" s="38">
        <v>2708</v>
      </c>
      <c r="J135" s="38">
        <v>2708</v>
      </c>
      <c r="K135" s="38" t="s">
        <v>119</v>
      </c>
      <c r="L135" s="38" t="s">
        <v>119</v>
      </c>
      <c r="M135" s="38" t="s">
        <v>119</v>
      </c>
      <c r="N135" s="38">
        <v>59.124949999999998</v>
      </c>
      <c r="O135" s="38" t="s">
        <v>120</v>
      </c>
      <c r="P135" s="38" t="s">
        <v>120</v>
      </c>
      <c r="Q135" s="38" t="s">
        <v>119</v>
      </c>
      <c r="R135" s="38" t="s">
        <v>119</v>
      </c>
      <c r="S135" s="38" t="s">
        <v>119</v>
      </c>
      <c r="T135" s="38">
        <v>77.095691000000002</v>
      </c>
      <c r="U135" s="38">
        <v>76.750123000000002</v>
      </c>
      <c r="V135" s="38" t="s">
        <v>119</v>
      </c>
      <c r="W135" s="38" t="s">
        <v>119</v>
      </c>
      <c r="X135" s="38" t="s">
        <v>119</v>
      </c>
      <c r="Y135" s="38" t="s">
        <v>119</v>
      </c>
      <c r="Z135" s="38" t="s">
        <v>119</v>
      </c>
      <c r="AA135" s="38" t="s">
        <v>119</v>
      </c>
      <c r="AB135" s="38" t="s">
        <v>119</v>
      </c>
      <c r="AC135" s="38" t="s">
        <v>119</v>
      </c>
      <c r="AD135" s="38" t="s">
        <v>119</v>
      </c>
      <c r="AE135" s="38" t="s">
        <v>119</v>
      </c>
      <c r="AF135" s="38" t="s">
        <v>119</v>
      </c>
      <c r="AG135" s="38" t="s">
        <v>119</v>
      </c>
      <c r="AH135" s="38" t="s">
        <v>119</v>
      </c>
      <c r="AI135" s="38" t="s">
        <v>119</v>
      </c>
      <c r="AJ135" s="38" t="s">
        <v>119</v>
      </c>
      <c r="AK135" s="38" t="s">
        <v>119</v>
      </c>
      <c r="AL135" s="38" t="s">
        <v>119</v>
      </c>
      <c r="AM135" s="38" t="s">
        <v>119</v>
      </c>
      <c r="AN135" s="38" t="s">
        <v>119</v>
      </c>
      <c r="AO135" s="38" t="s">
        <v>119</v>
      </c>
      <c r="AP135" s="38" t="s">
        <v>119</v>
      </c>
      <c r="AQ135" s="38" t="s">
        <v>119</v>
      </c>
      <c r="AR135" s="38" t="s">
        <v>119</v>
      </c>
      <c r="AS135" s="38" t="s">
        <v>119</v>
      </c>
      <c r="AT135" s="38" t="s">
        <v>119</v>
      </c>
      <c r="AU135" s="38" t="s">
        <v>119</v>
      </c>
      <c r="AV135" s="38" t="s">
        <v>119</v>
      </c>
      <c r="AW135" s="38" t="s">
        <v>119</v>
      </c>
      <c r="AX135" s="38" t="s">
        <v>119</v>
      </c>
    </row>
    <row r="136" spans="1:50" x14ac:dyDescent="0.45">
      <c r="A136" s="38" t="s">
        <v>228</v>
      </c>
      <c r="B136" s="38">
        <v>143</v>
      </c>
      <c r="C136" s="38" t="s">
        <v>118</v>
      </c>
      <c r="D136" s="38">
        <v>143</v>
      </c>
      <c r="E136" s="38">
        <v>13475</v>
      </c>
      <c r="F136" s="38">
        <f t="shared" si="4"/>
        <v>13.475</v>
      </c>
      <c r="G136" s="38">
        <v>4185937.5</v>
      </c>
      <c r="H136" s="38">
        <f t="shared" si="5"/>
        <v>4.1859374999999996</v>
      </c>
      <c r="I136" s="38">
        <v>2709</v>
      </c>
      <c r="J136" s="38">
        <v>2709</v>
      </c>
      <c r="K136" s="38" t="s">
        <v>119</v>
      </c>
      <c r="L136" s="38" t="s">
        <v>119</v>
      </c>
      <c r="M136" s="38" t="s">
        <v>119</v>
      </c>
      <c r="N136" s="38">
        <v>39.797809999999998</v>
      </c>
      <c r="O136" s="38" t="s">
        <v>120</v>
      </c>
      <c r="P136" s="38" t="s">
        <v>120</v>
      </c>
      <c r="Q136" s="38" t="s">
        <v>119</v>
      </c>
      <c r="R136" s="38" t="s">
        <v>119</v>
      </c>
      <c r="S136" s="38" t="s">
        <v>119</v>
      </c>
      <c r="T136" s="38">
        <v>76.541206000000003</v>
      </c>
      <c r="U136" s="38">
        <v>76.749577000000002</v>
      </c>
      <c r="V136" s="38" t="s">
        <v>119</v>
      </c>
      <c r="W136" s="38" t="s">
        <v>119</v>
      </c>
      <c r="X136" s="38" t="s">
        <v>119</v>
      </c>
      <c r="Y136" s="38" t="s">
        <v>119</v>
      </c>
      <c r="Z136" s="38" t="s">
        <v>119</v>
      </c>
      <c r="AA136" s="38" t="s">
        <v>119</v>
      </c>
      <c r="AB136" s="38" t="s">
        <v>119</v>
      </c>
      <c r="AC136" s="38" t="s">
        <v>119</v>
      </c>
      <c r="AD136" s="38" t="s">
        <v>119</v>
      </c>
      <c r="AE136" s="38" t="s">
        <v>119</v>
      </c>
      <c r="AF136" s="38" t="s">
        <v>119</v>
      </c>
      <c r="AG136" s="38" t="s">
        <v>119</v>
      </c>
      <c r="AH136" s="38" t="s">
        <v>119</v>
      </c>
      <c r="AI136" s="38" t="s">
        <v>119</v>
      </c>
      <c r="AJ136" s="38" t="s">
        <v>119</v>
      </c>
      <c r="AK136" s="38" t="s">
        <v>119</v>
      </c>
      <c r="AL136" s="38" t="s">
        <v>119</v>
      </c>
      <c r="AM136" s="38" t="s">
        <v>119</v>
      </c>
      <c r="AN136" s="38" t="s">
        <v>119</v>
      </c>
      <c r="AO136" s="38" t="s">
        <v>119</v>
      </c>
      <c r="AP136" s="38" t="s">
        <v>119</v>
      </c>
      <c r="AQ136" s="38" t="s">
        <v>119</v>
      </c>
      <c r="AR136" s="38" t="s">
        <v>119</v>
      </c>
      <c r="AS136" s="38" t="s">
        <v>119</v>
      </c>
      <c r="AT136" s="38" t="s">
        <v>119</v>
      </c>
      <c r="AU136" s="38" t="s">
        <v>119</v>
      </c>
      <c r="AV136" s="38" t="s">
        <v>119</v>
      </c>
      <c r="AW136" s="38" t="s">
        <v>119</v>
      </c>
      <c r="AX136" s="38" t="s">
        <v>119</v>
      </c>
    </row>
    <row r="137" spans="1:50" x14ac:dyDescent="0.45">
      <c r="A137" s="38" t="s">
        <v>33</v>
      </c>
      <c r="B137" s="38">
        <v>144</v>
      </c>
      <c r="C137" s="38" t="s">
        <v>118</v>
      </c>
      <c r="D137" s="38">
        <v>144</v>
      </c>
      <c r="E137" s="38">
        <v>12625</v>
      </c>
      <c r="F137" s="38">
        <f t="shared" si="4"/>
        <v>12.625</v>
      </c>
      <c r="G137" s="38">
        <v>4817968.75</v>
      </c>
      <c r="H137" s="38">
        <f t="shared" si="5"/>
        <v>4.8179687500000004</v>
      </c>
      <c r="I137" s="38">
        <v>2710</v>
      </c>
      <c r="J137" s="38">
        <v>2710</v>
      </c>
      <c r="K137" s="38" t="s">
        <v>119</v>
      </c>
      <c r="L137" s="38" t="s">
        <v>119</v>
      </c>
      <c r="M137" s="38" t="s">
        <v>119</v>
      </c>
      <c r="N137" s="38">
        <v>52.547722</v>
      </c>
      <c r="O137" s="38" t="s">
        <v>120</v>
      </c>
      <c r="P137" s="38" t="s">
        <v>120</v>
      </c>
      <c r="Q137" s="38" t="s">
        <v>119</v>
      </c>
      <c r="R137" s="38" t="s">
        <v>119</v>
      </c>
      <c r="S137" s="38" t="s">
        <v>119</v>
      </c>
      <c r="T137" s="38">
        <v>77.930205000000001</v>
      </c>
      <c r="U137" s="38">
        <v>76.769672</v>
      </c>
      <c r="V137" s="38" t="s">
        <v>119</v>
      </c>
      <c r="W137" s="38" t="s">
        <v>119</v>
      </c>
      <c r="X137" s="38" t="s">
        <v>119</v>
      </c>
      <c r="Y137" s="38" t="s">
        <v>119</v>
      </c>
      <c r="Z137" s="38" t="s">
        <v>119</v>
      </c>
      <c r="AA137" s="38" t="s">
        <v>119</v>
      </c>
      <c r="AB137" s="38" t="s">
        <v>119</v>
      </c>
      <c r="AC137" s="38" t="s">
        <v>119</v>
      </c>
      <c r="AD137" s="38" t="s">
        <v>119</v>
      </c>
      <c r="AE137" s="38" t="s">
        <v>119</v>
      </c>
      <c r="AF137" s="38" t="s">
        <v>119</v>
      </c>
      <c r="AG137" s="38" t="s">
        <v>119</v>
      </c>
      <c r="AH137" s="38" t="s">
        <v>119</v>
      </c>
      <c r="AI137" s="38" t="s">
        <v>119</v>
      </c>
      <c r="AJ137" s="38" t="s">
        <v>119</v>
      </c>
      <c r="AK137" s="38" t="s">
        <v>119</v>
      </c>
      <c r="AL137" s="38" t="s">
        <v>119</v>
      </c>
      <c r="AM137" s="38" t="s">
        <v>119</v>
      </c>
      <c r="AN137" s="38" t="s">
        <v>119</v>
      </c>
      <c r="AO137" s="38" t="s">
        <v>119</v>
      </c>
      <c r="AP137" s="38" t="s">
        <v>119</v>
      </c>
      <c r="AQ137" s="38" t="s">
        <v>119</v>
      </c>
      <c r="AR137" s="38" t="s">
        <v>119</v>
      </c>
      <c r="AS137" s="38" t="s">
        <v>119</v>
      </c>
      <c r="AT137" s="38" t="s">
        <v>119</v>
      </c>
      <c r="AU137" s="38" t="s">
        <v>119</v>
      </c>
      <c r="AV137" s="38" t="s">
        <v>119</v>
      </c>
      <c r="AW137" s="38" t="s">
        <v>119</v>
      </c>
      <c r="AX137" s="38" t="s">
        <v>119</v>
      </c>
    </row>
    <row r="138" spans="1:50" x14ac:dyDescent="0.45">
      <c r="A138" s="38" t="s">
        <v>229</v>
      </c>
      <c r="B138" s="38">
        <v>145</v>
      </c>
      <c r="C138" s="38" t="s">
        <v>118</v>
      </c>
      <c r="D138" s="38">
        <v>145</v>
      </c>
      <c r="E138" s="38">
        <v>9825</v>
      </c>
      <c r="F138" s="38">
        <f t="shared" si="4"/>
        <v>9.8249999999999993</v>
      </c>
      <c r="G138" s="38">
        <v>1339687.5</v>
      </c>
      <c r="H138" s="38">
        <f t="shared" si="5"/>
        <v>1.3396874999999999</v>
      </c>
      <c r="I138" s="38">
        <v>2711</v>
      </c>
      <c r="J138" s="38">
        <v>2711</v>
      </c>
      <c r="K138" s="38" t="s">
        <v>119</v>
      </c>
      <c r="L138" s="38" t="s">
        <v>119</v>
      </c>
      <c r="M138" s="38" t="s">
        <v>119</v>
      </c>
      <c r="N138" s="38">
        <v>30.64603</v>
      </c>
      <c r="O138" s="38" t="s">
        <v>120</v>
      </c>
      <c r="P138" s="38" t="s">
        <v>120</v>
      </c>
      <c r="Q138" s="38" t="s">
        <v>119</v>
      </c>
      <c r="R138" s="38" t="s">
        <v>119</v>
      </c>
      <c r="S138" s="38" t="s">
        <v>119</v>
      </c>
      <c r="T138" s="38">
        <v>65.422914000000006</v>
      </c>
      <c r="U138" s="38">
        <v>76.691765000000004</v>
      </c>
      <c r="V138" s="38" t="s">
        <v>119</v>
      </c>
      <c r="W138" s="38" t="s">
        <v>119</v>
      </c>
      <c r="X138" s="38" t="s">
        <v>119</v>
      </c>
      <c r="Y138" s="38" t="s">
        <v>119</v>
      </c>
      <c r="Z138" s="38" t="s">
        <v>119</v>
      </c>
      <c r="AA138" s="38" t="s">
        <v>119</v>
      </c>
      <c r="AB138" s="38" t="s">
        <v>119</v>
      </c>
      <c r="AC138" s="38" t="s">
        <v>119</v>
      </c>
      <c r="AD138" s="38" t="s">
        <v>119</v>
      </c>
      <c r="AE138" s="38" t="s">
        <v>119</v>
      </c>
      <c r="AF138" s="38" t="s">
        <v>119</v>
      </c>
      <c r="AG138" s="38" t="s">
        <v>119</v>
      </c>
      <c r="AH138" s="38" t="s">
        <v>119</v>
      </c>
      <c r="AI138" s="38" t="s">
        <v>119</v>
      </c>
      <c r="AJ138" s="38" t="s">
        <v>119</v>
      </c>
      <c r="AK138" s="38" t="s">
        <v>119</v>
      </c>
      <c r="AL138" s="38" t="s">
        <v>119</v>
      </c>
      <c r="AM138" s="38" t="s">
        <v>119</v>
      </c>
      <c r="AN138" s="38" t="s">
        <v>119</v>
      </c>
      <c r="AO138" s="38" t="s">
        <v>119</v>
      </c>
      <c r="AP138" s="38" t="s">
        <v>119</v>
      </c>
      <c r="AQ138" s="38" t="s">
        <v>119</v>
      </c>
      <c r="AR138" s="38" t="s">
        <v>119</v>
      </c>
      <c r="AS138" s="38" t="s">
        <v>119</v>
      </c>
      <c r="AT138" s="38" t="s">
        <v>119</v>
      </c>
      <c r="AU138" s="38" t="s">
        <v>119</v>
      </c>
      <c r="AV138" s="38" t="s">
        <v>119</v>
      </c>
      <c r="AW138" s="38" t="s">
        <v>119</v>
      </c>
      <c r="AX138" s="38" t="s">
        <v>119</v>
      </c>
    </row>
    <row r="139" spans="1:50" x14ac:dyDescent="0.45">
      <c r="A139" s="38" t="s">
        <v>34</v>
      </c>
      <c r="B139" s="38">
        <v>146</v>
      </c>
      <c r="C139" s="38" t="s">
        <v>118</v>
      </c>
      <c r="D139" s="38">
        <v>146</v>
      </c>
      <c r="E139" s="38">
        <v>21700</v>
      </c>
      <c r="F139" s="38">
        <f t="shared" si="4"/>
        <v>21.7</v>
      </c>
      <c r="G139" s="38">
        <v>11559843.75</v>
      </c>
      <c r="H139" s="38">
        <f t="shared" si="5"/>
        <v>11.559843750000001</v>
      </c>
      <c r="I139" s="38">
        <v>2712</v>
      </c>
      <c r="J139" s="38">
        <v>2712</v>
      </c>
      <c r="K139" s="38" t="s">
        <v>119</v>
      </c>
      <c r="L139" s="38" t="s">
        <v>119</v>
      </c>
      <c r="M139" s="38" t="s">
        <v>119</v>
      </c>
      <c r="N139" s="38">
        <v>42.085915</v>
      </c>
      <c r="O139" s="38" t="s">
        <v>120</v>
      </c>
      <c r="P139" s="38" t="s">
        <v>120</v>
      </c>
      <c r="Q139" s="38" t="s">
        <v>119</v>
      </c>
      <c r="R139" s="38" t="s">
        <v>119</v>
      </c>
      <c r="S139" s="38" t="s">
        <v>119</v>
      </c>
      <c r="T139" s="38">
        <v>74.406396000000001</v>
      </c>
      <c r="U139" s="38">
        <v>76.713818000000003</v>
      </c>
      <c r="V139" s="38" t="s">
        <v>119</v>
      </c>
      <c r="W139" s="38" t="s">
        <v>119</v>
      </c>
      <c r="X139" s="38" t="s">
        <v>119</v>
      </c>
      <c r="Y139" s="38" t="s">
        <v>119</v>
      </c>
      <c r="Z139" s="38" t="s">
        <v>119</v>
      </c>
      <c r="AA139" s="38" t="s">
        <v>119</v>
      </c>
      <c r="AB139" s="38" t="s">
        <v>119</v>
      </c>
      <c r="AC139" s="38" t="s">
        <v>119</v>
      </c>
      <c r="AD139" s="38" t="s">
        <v>119</v>
      </c>
      <c r="AE139" s="38" t="s">
        <v>119</v>
      </c>
      <c r="AF139" s="38" t="s">
        <v>119</v>
      </c>
      <c r="AG139" s="38" t="s">
        <v>119</v>
      </c>
      <c r="AH139" s="38" t="s">
        <v>119</v>
      </c>
      <c r="AI139" s="38" t="s">
        <v>119</v>
      </c>
      <c r="AJ139" s="38" t="s">
        <v>119</v>
      </c>
      <c r="AK139" s="38" t="s">
        <v>119</v>
      </c>
      <c r="AL139" s="38" t="s">
        <v>119</v>
      </c>
      <c r="AM139" s="38" t="s">
        <v>119</v>
      </c>
      <c r="AN139" s="38" t="s">
        <v>119</v>
      </c>
      <c r="AO139" s="38" t="s">
        <v>119</v>
      </c>
      <c r="AP139" s="38" t="s">
        <v>119</v>
      </c>
      <c r="AQ139" s="38" t="s">
        <v>119</v>
      </c>
      <c r="AR139" s="38" t="s">
        <v>119</v>
      </c>
      <c r="AS139" s="38" t="s">
        <v>119</v>
      </c>
      <c r="AT139" s="38" t="s">
        <v>119</v>
      </c>
      <c r="AU139" s="38" t="s">
        <v>119</v>
      </c>
      <c r="AV139" s="38" t="s">
        <v>119</v>
      </c>
      <c r="AW139" s="38" t="s">
        <v>119</v>
      </c>
      <c r="AX139" s="38" t="s">
        <v>119</v>
      </c>
    </row>
    <row r="140" spans="1:50" x14ac:dyDescent="0.45">
      <c r="A140" s="38" t="s">
        <v>35</v>
      </c>
      <c r="B140" s="38">
        <v>147</v>
      </c>
      <c r="C140" s="38" t="s">
        <v>118</v>
      </c>
      <c r="D140" s="38">
        <v>147</v>
      </c>
      <c r="E140" s="38">
        <v>3950</v>
      </c>
      <c r="F140" s="38">
        <f t="shared" si="4"/>
        <v>3.95</v>
      </c>
      <c r="G140" s="38">
        <v>271562.5</v>
      </c>
      <c r="H140" s="38">
        <f t="shared" si="5"/>
        <v>0.27156249999999998</v>
      </c>
      <c r="I140" s="38">
        <v>2713</v>
      </c>
      <c r="J140" s="38">
        <v>2713</v>
      </c>
      <c r="K140" s="38" t="s">
        <v>119</v>
      </c>
      <c r="L140" s="38" t="s">
        <v>119</v>
      </c>
      <c r="M140" s="38" t="s">
        <v>119</v>
      </c>
      <c r="N140" s="38">
        <v>8.4432340000000003</v>
      </c>
      <c r="O140" s="38" t="s">
        <v>120</v>
      </c>
      <c r="P140" s="38" t="s">
        <v>120</v>
      </c>
      <c r="Q140" s="38" t="s">
        <v>119</v>
      </c>
      <c r="R140" s="38" t="s">
        <v>119</v>
      </c>
      <c r="S140" s="38" t="s">
        <v>119</v>
      </c>
      <c r="T140" s="38">
        <v>42.089041000000002</v>
      </c>
      <c r="U140" s="38">
        <v>76.604721999999995</v>
      </c>
      <c r="V140" s="38" t="s">
        <v>119</v>
      </c>
      <c r="W140" s="38" t="s">
        <v>119</v>
      </c>
      <c r="X140" s="38" t="s">
        <v>119</v>
      </c>
      <c r="Y140" s="38" t="s">
        <v>119</v>
      </c>
      <c r="Z140" s="38" t="s">
        <v>119</v>
      </c>
      <c r="AA140" s="38" t="s">
        <v>119</v>
      </c>
      <c r="AB140" s="38" t="s">
        <v>119</v>
      </c>
      <c r="AC140" s="38" t="s">
        <v>119</v>
      </c>
      <c r="AD140" s="38" t="s">
        <v>119</v>
      </c>
      <c r="AE140" s="38" t="s">
        <v>119</v>
      </c>
      <c r="AF140" s="38" t="s">
        <v>119</v>
      </c>
      <c r="AG140" s="38" t="s">
        <v>119</v>
      </c>
      <c r="AH140" s="38" t="s">
        <v>119</v>
      </c>
      <c r="AI140" s="38" t="s">
        <v>119</v>
      </c>
      <c r="AJ140" s="38" t="s">
        <v>119</v>
      </c>
      <c r="AK140" s="38" t="s">
        <v>119</v>
      </c>
      <c r="AL140" s="38" t="s">
        <v>119</v>
      </c>
      <c r="AM140" s="38" t="s">
        <v>119</v>
      </c>
      <c r="AN140" s="38" t="s">
        <v>119</v>
      </c>
      <c r="AO140" s="38" t="s">
        <v>119</v>
      </c>
      <c r="AP140" s="38" t="s">
        <v>119</v>
      </c>
      <c r="AQ140" s="38" t="s">
        <v>119</v>
      </c>
      <c r="AR140" s="38" t="s">
        <v>119</v>
      </c>
      <c r="AS140" s="38" t="s">
        <v>119</v>
      </c>
      <c r="AT140" s="38" t="s">
        <v>119</v>
      </c>
      <c r="AU140" s="38" t="s">
        <v>119</v>
      </c>
      <c r="AV140" s="38" t="s">
        <v>119</v>
      </c>
      <c r="AW140" s="38" t="s">
        <v>119</v>
      </c>
      <c r="AX140" s="38" t="s">
        <v>119</v>
      </c>
    </row>
    <row r="141" spans="1:50" x14ac:dyDescent="0.45">
      <c r="A141" s="38" t="s">
        <v>36</v>
      </c>
      <c r="B141" s="38">
        <v>148</v>
      </c>
      <c r="C141" s="38" t="s">
        <v>118</v>
      </c>
      <c r="D141" s="38">
        <v>148</v>
      </c>
      <c r="E141" s="38">
        <v>25300</v>
      </c>
      <c r="F141" s="38">
        <f t="shared" si="4"/>
        <v>25.3</v>
      </c>
      <c r="G141" s="38">
        <v>19750937.5</v>
      </c>
      <c r="H141" s="38">
        <f t="shared" si="5"/>
        <v>19.750937499999999</v>
      </c>
      <c r="I141" s="38">
        <v>2714</v>
      </c>
      <c r="J141" s="38">
        <v>2714</v>
      </c>
      <c r="K141" s="38" t="s">
        <v>119</v>
      </c>
      <c r="L141" s="38" t="s">
        <v>119</v>
      </c>
      <c r="M141" s="38" t="s">
        <v>119</v>
      </c>
      <c r="N141" s="38">
        <v>64.814971999999997</v>
      </c>
      <c r="O141" s="38" t="s">
        <v>120</v>
      </c>
      <c r="P141" s="38" t="s">
        <v>120</v>
      </c>
      <c r="Q141" s="38" t="s">
        <v>119</v>
      </c>
      <c r="R141" s="38" t="s">
        <v>119</v>
      </c>
      <c r="S141" s="38" t="s">
        <v>119</v>
      </c>
      <c r="T141" s="38">
        <v>77.765540000000001</v>
      </c>
      <c r="U141" s="38">
        <v>76.280776000000003</v>
      </c>
      <c r="V141" s="38" t="s">
        <v>119</v>
      </c>
      <c r="W141" s="38" t="s">
        <v>119</v>
      </c>
      <c r="X141" s="38" t="s">
        <v>119</v>
      </c>
      <c r="Y141" s="38" t="s">
        <v>119</v>
      </c>
      <c r="Z141" s="38" t="s">
        <v>119</v>
      </c>
      <c r="AA141" s="38" t="s">
        <v>119</v>
      </c>
      <c r="AB141" s="38" t="s">
        <v>119</v>
      </c>
      <c r="AC141" s="38" t="s">
        <v>119</v>
      </c>
      <c r="AD141" s="38" t="s">
        <v>119</v>
      </c>
      <c r="AE141" s="38" t="s">
        <v>119</v>
      </c>
      <c r="AF141" s="38" t="s">
        <v>119</v>
      </c>
      <c r="AG141" s="38" t="s">
        <v>119</v>
      </c>
      <c r="AH141" s="38" t="s">
        <v>119</v>
      </c>
      <c r="AI141" s="38" t="s">
        <v>119</v>
      </c>
      <c r="AJ141" s="38" t="s">
        <v>119</v>
      </c>
      <c r="AK141" s="38" t="s">
        <v>119</v>
      </c>
      <c r="AL141" s="38" t="s">
        <v>119</v>
      </c>
      <c r="AM141" s="38" t="s">
        <v>119</v>
      </c>
      <c r="AN141" s="38" t="s">
        <v>119</v>
      </c>
      <c r="AO141" s="38" t="s">
        <v>119</v>
      </c>
      <c r="AP141" s="38" t="s">
        <v>119</v>
      </c>
      <c r="AQ141" s="38" t="s">
        <v>119</v>
      </c>
      <c r="AR141" s="38" t="s">
        <v>119</v>
      </c>
      <c r="AS141" s="38" t="s">
        <v>119</v>
      </c>
      <c r="AT141" s="38" t="s">
        <v>119</v>
      </c>
      <c r="AU141" s="38" t="s">
        <v>119</v>
      </c>
      <c r="AV141" s="38" t="s">
        <v>119</v>
      </c>
      <c r="AW141" s="38" t="s">
        <v>119</v>
      </c>
      <c r="AX141" s="38" t="s">
        <v>119</v>
      </c>
    </row>
    <row r="142" spans="1:50" x14ac:dyDescent="0.45">
      <c r="A142" s="38" t="s">
        <v>37</v>
      </c>
      <c r="B142" s="38">
        <v>149</v>
      </c>
      <c r="C142" s="38" t="s">
        <v>118</v>
      </c>
      <c r="D142" s="38">
        <v>149</v>
      </c>
      <c r="E142" s="38">
        <v>21375</v>
      </c>
      <c r="F142" s="38">
        <f t="shared" si="4"/>
        <v>21.375</v>
      </c>
      <c r="G142" s="38">
        <v>9134843.75</v>
      </c>
      <c r="H142" s="38">
        <f t="shared" si="5"/>
        <v>9.1348437499999999</v>
      </c>
      <c r="I142" s="38">
        <v>2715</v>
      </c>
      <c r="J142" s="38">
        <v>2715</v>
      </c>
      <c r="K142" s="38" t="s">
        <v>119</v>
      </c>
      <c r="L142" s="38" t="s">
        <v>119</v>
      </c>
      <c r="M142" s="38" t="s">
        <v>119</v>
      </c>
      <c r="N142" s="38">
        <v>57.222251999999997</v>
      </c>
      <c r="O142" s="38" t="s">
        <v>120</v>
      </c>
      <c r="P142" s="38" t="s">
        <v>120</v>
      </c>
      <c r="Q142" s="38" t="s">
        <v>119</v>
      </c>
      <c r="R142" s="38" t="s">
        <v>119</v>
      </c>
      <c r="S142" s="38" t="s">
        <v>119</v>
      </c>
      <c r="T142" s="38">
        <v>76.697982999999994</v>
      </c>
      <c r="U142" s="38">
        <v>76.194621999999995</v>
      </c>
      <c r="V142" s="38" t="s">
        <v>119</v>
      </c>
      <c r="W142" s="38" t="s">
        <v>119</v>
      </c>
      <c r="X142" s="38" t="s">
        <v>119</v>
      </c>
      <c r="Y142" s="38" t="s">
        <v>119</v>
      </c>
      <c r="Z142" s="38" t="s">
        <v>119</v>
      </c>
      <c r="AA142" s="38" t="s">
        <v>119</v>
      </c>
      <c r="AB142" s="38" t="s">
        <v>119</v>
      </c>
      <c r="AC142" s="38" t="s">
        <v>119</v>
      </c>
      <c r="AD142" s="38" t="s">
        <v>119</v>
      </c>
      <c r="AE142" s="38" t="s">
        <v>119</v>
      </c>
      <c r="AF142" s="38" t="s">
        <v>119</v>
      </c>
      <c r="AG142" s="38" t="s">
        <v>119</v>
      </c>
      <c r="AH142" s="38" t="s">
        <v>119</v>
      </c>
      <c r="AI142" s="38" t="s">
        <v>119</v>
      </c>
      <c r="AJ142" s="38" t="s">
        <v>119</v>
      </c>
      <c r="AK142" s="38" t="s">
        <v>119</v>
      </c>
      <c r="AL142" s="38" t="s">
        <v>119</v>
      </c>
      <c r="AM142" s="38" t="s">
        <v>119</v>
      </c>
      <c r="AN142" s="38" t="s">
        <v>119</v>
      </c>
      <c r="AO142" s="38" t="s">
        <v>119</v>
      </c>
      <c r="AP142" s="38" t="s">
        <v>119</v>
      </c>
      <c r="AQ142" s="38" t="s">
        <v>119</v>
      </c>
      <c r="AR142" s="38" t="s">
        <v>119</v>
      </c>
      <c r="AS142" s="38" t="s">
        <v>119</v>
      </c>
      <c r="AT142" s="38" t="s">
        <v>119</v>
      </c>
      <c r="AU142" s="38" t="s">
        <v>119</v>
      </c>
      <c r="AV142" s="38" t="s">
        <v>119</v>
      </c>
      <c r="AW142" s="38" t="s">
        <v>119</v>
      </c>
      <c r="AX142" s="38" t="s">
        <v>119</v>
      </c>
    </row>
    <row r="143" spans="1:50" x14ac:dyDescent="0.45">
      <c r="A143" s="38" t="s">
        <v>38</v>
      </c>
      <c r="B143" s="38">
        <v>150</v>
      </c>
      <c r="C143" s="38" t="s">
        <v>118</v>
      </c>
      <c r="D143" s="38">
        <v>150</v>
      </c>
      <c r="E143" s="38">
        <v>6200</v>
      </c>
      <c r="F143" s="38">
        <f t="shared" si="4"/>
        <v>6.2</v>
      </c>
      <c r="G143" s="38">
        <v>751250</v>
      </c>
      <c r="H143" s="38">
        <f t="shared" si="5"/>
        <v>0.75124999999999997</v>
      </c>
      <c r="I143" s="38">
        <v>2716</v>
      </c>
      <c r="J143" s="38">
        <v>2716</v>
      </c>
      <c r="K143" s="38" t="s">
        <v>119</v>
      </c>
      <c r="L143" s="38" t="s">
        <v>119</v>
      </c>
      <c r="M143" s="38" t="s">
        <v>119</v>
      </c>
      <c r="N143" s="38">
        <v>8.8301320000000008</v>
      </c>
      <c r="O143" s="38" t="s">
        <v>120</v>
      </c>
      <c r="P143" s="38" t="s">
        <v>120</v>
      </c>
      <c r="Q143" s="38" t="s">
        <v>119</v>
      </c>
      <c r="R143" s="38" t="s">
        <v>119</v>
      </c>
      <c r="S143" s="38" t="s">
        <v>119</v>
      </c>
      <c r="T143" s="38">
        <v>49.8125</v>
      </c>
      <c r="U143" s="38">
        <v>76.591643000000005</v>
      </c>
      <c r="V143" s="38" t="s">
        <v>119</v>
      </c>
      <c r="W143" s="38" t="s">
        <v>119</v>
      </c>
      <c r="X143" s="38" t="s">
        <v>119</v>
      </c>
      <c r="Y143" s="38" t="s">
        <v>119</v>
      </c>
      <c r="Z143" s="38" t="s">
        <v>119</v>
      </c>
      <c r="AA143" s="38" t="s">
        <v>119</v>
      </c>
      <c r="AB143" s="38" t="s">
        <v>119</v>
      </c>
      <c r="AC143" s="38" t="s">
        <v>119</v>
      </c>
      <c r="AD143" s="38" t="s">
        <v>119</v>
      </c>
      <c r="AE143" s="38" t="s">
        <v>119</v>
      </c>
      <c r="AF143" s="38" t="s">
        <v>119</v>
      </c>
      <c r="AG143" s="38" t="s">
        <v>119</v>
      </c>
      <c r="AH143" s="38" t="s">
        <v>119</v>
      </c>
      <c r="AI143" s="38" t="s">
        <v>119</v>
      </c>
      <c r="AJ143" s="38" t="s">
        <v>119</v>
      </c>
      <c r="AK143" s="38" t="s">
        <v>119</v>
      </c>
      <c r="AL143" s="38" t="s">
        <v>119</v>
      </c>
      <c r="AM143" s="38" t="s">
        <v>119</v>
      </c>
      <c r="AN143" s="38" t="s">
        <v>119</v>
      </c>
      <c r="AO143" s="38" t="s">
        <v>119</v>
      </c>
      <c r="AP143" s="38" t="s">
        <v>119</v>
      </c>
      <c r="AQ143" s="38" t="s">
        <v>119</v>
      </c>
      <c r="AR143" s="38" t="s">
        <v>119</v>
      </c>
      <c r="AS143" s="38" t="s">
        <v>119</v>
      </c>
      <c r="AT143" s="38" t="s">
        <v>119</v>
      </c>
      <c r="AU143" s="38" t="s">
        <v>119</v>
      </c>
      <c r="AV143" s="38" t="s">
        <v>119</v>
      </c>
      <c r="AW143" s="38" t="s">
        <v>119</v>
      </c>
      <c r="AX143" s="38" t="s">
        <v>119</v>
      </c>
    </row>
    <row r="144" spans="1:50" x14ac:dyDescent="0.45">
      <c r="A144" s="38" t="s">
        <v>39</v>
      </c>
      <c r="B144" s="38">
        <v>151</v>
      </c>
      <c r="C144" s="38" t="s">
        <v>118</v>
      </c>
      <c r="D144" s="38">
        <v>151</v>
      </c>
      <c r="E144" s="38">
        <v>33425</v>
      </c>
      <c r="F144" s="38">
        <f t="shared" si="4"/>
        <v>33.424999999999997</v>
      </c>
      <c r="G144" s="38">
        <v>14182812.5</v>
      </c>
      <c r="H144" s="38">
        <f t="shared" si="5"/>
        <v>14.182812500000001</v>
      </c>
      <c r="I144" s="38">
        <v>2717</v>
      </c>
      <c r="J144" s="38">
        <v>2717</v>
      </c>
      <c r="K144" s="38" t="s">
        <v>119</v>
      </c>
      <c r="L144" s="38" t="s">
        <v>119</v>
      </c>
      <c r="M144" s="38" t="s">
        <v>119</v>
      </c>
      <c r="N144" s="38">
        <v>40.379241999999998</v>
      </c>
      <c r="O144" s="38" t="s">
        <v>120</v>
      </c>
      <c r="P144" s="38" t="s">
        <v>120</v>
      </c>
      <c r="Q144" s="38" t="s">
        <v>119</v>
      </c>
      <c r="R144" s="38" t="s">
        <v>119</v>
      </c>
      <c r="S144" s="38" t="s">
        <v>119</v>
      </c>
      <c r="T144" s="38">
        <v>63.634565000000002</v>
      </c>
      <c r="U144" s="38">
        <v>76.606733000000006</v>
      </c>
      <c r="V144" s="38" t="s">
        <v>119</v>
      </c>
      <c r="W144" s="38" t="s">
        <v>119</v>
      </c>
      <c r="X144" s="38" t="s">
        <v>119</v>
      </c>
      <c r="Y144" s="38" t="s">
        <v>119</v>
      </c>
      <c r="Z144" s="38" t="s">
        <v>119</v>
      </c>
      <c r="AA144" s="38" t="s">
        <v>119</v>
      </c>
      <c r="AB144" s="38" t="s">
        <v>119</v>
      </c>
      <c r="AC144" s="38" t="s">
        <v>119</v>
      </c>
      <c r="AD144" s="38" t="s">
        <v>119</v>
      </c>
      <c r="AE144" s="38" t="s">
        <v>119</v>
      </c>
      <c r="AF144" s="38" t="s">
        <v>119</v>
      </c>
      <c r="AG144" s="38" t="s">
        <v>119</v>
      </c>
      <c r="AH144" s="38" t="s">
        <v>119</v>
      </c>
      <c r="AI144" s="38" t="s">
        <v>119</v>
      </c>
      <c r="AJ144" s="38" t="s">
        <v>119</v>
      </c>
      <c r="AK144" s="38" t="s">
        <v>119</v>
      </c>
      <c r="AL144" s="38" t="s">
        <v>119</v>
      </c>
      <c r="AM144" s="38" t="s">
        <v>119</v>
      </c>
      <c r="AN144" s="38" t="s">
        <v>119</v>
      </c>
      <c r="AO144" s="38" t="s">
        <v>119</v>
      </c>
      <c r="AP144" s="38" t="s">
        <v>119</v>
      </c>
      <c r="AQ144" s="38" t="s">
        <v>119</v>
      </c>
      <c r="AR144" s="38" t="s">
        <v>119</v>
      </c>
      <c r="AS144" s="38" t="s">
        <v>119</v>
      </c>
      <c r="AT144" s="38" t="s">
        <v>119</v>
      </c>
      <c r="AU144" s="38" t="s">
        <v>119</v>
      </c>
      <c r="AV144" s="38" t="s">
        <v>119</v>
      </c>
      <c r="AW144" s="38" t="s">
        <v>119</v>
      </c>
      <c r="AX144" s="38" t="s">
        <v>119</v>
      </c>
    </row>
    <row r="145" spans="1:50" x14ac:dyDescent="0.45">
      <c r="A145" s="38" t="s">
        <v>230</v>
      </c>
      <c r="B145" s="38">
        <v>77</v>
      </c>
      <c r="C145" s="38" t="s">
        <v>118</v>
      </c>
      <c r="D145" s="38">
        <v>77</v>
      </c>
      <c r="E145" s="38">
        <v>14875</v>
      </c>
      <c r="F145" s="38">
        <f t="shared" si="4"/>
        <v>14.875</v>
      </c>
      <c r="G145" s="38">
        <v>2993125</v>
      </c>
      <c r="H145" s="38">
        <f t="shared" si="5"/>
        <v>2.993125</v>
      </c>
      <c r="I145" s="38">
        <v>2719</v>
      </c>
      <c r="J145" s="38">
        <v>2719</v>
      </c>
      <c r="K145" s="38" t="s">
        <v>119</v>
      </c>
      <c r="L145" s="38" t="s">
        <v>119</v>
      </c>
      <c r="M145" s="38" t="s">
        <v>119</v>
      </c>
      <c r="N145" s="38">
        <v>6.6939979999999997</v>
      </c>
      <c r="O145" s="38" t="s">
        <v>120</v>
      </c>
      <c r="P145" s="38" t="s">
        <v>120</v>
      </c>
      <c r="Q145" s="38" t="s">
        <v>119</v>
      </c>
      <c r="R145" s="38" t="s">
        <v>119</v>
      </c>
      <c r="S145" s="38" t="s">
        <v>119</v>
      </c>
      <c r="T145" s="38">
        <v>64.345437000000004</v>
      </c>
      <c r="U145" s="38">
        <v>83.974301999999994</v>
      </c>
      <c r="V145" s="38" t="s">
        <v>119</v>
      </c>
      <c r="W145" s="38" t="s">
        <v>119</v>
      </c>
      <c r="X145" s="38" t="s">
        <v>119</v>
      </c>
      <c r="Y145" s="38" t="s">
        <v>119</v>
      </c>
      <c r="Z145" s="38" t="s">
        <v>119</v>
      </c>
      <c r="AA145" s="38" t="s">
        <v>119</v>
      </c>
      <c r="AB145" s="38" t="s">
        <v>119</v>
      </c>
      <c r="AC145" s="38" t="s">
        <v>119</v>
      </c>
      <c r="AD145" s="38" t="s">
        <v>119</v>
      </c>
      <c r="AE145" s="38" t="s">
        <v>119</v>
      </c>
      <c r="AF145" s="38" t="s">
        <v>119</v>
      </c>
      <c r="AG145" s="38" t="s">
        <v>119</v>
      </c>
      <c r="AH145" s="38" t="s">
        <v>119</v>
      </c>
      <c r="AI145" s="38" t="s">
        <v>119</v>
      </c>
      <c r="AJ145" s="38" t="s">
        <v>119</v>
      </c>
      <c r="AK145" s="38" t="s">
        <v>119</v>
      </c>
      <c r="AL145" s="38" t="s">
        <v>119</v>
      </c>
      <c r="AM145" s="38" t="s">
        <v>119</v>
      </c>
      <c r="AN145" s="38" t="s">
        <v>119</v>
      </c>
      <c r="AO145" s="38" t="s">
        <v>119</v>
      </c>
      <c r="AP145" s="38" t="s">
        <v>119</v>
      </c>
      <c r="AQ145" s="38" t="s">
        <v>119</v>
      </c>
      <c r="AR145" s="38" t="s">
        <v>119</v>
      </c>
      <c r="AS145" s="38" t="s">
        <v>119</v>
      </c>
      <c r="AT145" s="38" t="s">
        <v>119</v>
      </c>
      <c r="AU145" s="38" t="s">
        <v>119</v>
      </c>
      <c r="AV145" s="38" t="s">
        <v>119</v>
      </c>
      <c r="AW145" s="38" t="s">
        <v>119</v>
      </c>
      <c r="AX145" s="38" t="s">
        <v>119</v>
      </c>
    </row>
    <row r="146" spans="1:50" x14ac:dyDescent="0.45">
      <c r="A146" s="38" t="s">
        <v>40</v>
      </c>
      <c r="B146" s="38">
        <v>152</v>
      </c>
      <c r="C146" s="38" t="s">
        <v>118</v>
      </c>
      <c r="D146" s="38" t="s">
        <v>119</v>
      </c>
      <c r="E146" s="38">
        <v>17525</v>
      </c>
      <c r="F146" s="38">
        <f t="shared" si="4"/>
        <v>17.524999999999999</v>
      </c>
      <c r="G146" s="38">
        <v>4066406.25</v>
      </c>
      <c r="H146" s="38">
        <f t="shared" si="5"/>
        <v>4.06640625</v>
      </c>
      <c r="I146" s="38">
        <v>2720</v>
      </c>
      <c r="J146" s="38">
        <v>2720</v>
      </c>
      <c r="K146" s="38" t="s">
        <v>119</v>
      </c>
      <c r="L146" s="38" t="s">
        <v>119</v>
      </c>
      <c r="M146" s="38" t="s">
        <v>119</v>
      </c>
      <c r="N146" s="38">
        <v>7.2080250000000001</v>
      </c>
      <c r="O146" s="38" t="s">
        <v>120</v>
      </c>
      <c r="P146" s="38" t="s">
        <v>120</v>
      </c>
      <c r="Q146" s="38" t="s">
        <v>119</v>
      </c>
      <c r="R146" s="38" t="s">
        <v>119</v>
      </c>
      <c r="S146" s="38" t="s">
        <v>119</v>
      </c>
      <c r="T146" s="38">
        <v>62.832140000000003</v>
      </c>
      <c r="U146" s="38">
        <v>83.371071000000001</v>
      </c>
      <c r="V146" s="38" t="s">
        <v>119</v>
      </c>
      <c r="W146" s="38" t="s">
        <v>119</v>
      </c>
      <c r="X146" s="38" t="s">
        <v>119</v>
      </c>
      <c r="Y146" s="38" t="s">
        <v>119</v>
      </c>
      <c r="Z146" s="38" t="s">
        <v>119</v>
      </c>
      <c r="AA146" s="38" t="s">
        <v>119</v>
      </c>
      <c r="AB146" s="38" t="s">
        <v>119</v>
      </c>
      <c r="AC146" s="38" t="s">
        <v>119</v>
      </c>
      <c r="AD146" s="38" t="s">
        <v>119</v>
      </c>
      <c r="AE146" s="38" t="s">
        <v>119</v>
      </c>
      <c r="AF146" s="38" t="s">
        <v>119</v>
      </c>
      <c r="AG146" s="38" t="s">
        <v>119</v>
      </c>
      <c r="AH146" s="38" t="s">
        <v>119</v>
      </c>
      <c r="AI146" s="38" t="s">
        <v>119</v>
      </c>
      <c r="AJ146" s="38" t="s">
        <v>119</v>
      </c>
      <c r="AK146" s="38" t="s">
        <v>119</v>
      </c>
      <c r="AL146" s="38" t="s">
        <v>119</v>
      </c>
      <c r="AM146" s="38" t="s">
        <v>119</v>
      </c>
      <c r="AN146" s="38" t="s">
        <v>119</v>
      </c>
      <c r="AO146" s="38" t="s">
        <v>119</v>
      </c>
      <c r="AP146" s="38" t="s">
        <v>119</v>
      </c>
      <c r="AQ146" s="38" t="s">
        <v>119</v>
      </c>
      <c r="AR146" s="38" t="s">
        <v>119</v>
      </c>
      <c r="AS146" s="38" t="s">
        <v>119</v>
      </c>
      <c r="AT146" s="38" t="s">
        <v>119</v>
      </c>
      <c r="AU146" s="38" t="s">
        <v>119</v>
      </c>
      <c r="AV146" s="38" t="s">
        <v>119</v>
      </c>
      <c r="AW146" s="38" t="s">
        <v>119</v>
      </c>
      <c r="AX146" s="38" t="s">
        <v>119</v>
      </c>
    </row>
    <row r="147" spans="1:50" x14ac:dyDescent="0.45">
      <c r="A147" s="38" t="s">
        <v>231</v>
      </c>
      <c r="B147" s="38">
        <v>74</v>
      </c>
      <c r="C147" s="38" t="s">
        <v>118</v>
      </c>
      <c r="D147" s="38">
        <v>74</v>
      </c>
      <c r="E147" s="38">
        <v>15750</v>
      </c>
      <c r="F147" s="38">
        <f t="shared" si="4"/>
        <v>15.75</v>
      </c>
      <c r="G147" s="38">
        <v>2282968.75</v>
      </c>
      <c r="H147" s="38">
        <f t="shared" si="5"/>
        <v>2.2829687500000002</v>
      </c>
      <c r="I147" s="38">
        <v>2724</v>
      </c>
      <c r="J147" s="38">
        <v>2724</v>
      </c>
      <c r="K147" s="38" t="s">
        <v>119</v>
      </c>
      <c r="L147" s="38" t="s">
        <v>119</v>
      </c>
      <c r="M147" s="38" t="s">
        <v>119</v>
      </c>
      <c r="N147" s="38">
        <v>8.5253460000000008</v>
      </c>
      <c r="O147" s="38" t="s">
        <v>120</v>
      </c>
      <c r="P147" s="38" t="s">
        <v>120</v>
      </c>
      <c r="Q147" s="38" t="s">
        <v>119</v>
      </c>
      <c r="R147" s="38" t="s">
        <v>119</v>
      </c>
      <c r="S147" s="38" t="s">
        <v>119</v>
      </c>
      <c r="T147" s="38">
        <v>68.688400999999999</v>
      </c>
      <c r="U147" s="38">
        <v>77.478795000000005</v>
      </c>
      <c r="V147" s="38" t="s">
        <v>119</v>
      </c>
      <c r="W147" s="38" t="s">
        <v>119</v>
      </c>
      <c r="X147" s="38" t="s">
        <v>119</v>
      </c>
      <c r="Y147" s="38" t="s">
        <v>119</v>
      </c>
      <c r="Z147" s="38" t="s">
        <v>119</v>
      </c>
      <c r="AA147" s="38" t="s">
        <v>119</v>
      </c>
      <c r="AB147" s="38" t="s">
        <v>119</v>
      </c>
      <c r="AC147" s="38" t="s">
        <v>119</v>
      </c>
      <c r="AD147" s="38" t="s">
        <v>119</v>
      </c>
      <c r="AE147" s="38" t="s">
        <v>119</v>
      </c>
      <c r="AF147" s="38" t="s">
        <v>119</v>
      </c>
      <c r="AG147" s="38" t="s">
        <v>119</v>
      </c>
      <c r="AH147" s="38" t="s">
        <v>119</v>
      </c>
      <c r="AI147" s="38" t="s">
        <v>119</v>
      </c>
      <c r="AJ147" s="38" t="s">
        <v>119</v>
      </c>
      <c r="AK147" s="38" t="s">
        <v>119</v>
      </c>
      <c r="AL147" s="38" t="s">
        <v>119</v>
      </c>
      <c r="AM147" s="38" t="s">
        <v>119</v>
      </c>
      <c r="AN147" s="38" t="s">
        <v>119</v>
      </c>
      <c r="AO147" s="38" t="s">
        <v>119</v>
      </c>
      <c r="AP147" s="38" t="s">
        <v>119</v>
      </c>
      <c r="AQ147" s="38" t="s">
        <v>119</v>
      </c>
      <c r="AR147" s="38" t="s">
        <v>119</v>
      </c>
      <c r="AS147" s="38" t="s">
        <v>119</v>
      </c>
      <c r="AT147" s="38" t="s">
        <v>119</v>
      </c>
      <c r="AU147" s="38" t="s">
        <v>119</v>
      </c>
      <c r="AV147" s="38" t="s">
        <v>119</v>
      </c>
      <c r="AW147" s="38" t="s">
        <v>119</v>
      </c>
      <c r="AX147" s="38" t="s">
        <v>119</v>
      </c>
    </row>
    <row r="148" spans="1:50" x14ac:dyDescent="0.45">
      <c r="A148" s="38" t="s">
        <v>41</v>
      </c>
      <c r="B148" s="38">
        <v>153</v>
      </c>
      <c r="C148" s="38" t="s">
        <v>118</v>
      </c>
      <c r="D148" s="38" t="s">
        <v>119</v>
      </c>
      <c r="E148" s="38">
        <v>20500</v>
      </c>
      <c r="F148" s="38">
        <f t="shared" si="4"/>
        <v>20.5</v>
      </c>
      <c r="G148" s="38">
        <v>6231093.75</v>
      </c>
      <c r="H148" s="38">
        <f t="shared" si="5"/>
        <v>6.2310937500000003</v>
      </c>
      <c r="I148" s="38">
        <v>2725</v>
      </c>
      <c r="J148" s="38">
        <v>2725</v>
      </c>
      <c r="K148" s="38" t="s">
        <v>119</v>
      </c>
      <c r="L148" s="38" t="s">
        <v>119</v>
      </c>
      <c r="M148" s="38" t="s">
        <v>119</v>
      </c>
      <c r="N148" s="38">
        <v>8.366994</v>
      </c>
      <c r="O148" s="38" t="s">
        <v>120</v>
      </c>
      <c r="P148" s="38" t="s">
        <v>120</v>
      </c>
      <c r="Q148" s="38" t="s">
        <v>119</v>
      </c>
      <c r="R148" s="38" t="s">
        <v>119</v>
      </c>
      <c r="S148" s="38" t="s">
        <v>119</v>
      </c>
      <c r="T148" s="38">
        <v>58.481762000000003</v>
      </c>
      <c r="U148" s="38">
        <v>76.477463</v>
      </c>
      <c r="V148" s="38" t="s">
        <v>119</v>
      </c>
      <c r="W148" s="38" t="s">
        <v>119</v>
      </c>
      <c r="X148" s="38" t="s">
        <v>119</v>
      </c>
      <c r="Y148" s="38" t="s">
        <v>119</v>
      </c>
      <c r="Z148" s="38" t="s">
        <v>119</v>
      </c>
      <c r="AA148" s="38" t="s">
        <v>119</v>
      </c>
      <c r="AB148" s="38" t="s">
        <v>119</v>
      </c>
      <c r="AC148" s="38" t="s">
        <v>119</v>
      </c>
      <c r="AD148" s="38" t="s">
        <v>119</v>
      </c>
      <c r="AE148" s="38" t="s">
        <v>119</v>
      </c>
      <c r="AF148" s="38" t="s">
        <v>119</v>
      </c>
      <c r="AG148" s="38" t="s">
        <v>119</v>
      </c>
      <c r="AH148" s="38" t="s">
        <v>119</v>
      </c>
      <c r="AI148" s="38" t="s">
        <v>119</v>
      </c>
      <c r="AJ148" s="38" t="s">
        <v>119</v>
      </c>
      <c r="AK148" s="38" t="s">
        <v>119</v>
      </c>
      <c r="AL148" s="38" t="s">
        <v>119</v>
      </c>
      <c r="AM148" s="38" t="s">
        <v>119</v>
      </c>
      <c r="AN148" s="38" t="s">
        <v>119</v>
      </c>
      <c r="AO148" s="38" t="s">
        <v>119</v>
      </c>
      <c r="AP148" s="38" t="s">
        <v>119</v>
      </c>
      <c r="AQ148" s="38" t="s">
        <v>119</v>
      </c>
      <c r="AR148" s="38" t="s">
        <v>119</v>
      </c>
      <c r="AS148" s="38" t="s">
        <v>119</v>
      </c>
      <c r="AT148" s="38" t="s">
        <v>119</v>
      </c>
      <c r="AU148" s="38" t="s">
        <v>119</v>
      </c>
      <c r="AV148" s="38" t="s">
        <v>119</v>
      </c>
      <c r="AW148" s="38" t="s">
        <v>119</v>
      </c>
      <c r="AX148" s="38" t="s">
        <v>119</v>
      </c>
    </row>
    <row r="149" spans="1:50" x14ac:dyDescent="0.45">
      <c r="A149" s="38" t="s">
        <v>42</v>
      </c>
      <c r="B149" s="38">
        <v>95</v>
      </c>
      <c r="C149" s="38" t="s">
        <v>118</v>
      </c>
      <c r="D149" s="38">
        <v>95</v>
      </c>
      <c r="E149" s="38">
        <v>36250</v>
      </c>
      <c r="F149" s="38">
        <f t="shared" si="4"/>
        <v>36.25</v>
      </c>
      <c r="G149" s="38">
        <v>16810468.75</v>
      </c>
      <c r="H149" s="38">
        <f t="shared" si="5"/>
        <v>16.810468749999998</v>
      </c>
      <c r="I149" s="38">
        <v>2729</v>
      </c>
      <c r="J149" s="38">
        <v>2729</v>
      </c>
      <c r="K149" s="38" t="s">
        <v>119</v>
      </c>
      <c r="L149" s="38" t="s">
        <v>119</v>
      </c>
      <c r="M149" s="38" t="s">
        <v>119</v>
      </c>
      <c r="N149" s="38">
        <v>7.4799160000000002</v>
      </c>
      <c r="O149" s="38" t="s">
        <v>120</v>
      </c>
      <c r="P149" s="38" t="s">
        <v>120</v>
      </c>
      <c r="Q149" s="38" t="s">
        <v>119</v>
      </c>
      <c r="R149" s="38" t="s">
        <v>119</v>
      </c>
      <c r="S149" s="38" t="s">
        <v>119</v>
      </c>
      <c r="T149" s="38">
        <v>48.767493000000002</v>
      </c>
      <c r="U149" s="38">
        <v>79.315505000000002</v>
      </c>
      <c r="V149" s="38" t="s">
        <v>119</v>
      </c>
      <c r="W149" s="38" t="s">
        <v>119</v>
      </c>
      <c r="X149" s="38" t="s">
        <v>119</v>
      </c>
      <c r="Y149" s="38" t="s">
        <v>119</v>
      </c>
      <c r="Z149" s="38" t="s">
        <v>119</v>
      </c>
      <c r="AA149" s="38" t="s">
        <v>119</v>
      </c>
      <c r="AB149" s="38" t="s">
        <v>119</v>
      </c>
      <c r="AC149" s="38" t="s">
        <v>119</v>
      </c>
      <c r="AD149" s="38" t="s">
        <v>119</v>
      </c>
      <c r="AE149" s="38" t="s">
        <v>119</v>
      </c>
      <c r="AF149" s="38" t="s">
        <v>119</v>
      </c>
      <c r="AG149" s="38" t="s">
        <v>119</v>
      </c>
      <c r="AH149" s="38" t="s">
        <v>119</v>
      </c>
      <c r="AI149" s="38" t="s">
        <v>119</v>
      </c>
      <c r="AJ149" s="38" t="s">
        <v>119</v>
      </c>
      <c r="AK149" s="38" t="s">
        <v>119</v>
      </c>
      <c r="AL149" s="38" t="s">
        <v>119</v>
      </c>
      <c r="AM149" s="38" t="s">
        <v>119</v>
      </c>
      <c r="AN149" s="38" t="s">
        <v>119</v>
      </c>
      <c r="AO149" s="38" t="s">
        <v>119</v>
      </c>
      <c r="AP149" s="38" t="s">
        <v>119</v>
      </c>
      <c r="AQ149" s="38" t="s">
        <v>119</v>
      </c>
      <c r="AR149" s="38" t="s">
        <v>119</v>
      </c>
      <c r="AS149" s="38" t="s">
        <v>119</v>
      </c>
      <c r="AT149" s="38" t="s">
        <v>119</v>
      </c>
      <c r="AU149" s="38" t="s">
        <v>119</v>
      </c>
      <c r="AV149" s="38" t="s">
        <v>119</v>
      </c>
      <c r="AW149" s="38" t="s">
        <v>119</v>
      </c>
      <c r="AX149" s="38" t="s">
        <v>119</v>
      </c>
    </row>
    <row r="150" spans="1:50" x14ac:dyDescent="0.45">
      <c r="A150" s="38" t="s">
        <v>43</v>
      </c>
      <c r="B150" s="38">
        <v>154</v>
      </c>
      <c r="C150" s="38" t="s">
        <v>118</v>
      </c>
      <c r="D150" s="38" t="s">
        <v>119</v>
      </c>
      <c r="E150" s="38">
        <v>13950</v>
      </c>
      <c r="F150" s="38">
        <f t="shared" si="4"/>
        <v>13.95</v>
      </c>
      <c r="G150" s="38">
        <v>3787031.25</v>
      </c>
      <c r="H150" s="38">
        <f t="shared" si="5"/>
        <v>3.7870312500000001</v>
      </c>
      <c r="I150" s="38">
        <v>2730</v>
      </c>
      <c r="J150" s="38">
        <v>2730</v>
      </c>
      <c r="K150" s="38" t="s">
        <v>119</v>
      </c>
      <c r="L150" s="38" t="s">
        <v>119</v>
      </c>
      <c r="M150" s="38" t="s">
        <v>119</v>
      </c>
      <c r="N150" s="38">
        <v>7.6631239999999998</v>
      </c>
      <c r="O150" s="38" t="s">
        <v>120</v>
      </c>
      <c r="P150" s="38" t="s">
        <v>120</v>
      </c>
      <c r="Q150" s="38" t="s">
        <v>119</v>
      </c>
      <c r="R150" s="38" t="s">
        <v>119</v>
      </c>
      <c r="S150" s="38" t="s">
        <v>119</v>
      </c>
      <c r="T150" s="38">
        <v>57.841278000000003</v>
      </c>
      <c r="U150" s="38">
        <v>77.253365000000002</v>
      </c>
      <c r="V150" s="38" t="s">
        <v>119</v>
      </c>
      <c r="W150" s="38" t="s">
        <v>119</v>
      </c>
      <c r="X150" s="38" t="s">
        <v>119</v>
      </c>
      <c r="Y150" s="38" t="s">
        <v>119</v>
      </c>
      <c r="Z150" s="38" t="s">
        <v>119</v>
      </c>
      <c r="AA150" s="38" t="s">
        <v>119</v>
      </c>
      <c r="AB150" s="38" t="s">
        <v>119</v>
      </c>
      <c r="AC150" s="38" t="s">
        <v>119</v>
      </c>
      <c r="AD150" s="38" t="s">
        <v>119</v>
      </c>
      <c r="AE150" s="38" t="s">
        <v>119</v>
      </c>
      <c r="AF150" s="38" t="s">
        <v>119</v>
      </c>
      <c r="AG150" s="38" t="s">
        <v>119</v>
      </c>
      <c r="AH150" s="38" t="s">
        <v>119</v>
      </c>
      <c r="AI150" s="38" t="s">
        <v>119</v>
      </c>
      <c r="AJ150" s="38" t="s">
        <v>119</v>
      </c>
      <c r="AK150" s="38" t="s">
        <v>119</v>
      </c>
      <c r="AL150" s="38" t="s">
        <v>119</v>
      </c>
      <c r="AM150" s="38" t="s">
        <v>119</v>
      </c>
      <c r="AN150" s="38" t="s">
        <v>119</v>
      </c>
      <c r="AO150" s="38" t="s">
        <v>119</v>
      </c>
      <c r="AP150" s="38" t="s">
        <v>119</v>
      </c>
      <c r="AQ150" s="38" t="s">
        <v>119</v>
      </c>
      <c r="AR150" s="38" t="s">
        <v>119</v>
      </c>
      <c r="AS150" s="38" t="s">
        <v>119</v>
      </c>
      <c r="AT150" s="38" t="s">
        <v>119</v>
      </c>
      <c r="AU150" s="38" t="s">
        <v>119</v>
      </c>
      <c r="AV150" s="38" t="s">
        <v>119</v>
      </c>
      <c r="AW150" s="38" t="s">
        <v>119</v>
      </c>
      <c r="AX150" s="38" t="s">
        <v>119</v>
      </c>
    </row>
    <row r="151" spans="1:50" x14ac:dyDescent="0.45">
      <c r="A151" s="38" t="s">
        <v>44</v>
      </c>
      <c r="B151" s="38">
        <v>107</v>
      </c>
      <c r="C151" s="38" t="s">
        <v>118</v>
      </c>
      <c r="D151" s="38">
        <v>107</v>
      </c>
      <c r="E151" s="38">
        <v>7200</v>
      </c>
      <c r="F151" s="38">
        <f t="shared" si="4"/>
        <v>7.2</v>
      </c>
      <c r="G151" s="38">
        <v>888125</v>
      </c>
      <c r="H151" s="38">
        <f t="shared" si="5"/>
        <v>0.88812500000000005</v>
      </c>
      <c r="I151" s="38">
        <v>2734</v>
      </c>
      <c r="J151" s="38">
        <v>2734</v>
      </c>
      <c r="K151" s="38" t="s">
        <v>119</v>
      </c>
      <c r="L151" s="38" t="s">
        <v>119</v>
      </c>
      <c r="M151" s="38" t="s">
        <v>119</v>
      </c>
      <c r="N151" s="38">
        <v>7.3745729999999998</v>
      </c>
      <c r="O151" s="38" t="s">
        <v>120</v>
      </c>
      <c r="P151" s="38" t="s">
        <v>120</v>
      </c>
      <c r="Q151" s="38" t="s">
        <v>119</v>
      </c>
      <c r="R151" s="38" t="s">
        <v>119</v>
      </c>
      <c r="S151" s="38" t="s">
        <v>119</v>
      </c>
      <c r="T151" s="38">
        <v>49.133758</v>
      </c>
      <c r="U151" s="38">
        <v>77.935550000000006</v>
      </c>
      <c r="V151" s="38" t="s">
        <v>119</v>
      </c>
      <c r="W151" s="38" t="s">
        <v>119</v>
      </c>
      <c r="X151" s="38" t="s">
        <v>119</v>
      </c>
      <c r="Y151" s="38" t="s">
        <v>119</v>
      </c>
      <c r="Z151" s="38" t="s">
        <v>119</v>
      </c>
      <c r="AA151" s="38" t="s">
        <v>119</v>
      </c>
      <c r="AB151" s="38" t="s">
        <v>119</v>
      </c>
      <c r="AC151" s="38" t="s">
        <v>119</v>
      </c>
      <c r="AD151" s="38" t="s">
        <v>119</v>
      </c>
      <c r="AE151" s="38" t="s">
        <v>119</v>
      </c>
      <c r="AF151" s="38" t="s">
        <v>119</v>
      </c>
      <c r="AG151" s="38" t="s">
        <v>119</v>
      </c>
      <c r="AH151" s="38" t="s">
        <v>119</v>
      </c>
      <c r="AI151" s="38" t="s">
        <v>119</v>
      </c>
      <c r="AJ151" s="38" t="s">
        <v>119</v>
      </c>
      <c r="AK151" s="38" t="s">
        <v>119</v>
      </c>
      <c r="AL151" s="38" t="s">
        <v>119</v>
      </c>
      <c r="AM151" s="38" t="s">
        <v>119</v>
      </c>
      <c r="AN151" s="38" t="s">
        <v>119</v>
      </c>
      <c r="AO151" s="38" t="s">
        <v>119</v>
      </c>
      <c r="AP151" s="38" t="s">
        <v>119</v>
      </c>
      <c r="AQ151" s="38" t="s">
        <v>119</v>
      </c>
      <c r="AR151" s="38" t="s">
        <v>119</v>
      </c>
      <c r="AS151" s="38" t="s">
        <v>119</v>
      </c>
      <c r="AT151" s="38" t="s">
        <v>119</v>
      </c>
      <c r="AU151" s="38" t="s">
        <v>119</v>
      </c>
      <c r="AV151" s="38" t="s">
        <v>119</v>
      </c>
      <c r="AW151" s="38" t="s">
        <v>119</v>
      </c>
      <c r="AX151" s="38" t="s">
        <v>119</v>
      </c>
    </row>
    <row r="152" spans="1:50" x14ac:dyDescent="0.45">
      <c r="A152" s="38" t="s">
        <v>45</v>
      </c>
      <c r="B152" s="38">
        <v>155</v>
      </c>
      <c r="C152" s="38" t="s">
        <v>118</v>
      </c>
      <c r="D152" s="38" t="s">
        <v>119</v>
      </c>
      <c r="E152" s="38">
        <v>16825</v>
      </c>
      <c r="F152" s="38">
        <f t="shared" si="4"/>
        <v>16.824999999999999</v>
      </c>
      <c r="G152" s="38">
        <v>4785781.25</v>
      </c>
      <c r="H152" s="38">
        <f t="shared" si="5"/>
        <v>4.7857812500000003</v>
      </c>
      <c r="I152" s="38">
        <v>2735</v>
      </c>
      <c r="J152" s="38">
        <v>2735</v>
      </c>
      <c r="K152" s="38" t="s">
        <v>119</v>
      </c>
      <c r="L152" s="38" t="s">
        <v>119</v>
      </c>
      <c r="M152" s="38" t="s">
        <v>119</v>
      </c>
      <c r="N152" s="38">
        <v>9.318225</v>
      </c>
      <c r="O152" s="38" t="s">
        <v>120</v>
      </c>
      <c r="P152" s="38" t="s">
        <v>120</v>
      </c>
      <c r="Q152" s="38" t="s">
        <v>119</v>
      </c>
      <c r="R152" s="38" t="s">
        <v>119</v>
      </c>
      <c r="S152" s="38" t="s">
        <v>119</v>
      </c>
      <c r="T152" s="38">
        <v>59.330900999999997</v>
      </c>
      <c r="U152" s="38">
        <v>77.401234000000002</v>
      </c>
      <c r="V152" s="38" t="s">
        <v>119</v>
      </c>
      <c r="W152" s="38" t="s">
        <v>119</v>
      </c>
      <c r="X152" s="38" t="s">
        <v>119</v>
      </c>
      <c r="Y152" s="38" t="s">
        <v>119</v>
      </c>
      <c r="Z152" s="38" t="s">
        <v>119</v>
      </c>
      <c r="AA152" s="38" t="s">
        <v>119</v>
      </c>
      <c r="AB152" s="38" t="s">
        <v>119</v>
      </c>
      <c r="AC152" s="38" t="s">
        <v>119</v>
      </c>
      <c r="AD152" s="38" t="s">
        <v>119</v>
      </c>
      <c r="AE152" s="38" t="s">
        <v>119</v>
      </c>
      <c r="AF152" s="38" t="s">
        <v>119</v>
      </c>
      <c r="AG152" s="38" t="s">
        <v>119</v>
      </c>
      <c r="AH152" s="38" t="s">
        <v>119</v>
      </c>
      <c r="AI152" s="38" t="s">
        <v>119</v>
      </c>
      <c r="AJ152" s="38" t="s">
        <v>119</v>
      </c>
      <c r="AK152" s="38" t="s">
        <v>119</v>
      </c>
      <c r="AL152" s="38" t="s">
        <v>119</v>
      </c>
      <c r="AM152" s="38" t="s">
        <v>119</v>
      </c>
      <c r="AN152" s="38" t="s">
        <v>119</v>
      </c>
      <c r="AO152" s="38" t="s">
        <v>119</v>
      </c>
      <c r="AP152" s="38" t="s">
        <v>119</v>
      </c>
      <c r="AQ152" s="38" t="s">
        <v>119</v>
      </c>
      <c r="AR152" s="38" t="s">
        <v>119</v>
      </c>
      <c r="AS152" s="38" t="s">
        <v>119</v>
      </c>
      <c r="AT152" s="38" t="s">
        <v>119</v>
      </c>
      <c r="AU152" s="38" t="s">
        <v>119</v>
      </c>
      <c r="AV152" s="38" t="s">
        <v>119</v>
      </c>
      <c r="AW152" s="38" t="s">
        <v>119</v>
      </c>
      <c r="AX152" s="38" t="s">
        <v>119</v>
      </c>
    </row>
    <row r="153" spans="1:50" x14ac:dyDescent="0.45">
      <c r="A153" s="38" t="s">
        <v>46</v>
      </c>
      <c r="B153" s="38">
        <v>114</v>
      </c>
      <c r="C153" s="38" t="s">
        <v>118</v>
      </c>
      <c r="D153" s="38">
        <v>114</v>
      </c>
      <c r="E153" s="38">
        <v>11500</v>
      </c>
      <c r="F153" s="38">
        <f t="shared" si="4"/>
        <v>11.5</v>
      </c>
      <c r="G153" s="38">
        <v>1707343.75</v>
      </c>
      <c r="H153" s="38">
        <f t="shared" si="5"/>
        <v>1.7073437499999999</v>
      </c>
      <c r="I153" s="38">
        <v>2739</v>
      </c>
      <c r="J153" s="38">
        <v>2739</v>
      </c>
      <c r="K153" s="38" t="s">
        <v>119</v>
      </c>
      <c r="L153" s="38" t="s">
        <v>119</v>
      </c>
      <c r="M153" s="38" t="s">
        <v>119</v>
      </c>
      <c r="N153" s="38">
        <v>8.3294280000000001</v>
      </c>
      <c r="O153" s="38" t="s">
        <v>120</v>
      </c>
      <c r="P153" s="38" t="s">
        <v>120</v>
      </c>
      <c r="Q153" s="38" t="s">
        <v>119</v>
      </c>
      <c r="R153" s="38" t="s">
        <v>119</v>
      </c>
      <c r="S153" s="38" t="s">
        <v>119</v>
      </c>
      <c r="T153" s="38">
        <v>52.070556000000003</v>
      </c>
      <c r="U153" s="38">
        <v>77.747601000000003</v>
      </c>
      <c r="V153" s="38" t="s">
        <v>119</v>
      </c>
      <c r="W153" s="38" t="s">
        <v>119</v>
      </c>
      <c r="X153" s="38" t="s">
        <v>119</v>
      </c>
      <c r="Y153" s="38" t="s">
        <v>119</v>
      </c>
      <c r="Z153" s="38" t="s">
        <v>119</v>
      </c>
      <c r="AA153" s="38" t="s">
        <v>119</v>
      </c>
      <c r="AB153" s="38" t="s">
        <v>119</v>
      </c>
      <c r="AC153" s="38" t="s">
        <v>119</v>
      </c>
      <c r="AD153" s="38" t="s">
        <v>119</v>
      </c>
      <c r="AE153" s="38" t="s">
        <v>119</v>
      </c>
      <c r="AF153" s="38" t="s">
        <v>119</v>
      </c>
      <c r="AG153" s="38" t="s">
        <v>119</v>
      </c>
      <c r="AH153" s="38" t="s">
        <v>119</v>
      </c>
      <c r="AI153" s="38" t="s">
        <v>119</v>
      </c>
      <c r="AJ153" s="38" t="s">
        <v>119</v>
      </c>
      <c r="AK153" s="38" t="s">
        <v>119</v>
      </c>
      <c r="AL153" s="38" t="s">
        <v>119</v>
      </c>
      <c r="AM153" s="38" t="s">
        <v>119</v>
      </c>
      <c r="AN153" s="38" t="s">
        <v>119</v>
      </c>
      <c r="AO153" s="38" t="s">
        <v>119</v>
      </c>
      <c r="AP153" s="38" t="s">
        <v>119</v>
      </c>
      <c r="AQ153" s="38" t="s">
        <v>119</v>
      </c>
      <c r="AR153" s="38" t="s">
        <v>119</v>
      </c>
      <c r="AS153" s="38" t="s">
        <v>119</v>
      </c>
      <c r="AT153" s="38" t="s">
        <v>119</v>
      </c>
      <c r="AU153" s="38" t="s">
        <v>119</v>
      </c>
      <c r="AV153" s="38" t="s">
        <v>119</v>
      </c>
      <c r="AW153" s="38" t="s">
        <v>119</v>
      </c>
      <c r="AX153" s="38" t="s">
        <v>119</v>
      </c>
    </row>
    <row r="154" spans="1:50" x14ac:dyDescent="0.45">
      <c r="A154" s="38" t="s">
        <v>47</v>
      </c>
      <c r="B154" s="38">
        <v>156</v>
      </c>
      <c r="C154" s="38" t="s">
        <v>118</v>
      </c>
      <c r="D154" s="38" t="s">
        <v>119</v>
      </c>
      <c r="E154" s="38">
        <v>22000</v>
      </c>
      <c r="F154" s="38">
        <f t="shared" si="4"/>
        <v>22</v>
      </c>
      <c r="G154" s="38">
        <v>7608906.25</v>
      </c>
      <c r="H154" s="38">
        <f t="shared" si="5"/>
        <v>7.6089062500000004</v>
      </c>
      <c r="I154" s="38">
        <v>2740</v>
      </c>
      <c r="J154" s="38">
        <v>2740</v>
      </c>
      <c r="K154" s="38" t="s">
        <v>119</v>
      </c>
      <c r="L154" s="38" t="s">
        <v>119</v>
      </c>
      <c r="M154" s="38" t="s">
        <v>119</v>
      </c>
      <c r="N154" s="38">
        <v>10.956189999999999</v>
      </c>
      <c r="O154" s="38" t="s">
        <v>120</v>
      </c>
      <c r="P154" s="38" t="s">
        <v>120</v>
      </c>
      <c r="Q154" s="38" t="s">
        <v>119</v>
      </c>
      <c r="R154" s="38" t="s">
        <v>119</v>
      </c>
      <c r="S154" s="38" t="s">
        <v>119</v>
      </c>
      <c r="T154" s="38">
        <v>65.000933000000003</v>
      </c>
      <c r="U154" s="38">
        <v>77.285764</v>
      </c>
      <c r="V154" s="38" t="s">
        <v>119</v>
      </c>
      <c r="W154" s="38" t="s">
        <v>119</v>
      </c>
      <c r="X154" s="38" t="s">
        <v>119</v>
      </c>
      <c r="Y154" s="38" t="s">
        <v>119</v>
      </c>
      <c r="Z154" s="38" t="s">
        <v>119</v>
      </c>
      <c r="AA154" s="38" t="s">
        <v>119</v>
      </c>
      <c r="AB154" s="38" t="s">
        <v>119</v>
      </c>
      <c r="AC154" s="38" t="s">
        <v>119</v>
      </c>
      <c r="AD154" s="38" t="s">
        <v>119</v>
      </c>
      <c r="AE154" s="38" t="s">
        <v>119</v>
      </c>
      <c r="AF154" s="38" t="s">
        <v>119</v>
      </c>
      <c r="AG154" s="38" t="s">
        <v>119</v>
      </c>
      <c r="AH154" s="38" t="s">
        <v>119</v>
      </c>
      <c r="AI154" s="38" t="s">
        <v>119</v>
      </c>
      <c r="AJ154" s="38" t="s">
        <v>119</v>
      </c>
      <c r="AK154" s="38" t="s">
        <v>119</v>
      </c>
      <c r="AL154" s="38" t="s">
        <v>119</v>
      </c>
      <c r="AM154" s="38" t="s">
        <v>119</v>
      </c>
      <c r="AN154" s="38" t="s">
        <v>119</v>
      </c>
      <c r="AO154" s="38" t="s">
        <v>119</v>
      </c>
      <c r="AP154" s="38" t="s">
        <v>119</v>
      </c>
      <c r="AQ154" s="38" t="s">
        <v>119</v>
      </c>
      <c r="AR154" s="38" t="s">
        <v>119</v>
      </c>
      <c r="AS154" s="38" t="s">
        <v>119</v>
      </c>
      <c r="AT154" s="38" t="s">
        <v>119</v>
      </c>
      <c r="AU154" s="38" t="s">
        <v>119</v>
      </c>
      <c r="AV154" s="38" t="s">
        <v>119</v>
      </c>
      <c r="AW154" s="38" t="s">
        <v>119</v>
      </c>
      <c r="AX154" s="38" t="s">
        <v>119</v>
      </c>
    </row>
    <row r="155" spans="1:50" x14ac:dyDescent="0.45">
      <c r="A155" s="38" t="s">
        <v>48</v>
      </c>
      <c r="B155" s="38">
        <v>120</v>
      </c>
      <c r="C155" s="38" t="s">
        <v>118</v>
      </c>
      <c r="D155" s="38">
        <v>120</v>
      </c>
      <c r="E155" s="38">
        <v>12600</v>
      </c>
      <c r="F155" s="38">
        <f t="shared" si="4"/>
        <v>12.6</v>
      </c>
      <c r="G155" s="38">
        <v>2367031.25</v>
      </c>
      <c r="H155" s="38">
        <f t="shared" si="5"/>
        <v>2.3670312500000001</v>
      </c>
      <c r="I155" s="38">
        <v>2744</v>
      </c>
      <c r="J155" s="38">
        <v>2744</v>
      </c>
      <c r="K155" s="38" t="s">
        <v>119</v>
      </c>
      <c r="L155" s="38" t="s">
        <v>119</v>
      </c>
      <c r="M155" s="38" t="s">
        <v>119</v>
      </c>
      <c r="N155" s="38">
        <v>10.276615</v>
      </c>
      <c r="O155" s="38" t="s">
        <v>120</v>
      </c>
      <c r="P155" s="38" t="s">
        <v>120</v>
      </c>
      <c r="Q155" s="38" t="s">
        <v>119</v>
      </c>
      <c r="R155" s="38" t="s">
        <v>119</v>
      </c>
      <c r="S155" s="38" t="s">
        <v>119</v>
      </c>
      <c r="T155" s="38">
        <v>65.886431000000002</v>
      </c>
      <c r="U155" s="38">
        <v>76.378377999999998</v>
      </c>
      <c r="V155" s="38" t="s">
        <v>119</v>
      </c>
      <c r="W155" s="38" t="s">
        <v>119</v>
      </c>
      <c r="X155" s="38" t="s">
        <v>119</v>
      </c>
      <c r="Y155" s="38" t="s">
        <v>119</v>
      </c>
      <c r="Z155" s="38" t="s">
        <v>119</v>
      </c>
      <c r="AA155" s="38" t="s">
        <v>119</v>
      </c>
      <c r="AB155" s="38" t="s">
        <v>119</v>
      </c>
      <c r="AC155" s="38" t="s">
        <v>119</v>
      </c>
      <c r="AD155" s="38" t="s">
        <v>119</v>
      </c>
      <c r="AE155" s="38" t="s">
        <v>119</v>
      </c>
      <c r="AF155" s="38" t="s">
        <v>119</v>
      </c>
      <c r="AG155" s="38" t="s">
        <v>119</v>
      </c>
      <c r="AH155" s="38" t="s">
        <v>119</v>
      </c>
      <c r="AI155" s="38" t="s">
        <v>119</v>
      </c>
      <c r="AJ155" s="38" t="s">
        <v>119</v>
      </c>
      <c r="AK155" s="38" t="s">
        <v>119</v>
      </c>
      <c r="AL155" s="38" t="s">
        <v>119</v>
      </c>
      <c r="AM155" s="38" t="s">
        <v>119</v>
      </c>
      <c r="AN155" s="38" t="s">
        <v>119</v>
      </c>
      <c r="AO155" s="38" t="s">
        <v>119</v>
      </c>
      <c r="AP155" s="38" t="s">
        <v>119</v>
      </c>
      <c r="AQ155" s="38" t="s">
        <v>119</v>
      </c>
      <c r="AR155" s="38" t="s">
        <v>119</v>
      </c>
      <c r="AS155" s="38" t="s">
        <v>119</v>
      </c>
      <c r="AT155" s="38" t="s">
        <v>119</v>
      </c>
      <c r="AU155" s="38" t="s">
        <v>119</v>
      </c>
      <c r="AV155" s="38" t="s">
        <v>119</v>
      </c>
      <c r="AW155" s="38" t="s">
        <v>119</v>
      </c>
      <c r="AX155" s="38" t="s">
        <v>119</v>
      </c>
    </row>
    <row r="156" spans="1:50" x14ac:dyDescent="0.45">
      <c r="A156" s="38" t="s">
        <v>49</v>
      </c>
      <c r="B156" s="38">
        <v>157</v>
      </c>
      <c r="C156" s="38" t="s">
        <v>118</v>
      </c>
      <c r="D156" s="38" t="s">
        <v>119</v>
      </c>
      <c r="E156" s="38">
        <v>21325</v>
      </c>
      <c r="F156" s="38">
        <f t="shared" si="4"/>
        <v>21.324999999999999</v>
      </c>
      <c r="G156" s="38">
        <v>3580312.5</v>
      </c>
      <c r="H156" s="38">
        <f t="shared" si="5"/>
        <v>3.5803124999999998</v>
      </c>
      <c r="I156" s="38">
        <v>2745</v>
      </c>
      <c r="J156" s="38">
        <v>2745</v>
      </c>
      <c r="K156" s="38" t="s">
        <v>119</v>
      </c>
      <c r="L156" s="38" t="s">
        <v>119</v>
      </c>
      <c r="M156" s="38" t="s">
        <v>119</v>
      </c>
      <c r="N156" s="38">
        <v>15.764443</v>
      </c>
      <c r="O156" s="38" t="s">
        <v>120</v>
      </c>
      <c r="P156" s="38" t="s">
        <v>120</v>
      </c>
      <c r="Q156" s="38" t="s">
        <v>119</v>
      </c>
      <c r="R156" s="38" t="s">
        <v>119</v>
      </c>
      <c r="S156" s="38" t="s">
        <v>119</v>
      </c>
      <c r="T156" s="38">
        <v>70.011883999999995</v>
      </c>
      <c r="U156" s="38">
        <v>76.998634999999993</v>
      </c>
      <c r="V156" s="38" t="s">
        <v>119</v>
      </c>
      <c r="W156" s="38" t="s">
        <v>119</v>
      </c>
      <c r="X156" s="38" t="s">
        <v>119</v>
      </c>
      <c r="Y156" s="38" t="s">
        <v>119</v>
      </c>
      <c r="Z156" s="38" t="s">
        <v>119</v>
      </c>
      <c r="AA156" s="38" t="s">
        <v>119</v>
      </c>
      <c r="AB156" s="38" t="s">
        <v>119</v>
      </c>
      <c r="AC156" s="38" t="s">
        <v>119</v>
      </c>
      <c r="AD156" s="38" t="s">
        <v>119</v>
      </c>
      <c r="AE156" s="38" t="s">
        <v>119</v>
      </c>
      <c r="AF156" s="38" t="s">
        <v>119</v>
      </c>
      <c r="AG156" s="38" t="s">
        <v>119</v>
      </c>
      <c r="AH156" s="38" t="s">
        <v>119</v>
      </c>
      <c r="AI156" s="38" t="s">
        <v>119</v>
      </c>
      <c r="AJ156" s="38" t="s">
        <v>119</v>
      </c>
      <c r="AK156" s="38" t="s">
        <v>119</v>
      </c>
      <c r="AL156" s="38" t="s">
        <v>119</v>
      </c>
      <c r="AM156" s="38" t="s">
        <v>119</v>
      </c>
      <c r="AN156" s="38" t="s">
        <v>119</v>
      </c>
      <c r="AO156" s="38" t="s">
        <v>119</v>
      </c>
      <c r="AP156" s="38" t="s">
        <v>119</v>
      </c>
      <c r="AQ156" s="38" t="s">
        <v>119</v>
      </c>
      <c r="AR156" s="38" t="s">
        <v>119</v>
      </c>
      <c r="AS156" s="38" t="s">
        <v>119</v>
      </c>
      <c r="AT156" s="38" t="s">
        <v>119</v>
      </c>
      <c r="AU156" s="38" t="s">
        <v>119</v>
      </c>
      <c r="AV156" s="38" t="s">
        <v>119</v>
      </c>
      <c r="AW156" s="38" t="s">
        <v>119</v>
      </c>
      <c r="AX156" s="38" t="s">
        <v>119</v>
      </c>
    </row>
    <row r="157" spans="1:50" x14ac:dyDescent="0.45">
      <c r="A157" s="38" t="s">
        <v>50</v>
      </c>
      <c r="B157" s="38">
        <v>137</v>
      </c>
      <c r="C157" s="38" t="s">
        <v>118</v>
      </c>
      <c r="D157" s="38">
        <v>137</v>
      </c>
      <c r="E157" s="38">
        <v>7325</v>
      </c>
      <c r="F157" s="38">
        <f t="shared" si="4"/>
        <v>7.3250000000000002</v>
      </c>
      <c r="G157" s="38">
        <v>1023593.75</v>
      </c>
      <c r="H157" s="38">
        <f t="shared" si="5"/>
        <v>1.0235937500000001</v>
      </c>
      <c r="I157" s="38">
        <v>2749</v>
      </c>
      <c r="J157" s="38">
        <v>2749</v>
      </c>
      <c r="K157" s="38" t="s">
        <v>119</v>
      </c>
      <c r="L157" s="38" t="s">
        <v>119</v>
      </c>
      <c r="M157" s="38" t="s">
        <v>119</v>
      </c>
      <c r="N157" s="38">
        <v>12.772862999999999</v>
      </c>
      <c r="O157" s="38" t="s">
        <v>120</v>
      </c>
      <c r="P157" s="38" t="s">
        <v>120</v>
      </c>
      <c r="Q157" s="38" t="s">
        <v>119</v>
      </c>
      <c r="R157" s="38" t="s">
        <v>119</v>
      </c>
      <c r="S157" s="38" t="s">
        <v>119</v>
      </c>
      <c r="T157" s="38">
        <v>55.476737999999997</v>
      </c>
      <c r="U157" s="38">
        <v>76.060128000000006</v>
      </c>
      <c r="V157" s="38" t="s">
        <v>119</v>
      </c>
      <c r="W157" s="38" t="s">
        <v>119</v>
      </c>
      <c r="X157" s="38" t="s">
        <v>119</v>
      </c>
      <c r="Y157" s="38" t="s">
        <v>119</v>
      </c>
      <c r="Z157" s="38" t="s">
        <v>119</v>
      </c>
      <c r="AA157" s="38" t="s">
        <v>119</v>
      </c>
      <c r="AB157" s="38" t="s">
        <v>119</v>
      </c>
      <c r="AC157" s="38" t="s">
        <v>119</v>
      </c>
      <c r="AD157" s="38" t="s">
        <v>119</v>
      </c>
      <c r="AE157" s="38" t="s">
        <v>119</v>
      </c>
      <c r="AF157" s="38" t="s">
        <v>119</v>
      </c>
      <c r="AG157" s="38" t="s">
        <v>119</v>
      </c>
      <c r="AH157" s="38" t="s">
        <v>119</v>
      </c>
      <c r="AI157" s="38" t="s">
        <v>119</v>
      </c>
      <c r="AJ157" s="38" t="s">
        <v>119</v>
      </c>
      <c r="AK157" s="38" t="s">
        <v>119</v>
      </c>
      <c r="AL157" s="38" t="s">
        <v>119</v>
      </c>
      <c r="AM157" s="38" t="s">
        <v>119</v>
      </c>
      <c r="AN157" s="38" t="s">
        <v>119</v>
      </c>
      <c r="AO157" s="38" t="s">
        <v>119</v>
      </c>
      <c r="AP157" s="38" t="s">
        <v>119</v>
      </c>
      <c r="AQ157" s="38" t="s">
        <v>119</v>
      </c>
      <c r="AR157" s="38" t="s">
        <v>119</v>
      </c>
      <c r="AS157" s="38" t="s">
        <v>119</v>
      </c>
      <c r="AT157" s="38" t="s">
        <v>119</v>
      </c>
      <c r="AU157" s="38" t="s">
        <v>119</v>
      </c>
      <c r="AV157" s="38" t="s">
        <v>119</v>
      </c>
      <c r="AW157" s="38" t="s">
        <v>119</v>
      </c>
      <c r="AX157" s="38" t="s">
        <v>119</v>
      </c>
    </row>
    <row r="158" spans="1:50" x14ac:dyDescent="0.45">
      <c r="A158" s="38" t="s">
        <v>51</v>
      </c>
      <c r="B158" s="38">
        <v>158</v>
      </c>
      <c r="C158" s="38" t="s">
        <v>118</v>
      </c>
      <c r="D158" s="38" t="s">
        <v>119</v>
      </c>
      <c r="E158" s="38">
        <v>9025</v>
      </c>
      <c r="F158" s="38">
        <f t="shared" si="4"/>
        <v>9.0250000000000004</v>
      </c>
      <c r="G158" s="38">
        <v>1127031.25</v>
      </c>
      <c r="H158" s="38">
        <f t="shared" si="5"/>
        <v>1.1270312499999999</v>
      </c>
      <c r="I158" s="38">
        <v>2750</v>
      </c>
      <c r="J158" s="38">
        <v>2750</v>
      </c>
      <c r="K158" s="38" t="s">
        <v>119</v>
      </c>
      <c r="L158" s="38" t="s">
        <v>119</v>
      </c>
      <c r="M158" s="38" t="s">
        <v>119</v>
      </c>
      <c r="N158" s="38">
        <v>9.4358780000000007</v>
      </c>
      <c r="O158" s="38" t="s">
        <v>120</v>
      </c>
      <c r="P158" s="38" t="s">
        <v>120</v>
      </c>
      <c r="Q158" s="38" t="s">
        <v>119</v>
      </c>
      <c r="R158" s="38" t="s">
        <v>119</v>
      </c>
      <c r="S158" s="38" t="s">
        <v>119</v>
      </c>
      <c r="T158" s="38">
        <v>60.213278000000003</v>
      </c>
      <c r="U158" s="38">
        <v>75.869365000000002</v>
      </c>
      <c r="V158" s="38" t="s">
        <v>119</v>
      </c>
      <c r="W158" s="38" t="s">
        <v>119</v>
      </c>
      <c r="X158" s="38" t="s">
        <v>119</v>
      </c>
      <c r="Y158" s="38" t="s">
        <v>119</v>
      </c>
      <c r="Z158" s="38" t="s">
        <v>119</v>
      </c>
      <c r="AA158" s="38" t="s">
        <v>119</v>
      </c>
      <c r="AB158" s="38" t="s">
        <v>119</v>
      </c>
      <c r="AC158" s="38" t="s">
        <v>119</v>
      </c>
      <c r="AD158" s="38" t="s">
        <v>119</v>
      </c>
      <c r="AE158" s="38" t="s">
        <v>119</v>
      </c>
      <c r="AF158" s="38" t="s">
        <v>119</v>
      </c>
      <c r="AG158" s="38" t="s">
        <v>119</v>
      </c>
      <c r="AH158" s="38" t="s">
        <v>119</v>
      </c>
      <c r="AI158" s="38" t="s">
        <v>119</v>
      </c>
      <c r="AJ158" s="38" t="s">
        <v>119</v>
      </c>
      <c r="AK158" s="38" t="s">
        <v>119</v>
      </c>
      <c r="AL158" s="38" t="s">
        <v>119</v>
      </c>
      <c r="AM158" s="38" t="s">
        <v>119</v>
      </c>
      <c r="AN158" s="38" t="s">
        <v>119</v>
      </c>
      <c r="AO158" s="38" t="s">
        <v>119</v>
      </c>
      <c r="AP158" s="38" t="s">
        <v>119</v>
      </c>
      <c r="AQ158" s="38" t="s">
        <v>119</v>
      </c>
      <c r="AR158" s="38" t="s">
        <v>119</v>
      </c>
      <c r="AS158" s="38" t="s">
        <v>119</v>
      </c>
      <c r="AT158" s="38" t="s">
        <v>119</v>
      </c>
      <c r="AU158" s="38" t="s">
        <v>119</v>
      </c>
      <c r="AV158" s="38" t="s">
        <v>119</v>
      </c>
      <c r="AW158" s="38" t="s">
        <v>119</v>
      </c>
      <c r="AX158" s="38" t="s">
        <v>119</v>
      </c>
    </row>
    <row r="159" spans="1:50" x14ac:dyDescent="0.45">
      <c r="A159" s="38" t="s">
        <v>232</v>
      </c>
      <c r="B159" s="38">
        <v>159</v>
      </c>
      <c r="C159" s="38" t="s">
        <v>118</v>
      </c>
      <c r="D159" s="38" t="s">
        <v>119</v>
      </c>
      <c r="E159" s="38">
        <v>3925</v>
      </c>
      <c r="F159" s="38">
        <f t="shared" si="4"/>
        <v>3.9249999999999998</v>
      </c>
      <c r="G159" s="38">
        <v>367187.5</v>
      </c>
      <c r="H159" s="38">
        <f t="shared" si="5"/>
        <v>0.3671875</v>
      </c>
      <c r="I159" s="38">
        <v>2760</v>
      </c>
      <c r="J159" s="38">
        <v>2760</v>
      </c>
      <c r="K159" s="38" t="s">
        <v>119</v>
      </c>
      <c r="L159" s="38" t="s">
        <v>119</v>
      </c>
      <c r="M159" s="38" t="s">
        <v>119</v>
      </c>
      <c r="N159" s="38">
        <v>7.9369990000000001</v>
      </c>
      <c r="O159" s="38" t="s">
        <v>120</v>
      </c>
      <c r="P159" s="38" t="s">
        <v>120</v>
      </c>
      <c r="Q159" s="38" t="s">
        <v>119</v>
      </c>
      <c r="R159" s="38" t="s">
        <v>119</v>
      </c>
      <c r="S159" s="38" t="s">
        <v>119</v>
      </c>
      <c r="T159" s="38">
        <v>55.682291999999997</v>
      </c>
      <c r="U159" s="38">
        <v>75.825726000000003</v>
      </c>
      <c r="V159" s="38" t="s">
        <v>119</v>
      </c>
      <c r="W159" s="38" t="s">
        <v>119</v>
      </c>
      <c r="X159" s="38" t="s">
        <v>119</v>
      </c>
      <c r="Y159" s="38" t="s">
        <v>119</v>
      </c>
      <c r="Z159" s="38" t="s">
        <v>119</v>
      </c>
      <c r="AA159" s="38" t="s">
        <v>119</v>
      </c>
      <c r="AB159" s="38" t="s">
        <v>119</v>
      </c>
      <c r="AC159" s="38" t="s">
        <v>119</v>
      </c>
      <c r="AD159" s="38" t="s">
        <v>119</v>
      </c>
      <c r="AE159" s="38" t="s">
        <v>119</v>
      </c>
      <c r="AF159" s="38" t="s">
        <v>119</v>
      </c>
      <c r="AG159" s="38" t="s">
        <v>119</v>
      </c>
      <c r="AH159" s="38" t="s">
        <v>119</v>
      </c>
      <c r="AI159" s="38" t="s">
        <v>119</v>
      </c>
      <c r="AJ159" s="38" t="s">
        <v>119</v>
      </c>
      <c r="AK159" s="38" t="s">
        <v>119</v>
      </c>
      <c r="AL159" s="38" t="s">
        <v>119</v>
      </c>
      <c r="AM159" s="38" t="s">
        <v>119</v>
      </c>
      <c r="AN159" s="38" t="s">
        <v>119</v>
      </c>
      <c r="AO159" s="38" t="s">
        <v>119</v>
      </c>
      <c r="AP159" s="38" t="s">
        <v>119</v>
      </c>
      <c r="AQ159" s="38" t="s">
        <v>119</v>
      </c>
      <c r="AR159" s="38" t="s">
        <v>119</v>
      </c>
      <c r="AS159" s="38" t="s">
        <v>119</v>
      </c>
      <c r="AT159" s="38" t="s">
        <v>119</v>
      </c>
      <c r="AU159" s="38" t="s">
        <v>119</v>
      </c>
      <c r="AV159" s="38" t="s">
        <v>119</v>
      </c>
      <c r="AW159" s="38" t="s">
        <v>119</v>
      </c>
      <c r="AX159" s="38" t="s">
        <v>119</v>
      </c>
    </row>
    <row r="160" spans="1:50" x14ac:dyDescent="0.45">
      <c r="A160" s="38" t="s">
        <v>233</v>
      </c>
      <c r="B160" s="38">
        <v>160</v>
      </c>
      <c r="C160" s="38" t="s">
        <v>118</v>
      </c>
      <c r="D160" s="38" t="s">
        <v>119</v>
      </c>
      <c r="E160" s="38">
        <v>33600</v>
      </c>
      <c r="F160" s="38">
        <f t="shared" si="4"/>
        <v>33.6</v>
      </c>
      <c r="G160" s="38">
        <v>14730156.25</v>
      </c>
      <c r="H160" s="38">
        <f t="shared" si="5"/>
        <v>14.73015625</v>
      </c>
      <c r="I160" s="38">
        <v>2761</v>
      </c>
      <c r="J160" s="38">
        <v>2761</v>
      </c>
      <c r="K160" s="38" t="s">
        <v>119</v>
      </c>
      <c r="L160" s="38" t="s">
        <v>119</v>
      </c>
      <c r="M160" s="38" t="s">
        <v>119</v>
      </c>
      <c r="N160" s="38">
        <v>13.335241999999999</v>
      </c>
      <c r="O160" s="38" t="s">
        <v>120</v>
      </c>
      <c r="P160" s="38" t="s">
        <v>120</v>
      </c>
      <c r="Q160" s="38" t="s">
        <v>119</v>
      </c>
      <c r="R160" s="38" t="s">
        <v>119</v>
      </c>
      <c r="S160" s="38" t="s">
        <v>119</v>
      </c>
      <c r="T160" s="38">
        <v>51.961928</v>
      </c>
      <c r="U160" s="38">
        <v>76.148651999999998</v>
      </c>
      <c r="V160" s="38" t="s">
        <v>119</v>
      </c>
      <c r="W160" s="38" t="s">
        <v>119</v>
      </c>
      <c r="X160" s="38" t="s">
        <v>119</v>
      </c>
      <c r="Y160" s="38" t="s">
        <v>119</v>
      </c>
      <c r="Z160" s="38" t="s">
        <v>119</v>
      </c>
      <c r="AA160" s="38" t="s">
        <v>119</v>
      </c>
      <c r="AB160" s="38" t="s">
        <v>119</v>
      </c>
      <c r="AC160" s="38" t="s">
        <v>119</v>
      </c>
      <c r="AD160" s="38" t="s">
        <v>119</v>
      </c>
      <c r="AE160" s="38" t="s">
        <v>119</v>
      </c>
      <c r="AF160" s="38" t="s">
        <v>119</v>
      </c>
      <c r="AG160" s="38" t="s">
        <v>119</v>
      </c>
      <c r="AH160" s="38" t="s">
        <v>119</v>
      </c>
      <c r="AI160" s="38" t="s">
        <v>119</v>
      </c>
      <c r="AJ160" s="38" t="s">
        <v>119</v>
      </c>
      <c r="AK160" s="38" t="s">
        <v>119</v>
      </c>
      <c r="AL160" s="38" t="s">
        <v>119</v>
      </c>
      <c r="AM160" s="38" t="s">
        <v>119</v>
      </c>
      <c r="AN160" s="38" t="s">
        <v>119</v>
      </c>
      <c r="AO160" s="38" t="s">
        <v>119</v>
      </c>
      <c r="AP160" s="38" t="s">
        <v>119</v>
      </c>
      <c r="AQ160" s="38" t="s">
        <v>119</v>
      </c>
      <c r="AR160" s="38" t="s">
        <v>119</v>
      </c>
      <c r="AS160" s="38" t="s">
        <v>119</v>
      </c>
      <c r="AT160" s="38" t="s">
        <v>119</v>
      </c>
      <c r="AU160" s="38" t="s">
        <v>119</v>
      </c>
      <c r="AV160" s="38" t="s">
        <v>119</v>
      </c>
      <c r="AW160" s="38" t="s">
        <v>119</v>
      </c>
      <c r="AX160" s="38" t="s">
        <v>119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2FE3D0-886C-478E-A2C7-6F25E24529AB}">
  <dimension ref="A1:X160"/>
  <sheetViews>
    <sheetView showGridLines="0" zoomScale="115" zoomScaleNormal="115" workbookViewId="0">
      <pane ySplit="1" topLeftCell="A2" activePane="bottomLeft" state="frozen"/>
      <selection pane="bottomLeft" activeCell="A2" sqref="A2"/>
    </sheetView>
  </sheetViews>
  <sheetFormatPr defaultColWidth="11.3984375" defaultRowHeight="15.4" x14ac:dyDescent="0.45"/>
  <cols>
    <col min="1" max="1" width="7" style="38" bestFit="1" customWidth="1"/>
    <col min="2" max="2" width="10.1328125" style="38" bestFit="1" customWidth="1"/>
    <col min="3" max="3" width="7.59765625" style="38" bestFit="1" customWidth="1"/>
    <col min="4" max="4" width="4.73046875" style="38" bestFit="1" customWidth="1"/>
    <col min="5" max="5" width="8.59765625" style="38" bestFit="1" customWidth="1"/>
    <col min="6" max="6" width="9.3984375" style="38" bestFit="1" customWidth="1"/>
    <col min="7" max="7" width="7.265625" style="38" bestFit="1" customWidth="1"/>
    <col min="8" max="8" width="12" style="38" bestFit="1" customWidth="1"/>
    <col min="9" max="9" width="14.59765625" style="38" bestFit="1" customWidth="1"/>
    <col min="10" max="10" width="7.3984375" style="38" bestFit="1" customWidth="1"/>
    <col min="11" max="11" width="10.86328125" style="38" bestFit="1" customWidth="1"/>
    <col min="12" max="12" width="6.86328125" style="38" bestFit="1" customWidth="1"/>
    <col min="13" max="14" width="9" style="38" bestFit="1" customWidth="1"/>
    <col min="15" max="16" width="6.3984375" style="38" bestFit="1" customWidth="1"/>
    <col min="17" max="17" width="12" style="38" bestFit="1" customWidth="1"/>
    <col min="18" max="18" width="13.1328125" style="38" bestFit="1" customWidth="1"/>
    <col min="19" max="19" width="12.265625" style="38" bestFit="1" customWidth="1"/>
    <col min="20" max="20" width="8.86328125" style="38" bestFit="1" customWidth="1"/>
    <col min="21" max="21" width="8.265625" style="38" bestFit="1" customWidth="1"/>
    <col min="22" max="22" width="8.86328125" style="38" bestFit="1" customWidth="1"/>
    <col min="23" max="23" width="9.86328125" style="38" bestFit="1" customWidth="1"/>
    <col min="24" max="24" width="10.1328125" style="38" bestFit="1" customWidth="1"/>
    <col min="25" max="25" width="10.73046875" style="38" bestFit="1" customWidth="1"/>
    <col min="26" max="16384" width="11.3984375" style="38"/>
  </cols>
  <sheetData>
    <row r="1" spans="1:24" x14ac:dyDescent="0.45">
      <c r="A1" s="38" t="s">
        <v>69</v>
      </c>
      <c r="B1" s="38" t="s">
        <v>70</v>
      </c>
      <c r="C1" s="38" t="s">
        <v>71</v>
      </c>
      <c r="D1" s="38" t="s">
        <v>240</v>
      </c>
      <c r="E1" s="38" t="s">
        <v>241</v>
      </c>
      <c r="F1" s="38" t="s">
        <v>242</v>
      </c>
      <c r="G1" s="38" t="s">
        <v>243</v>
      </c>
      <c r="H1" s="38" t="s">
        <v>73</v>
      </c>
      <c r="I1" s="38" t="s">
        <v>234</v>
      </c>
      <c r="J1" s="38" t="s">
        <v>75</v>
      </c>
      <c r="K1" s="38" t="s">
        <v>244</v>
      </c>
      <c r="L1" s="38" t="s">
        <v>76</v>
      </c>
      <c r="M1" s="38" t="s">
        <v>245</v>
      </c>
      <c r="N1" s="38" t="s">
        <v>246</v>
      </c>
      <c r="O1" s="38" t="s">
        <v>247</v>
      </c>
      <c r="P1" s="38" t="s">
        <v>248</v>
      </c>
      <c r="Q1" s="38" t="s">
        <v>249</v>
      </c>
      <c r="R1" s="38" t="s">
        <v>250</v>
      </c>
      <c r="S1" s="38" t="s">
        <v>251</v>
      </c>
      <c r="T1" s="38" t="s">
        <v>252</v>
      </c>
      <c r="U1" s="38" t="s">
        <v>253</v>
      </c>
      <c r="V1" s="38" t="s">
        <v>254</v>
      </c>
      <c r="W1" s="38" t="s">
        <v>77</v>
      </c>
      <c r="X1" s="38" t="s">
        <v>255</v>
      </c>
    </row>
    <row r="2" spans="1:24" x14ac:dyDescent="0.45">
      <c r="A2" s="38" t="s">
        <v>256</v>
      </c>
      <c r="B2" s="38">
        <v>1</v>
      </c>
      <c r="C2" s="38" t="s">
        <v>257</v>
      </c>
      <c r="D2" s="38">
        <v>1</v>
      </c>
      <c r="E2" s="38">
        <v>1</v>
      </c>
      <c r="F2" s="38">
        <v>1</v>
      </c>
      <c r="G2" s="38">
        <v>3</v>
      </c>
      <c r="H2" s="38">
        <v>2694.9431800000002</v>
      </c>
      <c r="I2" s="38">
        <f>H2/1000</f>
        <v>2.6949431800000001</v>
      </c>
      <c r="J2" s="38">
        <v>2416</v>
      </c>
      <c r="K2" s="38">
        <v>2418</v>
      </c>
      <c r="L2" s="38">
        <v>2567</v>
      </c>
      <c r="M2" s="38">
        <v>0.10649599999999999</v>
      </c>
      <c r="N2" s="38">
        <v>0.442359</v>
      </c>
      <c r="O2" s="38">
        <v>1765</v>
      </c>
      <c r="P2" s="38">
        <v>1478</v>
      </c>
      <c r="Q2" s="38">
        <v>2694.9431800000002</v>
      </c>
      <c r="R2" s="38" t="s">
        <v>119</v>
      </c>
      <c r="S2" s="38" t="s">
        <v>119</v>
      </c>
      <c r="T2" s="38" t="s">
        <v>119</v>
      </c>
      <c r="U2" s="38" t="s">
        <v>119</v>
      </c>
      <c r="V2" s="38" t="s">
        <v>119</v>
      </c>
      <c r="W2" s="38" t="s">
        <v>119</v>
      </c>
      <c r="X2" s="38" t="s">
        <v>258</v>
      </c>
    </row>
    <row r="3" spans="1:24" x14ac:dyDescent="0.45">
      <c r="A3" s="38" t="s">
        <v>259</v>
      </c>
      <c r="B3" s="38">
        <v>2</v>
      </c>
      <c r="C3" s="38" t="s">
        <v>257</v>
      </c>
      <c r="D3" s="38">
        <v>2</v>
      </c>
      <c r="E3" s="38">
        <v>2</v>
      </c>
      <c r="F3" s="38">
        <v>2</v>
      </c>
      <c r="G3" s="38">
        <v>3</v>
      </c>
      <c r="H3" s="38">
        <v>3330.006762</v>
      </c>
      <c r="I3" s="38">
        <f t="shared" ref="I3:I66" si="0">H3/1000</f>
        <v>3.330006762</v>
      </c>
      <c r="J3" s="38">
        <v>2417</v>
      </c>
      <c r="K3" s="38">
        <v>2418</v>
      </c>
      <c r="L3" s="38">
        <v>2568</v>
      </c>
      <c r="M3" s="38">
        <v>9.8498000000000002E-2</v>
      </c>
      <c r="N3" s="38">
        <v>0.46173799999999998</v>
      </c>
      <c r="O3" s="38">
        <v>1806</v>
      </c>
      <c r="P3" s="38">
        <v>1478</v>
      </c>
      <c r="Q3" s="38">
        <v>3330.006762</v>
      </c>
      <c r="R3" s="38" t="s">
        <v>119</v>
      </c>
      <c r="S3" s="38" t="s">
        <v>119</v>
      </c>
      <c r="T3" s="38" t="s">
        <v>119</v>
      </c>
      <c r="U3" s="38" t="s">
        <v>119</v>
      </c>
      <c r="V3" s="38" t="s">
        <v>119</v>
      </c>
      <c r="W3" s="38" t="s">
        <v>119</v>
      </c>
      <c r="X3" s="38" t="s">
        <v>258</v>
      </c>
    </row>
    <row r="4" spans="1:24" x14ac:dyDescent="0.45">
      <c r="A4" s="38" t="s">
        <v>260</v>
      </c>
      <c r="B4" s="38">
        <v>3</v>
      </c>
      <c r="C4" s="38" t="s">
        <v>257</v>
      </c>
      <c r="D4" s="38">
        <v>3</v>
      </c>
      <c r="E4" s="38">
        <v>3</v>
      </c>
      <c r="F4" s="38">
        <v>3</v>
      </c>
      <c r="G4" s="38">
        <v>7</v>
      </c>
      <c r="H4" s="38">
        <v>5314.3028459999996</v>
      </c>
      <c r="I4" s="38">
        <f t="shared" si="0"/>
        <v>5.3143028459999995</v>
      </c>
      <c r="J4" s="38">
        <v>2418</v>
      </c>
      <c r="K4" s="38">
        <v>2421</v>
      </c>
      <c r="L4" s="38">
        <v>2569</v>
      </c>
      <c r="M4" s="38">
        <v>4.7419000000000003E-2</v>
      </c>
      <c r="N4" s="38">
        <v>0.34542200000000001</v>
      </c>
      <c r="O4" s="38">
        <v>1478</v>
      </c>
      <c r="P4" s="38">
        <v>1226</v>
      </c>
      <c r="Q4" s="38">
        <v>5314.3028459999996</v>
      </c>
      <c r="R4" s="38" t="s">
        <v>119</v>
      </c>
      <c r="S4" s="38" t="s">
        <v>119</v>
      </c>
      <c r="T4" s="38" t="s">
        <v>119</v>
      </c>
      <c r="U4" s="38" t="s">
        <v>119</v>
      </c>
      <c r="V4" s="38" t="s">
        <v>119</v>
      </c>
      <c r="W4" s="38" t="s">
        <v>119</v>
      </c>
      <c r="X4" s="38" t="s">
        <v>258</v>
      </c>
    </row>
    <row r="5" spans="1:24" x14ac:dyDescent="0.45">
      <c r="A5" s="38" t="s">
        <v>261</v>
      </c>
      <c r="B5" s="38">
        <v>4</v>
      </c>
      <c r="C5" s="38" t="s">
        <v>257</v>
      </c>
      <c r="D5" s="38">
        <v>4</v>
      </c>
      <c r="E5" s="38">
        <v>4</v>
      </c>
      <c r="F5" s="38">
        <v>4</v>
      </c>
      <c r="G5" s="38">
        <v>7</v>
      </c>
      <c r="H5" s="38">
        <v>4099.537335</v>
      </c>
      <c r="I5" s="38">
        <f t="shared" si="0"/>
        <v>4.0995373349999999</v>
      </c>
      <c r="J5" s="38">
        <v>2419</v>
      </c>
      <c r="K5" s="38">
        <v>2421</v>
      </c>
      <c r="L5" s="38">
        <v>2570</v>
      </c>
      <c r="M5" s="38">
        <v>9.1230000000000006E-2</v>
      </c>
      <c r="N5" s="38">
        <v>0.39251000000000003</v>
      </c>
      <c r="O5" s="38">
        <v>1600</v>
      </c>
      <c r="P5" s="38">
        <v>1226</v>
      </c>
      <c r="Q5" s="38">
        <v>4099.537335</v>
      </c>
      <c r="R5" s="38" t="s">
        <v>119</v>
      </c>
      <c r="S5" s="38" t="s">
        <v>119</v>
      </c>
      <c r="T5" s="38" t="s">
        <v>119</v>
      </c>
      <c r="U5" s="38" t="s">
        <v>119</v>
      </c>
      <c r="V5" s="38" t="s">
        <v>119</v>
      </c>
      <c r="W5" s="38" t="s">
        <v>119</v>
      </c>
      <c r="X5" s="38" t="s">
        <v>258</v>
      </c>
    </row>
    <row r="6" spans="1:24" x14ac:dyDescent="0.45">
      <c r="A6" s="38" t="s">
        <v>262</v>
      </c>
      <c r="B6" s="38">
        <v>7</v>
      </c>
      <c r="C6" s="38" t="s">
        <v>257</v>
      </c>
      <c r="D6" s="38">
        <v>7</v>
      </c>
      <c r="E6" s="38">
        <v>5</v>
      </c>
      <c r="F6" s="38">
        <v>5</v>
      </c>
      <c r="G6" s="38">
        <v>11</v>
      </c>
      <c r="H6" s="38">
        <v>3879.6387960000002</v>
      </c>
      <c r="I6" s="38">
        <f t="shared" si="0"/>
        <v>3.8796387960000001</v>
      </c>
      <c r="J6" s="38">
        <v>2422</v>
      </c>
      <c r="K6" s="38">
        <v>2424</v>
      </c>
      <c r="L6" s="38">
        <v>2571</v>
      </c>
      <c r="M6" s="38">
        <v>7.6811000000000004E-2</v>
      </c>
      <c r="N6" s="38">
        <v>0.23160600000000001</v>
      </c>
      <c r="O6" s="38">
        <v>1643</v>
      </c>
      <c r="P6" s="38">
        <v>1345</v>
      </c>
      <c r="Q6" s="38">
        <v>3879.6387960000002</v>
      </c>
      <c r="R6" s="38" t="s">
        <v>119</v>
      </c>
      <c r="S6" s="38" t="s">
        <v>119</v>
      </c>
      <c r="T6" s="38" t="s">
        <v>119</v>
      </c>
      <c r="U6" s="38" t="s">
        <v>119</v>
      </c>
      <c r="V6" s="38" t="s">
        <v>119</v>
      </c>
      <c r="W6" s="38" t="s">
        <v>119</v>
      </c>
      <c r="X6" s="38" t="s">
        <v>258</v>
      </c>
    </row>
    <row r="7" spans="1:24" x14ac:dyDescent="0.45">
      <c r="A7" s="38" t="s">
        <v>263</v>
      </c>
      <c r="B7" s="38">
        <v>5</v>
      </c>
      <c r="C7" s="38" t="s">
        <v>257</v>
      </c>
      <c r="D7" s="38">
        <v>5</v>
      </c>
      <c r="E7" s="38">
        <v>6</v>
      </c>
      <c r="F7" s="38">
        <v>6</v>
      </c>
      <c r="G7" s="38">
        <v>8</v>
      </c>
      <c r="H7" s="38">
        <v>904.70192899999995</v>
      </c>
      <c r="I7" s="38">
        <f t="shared" si="0"/>
        <v>0.9047019289999999</v>
      </c>
      <c r="J7" s="38">
        <v>2420</v>
      </c>
      <c r="K7" s="38">
        <v>2425</v>
      </c>
      <c r="L7" s="38">
        <v>2572</v>
      </c>
      <c r="M7" s="38">
        <v>0.11716600000000001</v>
      </c>
      <c r="N7" s="38">
        <v>0.24660199999999999</v>
      </c>
      <c r="O7" s="38">
        <v>1292</v>
      </c>
      <c r="P7" s="38">
        <v>1186</v>
      </c>
      <c r="Q7" s="38">
        <v>904.70192899999995</v>
      </c>
      <c r="R7" s="38" t="s">
        <v>119</v>
      </c>
      <c r="S7" s="38" t="s">
        <v>119</v>
      </c>
      <c r="T7" s="38" t="s">
        <v>119</v>
      </c>
      <c r="U7" s="38" t="s">
        <v>119</v>
      </c>
      <c r="V7" s="38" t="s">
        <v>119</v>
      </c>
      <c r="W7" s="38" t="s">
        <v>119</v>
      </c>
      <c r="X7" s="38" t="s">
        <v>258</v>
      </c>
    </row>
    <row r="8" spans="1:24" x14ac:dyDescent="0.45">
      <c r="A8" s="38" t="s">
        <v>264</v>
      </c>
      <c r="B8" s="38">
        <v>6</v>
      </c>
      <c r="C8" s="38" t="s">
        <v>257</v>
      </c>
      <c r="D8" s="38">
        <v>6</v>
      </c>
      <c r="E8" s="38">
        <v>7</v>
      </c>
      <c r="F8" s="38">
        <v>7</v>
      </c>
      <c r="G8" s="38">
        <v>8</v>
      </c>
      <c r="H8" s="38">
        <v>1298.896103</v>
      </c>
      <c r="I8" s="38">
        <f t="shared" si="0"/>
        <v>1.2988961030000001</v>
      </c>
      <c r="J8" s="38">
        <v>2421</v>
      </c>
      <c r="K8" s="38">
        <v>2425</v>
      </c>
      <c r="L8" s="38">
        <v>2573</v>
      </c>
      <c r="M8" s="38">
        <v>3.0794999999999999E-2</v>
      </c>
      <c r="N8" s="38">
        <v>0.38075700000000001</v>
      </c>
      <c r="O8" s="38">
        <v>1226</v>
      </c>
      <c r="P8" s="38">
        <v>1186</v>
      </c>
      <c r="Q8" s="38">
        <v>1298.896103</v>
      </c>
      <c r="R8" s="38" t="s">
        <v>119</v>
      </c>
      <c r="S8" s="38" t="s">
        <v>119</v>
      </c>
      <c r="T8" s="38" t="s">
        <v>119</v>
      </c>
      <c r="U8" s="38" t="s">
        <v>119</v>
      </c>
      <c r="V8" s="38" t="s">
        <v>119</v>
      </c>
      <c r="W8" s="38" t="s">
        <v>119</v>
      </c>
      <c r="X8" s="38" t="s">
        <v>258</v>
      </c>
    </row>
    <row r="9" spans="1:24" x14ac:dyDescent="0.45">
      <c r="A9" s="38" t="s">
        <v>265</v>
      </c>
      <c r="B9" s="38">
        <v>10</v>
      </c>
      <c r="C9" s="38" t="s">
        <v>257</v>
      </c>
      <c r="D9" s="38">
        <v>10</v>
      </c>
      <c r="E9" s="38">
        <v>8</v>
      </c>
      <c r="F9" s="38">
        <v>8</v>
      </c>
      <c r="G9" s="38">
        <v>13</v>
      </c>
      <c r="H9" s="38">
        <v>4252.3863609999999</v>
      </c>
      <c r="I9" s="38">
        <f t="shared" si="0"/>
        <v>4.2523863610000001</v>
      </c>
      <c r="J9" s="38">
        <v>2425</v>
      </c>
      <c r="K9" s="38">
        <v>2427</v>
      </c>
      <c r="L9" s="38">
        <v>2574</v>
      </c>
      <c r="M9" s="38">
        <v>3.9978E-2</v>
      </c>
      <c r="N9" s="38">
        <v>0.45184999999999997</v>
      </c>
      <c r="O9" s="38">
        <v>1186</v>
      </c>
      <c r="P9" s="38">
        <v>1016</v>
      </c>
      <c r="Q9" s="38">
        <v>4252.3863609999999</v>
      </c>
      <c r="R9" s="38" t="s">
        <v>119</v>
      </c>
      <c r="S9" s="38" t="s">
        <v>119</v>
      </c>
      <c r="T9" s="38" t="s">
        <v>119</v>
      </c>
      <c r="U9" s="38" t="s">
        <v>119</v>
      </c>
      <c r="V9" s="38" t="s">
        <v>119</v>
      </c>
      <c r="W9" s="38" t="s">
        <v>119</v>
      </c>
      <c r="X9" s="38" t="s">
        <v>258</v>
      </c>
    </row>
    <row r="10" spans="1:24" x14ac:dyDescent="0.45">
      <c r="A10" s="38" t="s">
        <v>266</v>
      </c>
      <c r="B10" s="38">
        <v>8</v>
      </c>
      <c r="C10" s="38" t="s">
        <v>257</v>
      </c>
      <c r="D10" s="38">
        <v>8</v>
      </c>
      <c r="E10" s="38">
        <v>9</v>
      </c>
      <c r="F10" s="38">
        <v>9</v>
      </c>
      <c r="G10" s="38">
        <v>11</v>
      </c>
      <c r="H10" s="38">
        <v>5247.6212990000004</v>
      </c>
      <c r="I10" s="38">
        <f t="shared" si="0"/>
        <v>5.2476212990000004</v>
      </c>
      <c r="J10" s="38">
        <v>2423</v>
      </c>
      <c r="K10" s="38">
        <v>2424</v>
      </c>
      <c r="L10" s="38">
        <v>2575</v>
      </c>
      <c r="M10" s="38">
        <v>6.6316E-2</v>
      </c>
      <c r="N10" s="38">
        <v>0.23691699999999999</v>
      </c>
      <c r="O10" s="38">
        <v>1693</v>
      </c>
      <c r="P10" s="38">
        <v>1345</v>
      </c>
      <c r="Q10" s="38">
        <v>5247.6212990000004</v>
      </c>
      <c r="R10" s="38" t="s">
        <v>119</v>
      </c>
      <c r="S10" s="38" t="s">
        <v>119</v>
      </c>
      <c r="T10" s="38" t="s">
        <v>119</v>
      </c>
      <c r="U10" s="38" t="s">
        <v>119</v>
      </c>
      <c r="V10" s="38" t="s">
        <v>119</v>
      </c>
      <c r="W10" s="38" t="s">
        <v>119</v>
      </c>
      <c r="X10" s="38" t="s">
        <v>258</v>
      </c>
    </row>
    <row r="11" spans="1:24" x14ac:dyDescent="0.45">
      <c r="A11" s="38" t="s">
        <v>267</v>
      </c>
      <c r="B11" s="38">
        <v>11</v>
      </c>
      <c r="C11" s="38" t="s">
        <v>257</v>
      </c>
      <c r="D11" s="38">
        <v>11</v>
      </c>
      <c r="E11" s="38">
        <v>10</v>
      </c>
      <c r="F11" s="38">
        <v>10</v>
      </c>
      <c r="G11" s="38">
        <v>14</v>
      </c>
      <c r="H11" s="38">
        <v>2285.0320149999998</v>
      </c>
      <c r="I11" s="38">
        <f t="shared" si="0"/>
        <v>2.2850320149999996</v>
      </c>
      <c r="J11" s="38">
        <v>2426</v>
      </c>
      <c r="K11" s="38">
        <v>2430</v>
      </c>
      <c r="L11" s="38">
        <v>2576</v>
      </c>
      <c r="M11" s="38">
        <v>0.172426</v>
      </c>
      <c r="N11" s="38">
        <v>0.32822000000000001</v>
      </c>
      <c r="O11" s="38">
        <v>1297</v>
      </c>
      <c r="P11" s="38">
        <v>903</v>
      </c>
      <c r="Q11" s="38">
        <v>2285.0320149999998</v>
      </c>
      <c r="R11" s="38" t="s">
        <v>119</v>
      </c>
      <c r="S11" s="38" t="s">
        <v>119</v>
      </c>
      <c r="T11" s="38" t="s">
        <v>119</v>
      </c>
      <c r="U11" s="38" t="s">
        <v>119</v>
      </c>
      <c r="V11" s="38" t="s">
        <v>119</v>
      </c>
      <c r="W11" s="38" t="s">
        <v>119</v>
      </c>
      <c r="X11" s="38" t="s">
        <v>258</v>
      </c>
    </row>
    <row r="12" spans="1:24" x14ac:dyDescent="0.45">
      <c r="A12" s="38" t="s">
        <v>268</v>
      </c>
      <c r="B12" s="38">
        <v>9</v>
      </c>
      <c r="C12" s="38" t="s">
        <v>257</v>
      </c>
      <c r="D12" s="38">
        <v>9</v>
      </c>
      <c r="E12" s="38">
        <v>11</v>
      </c>
      <c r="F12" s="38">
        <v>11</v>
      </c>
      <c r="G12" s="38">
        <v>12</v>
      </c>
      <c r="H12" s="38">
        <v>2106.3708499999998</v>
      </c>
      <c r="I12" s="38">
        <f t="shared" si="0"/>
        <v>2.1063708499999998</v>
      </c>
      <c r="J12" s="38">
        <v>2424</v>
      </c>
      <c r="K12" s="38">
        <v>2428</v>
      </c>
      <c r="L12" s="38">
        <v>2577</v>
      </c>
      <c r="M12" s="38">
        <v>5.5545999999999998E-2</v>
      </c>
      <c r="N12" s="38">
        <v>0.29131800000000002</v>
      </c>
      <c r="O12" s="38">
        <v>1345</v>
      </c>
      <c r="P12" s="38">
        <v>1228</v>
      </c>
      <c r="Q12" s="38">
        <v>2106.3708499999998</v>
      </c>
      <c r="R12" s="38" t="s">
        <v>119</v>
      </c>
      <c r="S12" s="38" t="s">
        <v>119</v>
      </c>
      <c r="T12" s="38" t="s">
        <v>119</v>
      </c>
      <c r="U12" s="38" t="s">
        <v>119</v>
      </c>
      <c r="V12" s="38" t="s">
        <v>119</v>
      </c>
      <c r="W12" s="38" t="s">
        <v>119</v>
      </c>
      <c r="X12" s="38" t="s">
        <v>258</v>
      </c>
    </row>
    <row r="13" spans="1:24" x14ac:dyDescent="0.45">
      <c r="A13" s="38" t="s">
        <v>269</v>
      </c>
      <c r="B13" s="38">
        <v>17</v>
      </c>
      <c r="C13" s="38" t="s">
        <v>257</v>
      </c>
      <c r="D13" s="38">
        <v>17</v>
      </c>
      <c r="E13" s="38">
        <v>12</v>
      </c>
      <c r="F13" s="38">
        <v>19</v>
      </c>
      <c r="G13" s="38">
        <v>12</v>
      </c>
      <c r="H13" s="38">
        <v>3409.8164660000002</v>
      </c>
      <c r="I13" s="38">
        <f t="shared" si="0"/>
        <v>3.4098164660000001</v>
      </c>
      <c r="J13" s="38">
        <v>2432</v>
      </c>
      <c r="K13" s="38">
        <v>2428</v>
      </c>
      <c r="L13" s="38">
        <v>2578</v>
      </c>
      <c r="M13" s="38">
        <v>9.5605999999999997E-2</v>
      </c>
      <c r="N13" s="38">
        <v>0.21499699999999999</v>
      </c>
      <c r="O13" s="38">
        <v>1554</v>
      </c>
      <c r="P13" s="38">
        <v>1228</v>
      </c>
      <c r="Q13" s="38">
        <v>3409.8164660000002</v>
      </c>
      <c r="R13" s="38" t="s">
        <v>119</v>
      </c>
      <c r="S13" s="38" t="s">
        <v>119</v>
      </c>
      <c r="T13" s="38" t="s">
        <v>119</v>
      </c>
      <c r="U13" s="38" t="s">
        <v>119</v>
      </c>
      <c r="V13" s="38" t="s">
        <v>119</v>
      </c>
      <c r="W13" s="38" t="s">
        <v>119</v>
      </c>
      <c r="X13" s="38" t="s">
        <v>258</v>
      </c>
    </row>
    <row r="14" spans="1:24" x14ac:dyDescent="0.45">
      <c r="A14" s="38" t="s">
        <v>270</v>
      </c>
      <c r="B14" s="38">
        <v>13</v>
      </c>
      <c r="C14" s="38" t="s">
        <v>257</v>
      </c>
      <c r="D14" s="38">
        <v>13</v>
      </c>
      <c r="E14" s="38">
        <v>13</v>
      </c>
      <c r="F14" s="38">
        <v>12</v>
      </c>
      <c r="G14" s="38">
        <v>13</v>
      </c>
      <c r="H14" s="38">
        <v>6398.7698369999998</v>
      </c>
      <c r="I14" s="38">
        <f t="shared" si="0"/>
        <v>6.3987698369999997</v>
      </c>
      <c r="J14" s="38">
        <v>2428</v>
      </c>
      <c r="K14" s="38">
        <v>2427</v>
      </c>
      <c r="L14" s="38">
        <v>2579</v>
      </c>
      <c r="M14" s="38">
        <v>3.3131000000000001E-2</v>
      </c>
      <c r="N14" s="38">
        <v>0.32251299999999999</v>
      </c>
      <c r="O14" s="38">
        <v>1228</v>
      </c>
      <c r="P14" s="38">
        <v>1016</v>
      </c>
      <c r="Q14" s="38">
        <v>6398.7698369999998</v>
      </c>
      <c r="R14" s="38" t="s">
        <v>119</v>
      </c>
      <c r="S14" s="38" t="s">
        <v>119</v>
      </c>
      <c r="T14" s="38" t="s">
        <v>119</v>
      </c>
      <c r="U14" s="38" t="s">
        <v>119</v>
      </c>
      <c r="V14" s="38" t="s">
        <v>119</v>
      </c>
      <c r="W14" s="38" t="s">
        <v>119</v>
      </c>
      <c r="X14" s="38" t="s">
        <v>258</v>
      </c>
    </row>
    <row r="15" spans="1:24" x14ac:dyDescent="0.45">
      <c r="A15" s="38" t="s">
        <v>271</v>
      </c>
      <c r="B15" s="38">
        <v>12</v>
      </c>
      <c r="C15" s="38" t="s">
        <v>257</v>
      </c>
      <c r="D15" s="38">
        <v>12</v>
      </c>
      <c r="E15" s="38">
        <v>14</v>
      </c>
      <c r="F15" s="38">
        <v>13</v>
      </c>
      <c r="G15" s="38">
        <v>14</v>
      </c>
      <c r="H15" s="38">
        <v>4048.0970390000002</v>
      </c>
      <c r="I15" s="38">
        <f t="shared" si="0"/>
        <v>4.048097039</v>
      </c>
      <c r="J15" s="38">
        <v>2427</v>
      </c>
      <c r="K15" s="38">
        <v>2430</v>
      </c>
      <c r="L15" s="38">
        <v>2580</v>
      </c>
      <c r="M15" s="38">
        <v>2.7914000000000001E-2</v>
      </c>
      <c r="N15" s="38">
        <v>0.42252400000000001</v>
      </c>
      <c r="O15" s="38">
        <v>1016</v>
      </c>
      <c r="P15" s="38">
        <v>903</v>
      </c>
      <c r="Q15" s="38">
        <v>4048.0970390000002</v>
      </c>
      <c r="R15" s="38" t="s">
        <v>119</v>
      </c>
      <c r="S15" s="38" t="s">
        <v>119</v>
      </c>
      <c r="T15" s="38" t="s">
        <v>119</v>
      </c>
      <c r="U15" s="38" t="s">
        <v>119</v>
      </c>
      <c r="V15" s="38" t="s">
        <v>119</v>
      </c>
      <c r="W15" s="38" t="s">
        <v>119</v>
      </c>
      <c r="X15" s="38" t="s">
        <v>258</v>
      </c>
    </row>
    <row r="16" spans="1:24" x14ac:dyDescent="0.45">
      <c r="A16" s="38" t="s">
        <v>272</v>
      </c>
      <c r="B16" s="38">
        <v>15</v>
      </c>
      <c r="C16" s="38" t="s">
        <v>257</v>
      </c>
      <c r="D16" s="38">
        <v>15</v>
      </c>
      <c r="E16" s="38">
        <v>15</v>
      </c>
      <c r="F16" s="38">
        <v>14</v>
      </c>
      <c r="G16" s="38">
        <v>16</v>
      </c>
      <c r="H16" s="38">
        <v>3918.287335</v>
      </c>
      <c r="I16" s="38">
        <f t="shared" si="0"/>
        <v>3.918287335</v>
      </c>
      <c r="J16" s="38">
        <v>2430</v>
      </c>
      <c r="K16" s="38">
        <v>2431</v>
      </c>
      <c r="L16" s="38">
        <v>2581</v>
      </c>
      <c r="M16" s="38">
        <v>2.8583999999999998E-2</v>
      </c>
      <c r="N16" s="38">
        <v>0.32071100000000002</v>
      </c>
      <c r="O16" s="38">
        <v>903</v>
      </c>
      <c r="P16" s="38">
        <v>791</v>
      </c>
      <c r="Q16" s="38">
        <v>3918.287335</v>
      </c>
      <c r="R16" s="38" t="s">
        <v>119</v>
      </c>
      <c r="S16" s="38" t="s">
        <v>119</v>
      </c>
      <c r="T16" s="38" t="s">
        <v>119</v>
      </c>
      <c r="U16" s="38" t="s">
        <v>119</v>
      </c>
      <c r="V16" s="38" t="s">
        <v>119</v>
      </c>
      <c r="W16" s="38" t="s">
        <v>119</v>
      </c>
      <c r="X16" s="38" t="s">
        <v>258</v>
      </c>
    </row>
    <row r="17" spans="1:24" x14ac:dyDescent="0.45">
      <c r="A17" s="38" t="s">
        <v>273</v>
      </c>
      <c r="B17" s="38">
        <v>14</v>
      </c>
      <c r="C17" s="38" t="s">
        <v>257</v>
      </c>
      <c r="D17" s="38">
        <v>14</v>
      </c>
      <c r="E17" s="38">
        <v>16</v>
      </c>
      <c r="F17" s="38">
        <v>15</v>
      </c>
      <c r="G17" s="38">
        <v>16</v>
      </c>
      <c r="H17" s="38">
        <v>267.937861</v>
      </c>
      <c r="I17" s="38">
        <f t="shared" si="0"/>
        <v>0.267937861</v>
      </c>
      <c r="J17" s="38">
        <v>2429</v>
      </c>
      <c r="K17" s="38">
        <v>2431</v>
      </c>
      <c r="L17" s="38">
        <v>2582</v>
      </c>
      <c r="M17" s="38">
        <v>0.38441700000000001</v>
      </c>
      <c r="N17" s="38">
        <v>0.457567</v>
      </c>
      <c r="O17" s="38">
        <v>894</v>
      </c>
      <c r="P17" s="38">
        <v>791</v>
      </c>
      <c r="Q17" s="38">
        <v>267.937861</v>
      </c>
      <c r="R17" s="38" t="s">
        <v>119</v>
      </c>
      <c r="S17" s="38" t="s">
        <v>119</v>
      </c>
      <c r="T17" s="38" t="s">
        <v>119</v>
      </c>
      <c r="U17" s="38" t="s">
        <v>119</v>
      </c>
      <c r="V17" s="38" t="s">
        <v>119</v>
      </c>
      <c r="W17" s="38" t="s">
        <v>119</v>
      </c>
      <c r="X17" s="38" t="s">
        <v>258</v>
      </c>
    </row>
    <row r="18" spans="1:24" x14ac:dyDescent="0.45">
      <c r="A18" s="38" t="s">
        <v>274</v>
      </c>
      <c r="B18" s="38">
        <v>16</v>
      </c>
      <c r="C18" s="38" t="s">
        <v>257</v>
      </c>
      <c r="D18" s="38">
        <v>16</v>
      </c>
      <c r="E18" s="38">
        <v>17</v>
      </c>
      <c r="F18" s="38">
        <v>16</v>
      </c>
      <c r="G18" s="38">
        <v>18</v>
      </c>
      <c r="H18" s="38">
        <v>1491.205807</v>
      </c>
      <c r="I18" s="38">
        <f t="shared" si="0"/>
        <v>1.491205807</v>
      </c>
      <c r="J18" s="38">
        <v>2431</v>
      </c>
      <c r="K18" s="38">
        <v>2434</v>
      </c>
      <c r="L18" s="38">
        <v>2583</v>
      </c>
      <c r="M18" s="38">
        <v>4.1577000000000003E-2</v>
      </c>
      <c r="N18" s="38">
        <v>0.35439399999999999</v>
      </c>
      <c r="O18" s="38">
        <v>791</v>
      </c>
      <c r="P18" s="38">
        <v>729</v>
      </c>
      <c r="Q18" s="38">
        <v>1491.205807</v>
      </c>
      <c r="R18" s="38" t="s">
        <v>119</v>
      </c>
      <c r="S18" s="38" t="s">
        <v>119</v>
      </c>
      <c r="T18" s="38" t="s">
        <v>119</v>
      </c>
      <c r="U18" s="38" t="s">
        <v>119</v>
      </c>
      <c r="V18" s="38" t="s">
        <v>119</v>
      </c>
      <c r="W18" s="38" t="s">
        <v>119</v>
      </c>
      <c r="X18" s="38" t="s">
        <v>258</v>
      </c>
    </row>
    <row r="19" spans="1:24" x14ac:dyDescent="0.45">
      <c r="A19" s="38" t="s">
        <v>275</v>
      </c>
      <c r="B19" s="38">
        <v>20</v>
      </c>
      <c r="C19" s="38" t="s">
        <v>257</v>
      </c>
      <c r="D19" s="38">
        <v>20</v>
      </c>
      <c r="E19" s="38">
        <v>18</v>
      </c>
      <c r="F19" s="38">
        <v>17</v>
      </c>
      <c r="G19" s="38">
        <v>23</v>
      </c>
      <c r="H19" s="38">
        <v>2975.1208499999998</v>
      </c>
      <c r="I19" s="38">
        <f t="shared" si="0"/>
        <v>2.9751208499999997</v>
      </c>
      <c r="J19" s="38">
        <v>2435</v>
      </c>
      <c r="K19" s="38">
        <v>2440</v>
      </c>
      <c r="L19" s="38">
        <v>2584</v>
      </c>
      <c r="M19" s="38">
        <v>0.104534</v>
      </c>
      <c r="N19" s="38">
        <v>0.27892099999999997</v>
      </c>
      <c r="O19" s="38">
        <v>772</v>
      </c>
      <c r="P19" s="38">
        <v>461</v>
      </c>
      <c r="Q19" s="38">
        <v>2975.1208499999998</v>
      </c>
      <c r="R19" s="38" t="s">
        <v>119</v>
      </c>
      <c r="S19" s="38" t="s">
        <v>119</v>
      </c>
      <c r="T19" s="38" t="s">
        <v>119</v>
      </c>
      <c r="U19" s="38" t="s">
        <v>119</v>
      </c>
      <c r="V19" s="38" t="s">
        <v>119</v>
      </c>
      <c r="W19" s="38" t="s">
        <v>119</v>
      </c>
      <c r="X19" s="38" t="s">
        <v>258</v>
      </c>
    </row>
    <row r="20" spans="1:24" x14ac:dyDescent="0.45">
      <c r="A20" s="38" t="s">
        <v>276</v>
      </c>
      <c r="B20" s="38">
        <v>19</v>
      </c>
      <c r="C20" s="38" t="s">
        <v>257</v>
      </c>
      <c r="D20" s="38">
        <v>19</v>
      </c>
      <c r="E20" s="38">
        <v>19</v>
      </c>
      <c r="F20" s="38">
        <v>18</v>
      </c>
      <c r="G20" s="38">
        <v>21</v>
      </c>
      <c r="H20" s="38">
        <v>4908.452378</v>
      </c>
      <c r="I20" s="38">
        <f t="shared" si="0"/>
        <v>4.9084523779999998</v>
      </c>
      <c r="J20" s="38">
        <v>2434</v>
      </c>
      <c r="K20" s="38">
        <v>2436</v>
      </c>
      <c r="L20" s="38">
        <v>2585</v>
      </c>
      <c r="M20" s="38">
        <v>3.1171000000000001E-2</v>
      </c>
      <c r="N20" s="38">
        <v>0.32974100000000001</v>
      </c>
      <c r="O20" s="38">
        <v>729</v>
      </c>
      <c r="P20" s="38">
        <v>576</v>
      </c>
      <c r="Q20" s="38">
        <v>4908.452378</v>
      </c>
      <c r="R20" s="38" t="s">
        <v>119</v>
      </c>
      <c r="S20" s="38" t="s">
        <v>119</v>
      </c>
      <c r="T20" s="38" t="s">
        <v>119</v>
      </c>
      <c r="U20" s="38" t="s">
        <v>119</v>
      </c>
      <c r="V20" s="38" t="s">
        <v>119</v>
      </c>
      <c r="W20" s="38" t="s">
        <v>119</v>
      </c>
      <c r="X20" s="38" t="s">
        <v>258</v>
      </c>
    </row>
    <row r="21" spans="1:24" x14ac:dyDescent="0.45">
      <c r="A21" s="38" t="s">
        <v>277</v>
      </c>
      <c r="B21" s="38">
        <v>18</v>
      </c>
      <c r="C21" s="38" t="s">
        <v>257</v>
      </c>
      <c r="D21" s="38">
        <v>18</v>
      </c>
      <c r="E21" s="38">
        <v>20</v>
      </c>
      <c r="F21" s="38">
        <v>20</v>
      </c>
      <c r="G21" s="38">
        <v>21</v>
      </c>
      <c r="H21" s="38">
        <v>1540.057268</v>
      </c>
      <c r="I21" s="38">
        <f t="shared" si="0"/>
        <v>1.540057268</v>
      </c>
      <c r="J21" s="38">
        <v>2433</v>
      </c>
      <c r="K21" s="38">
        <v>2436</v>
      </c>
      <c r="L21" s="38">
        <v>2586</v>
      </c>
      <c r="M21" s="38">
        <v>0.198045</v>
      </c>
      <c r="N21" s="38">
        <v>0.35101300000000002</v>
      </c>
      <c r="O21" s="38">
        <v>881</v>
      </c>
      <c r="P21" s="38">
        <v>576</v>
      </c>
      <c r="Q21" s="38">
        <v>1540.057268</v>
      </c>
      <c r="R21" s="38" t="s">
        <v>119</v>
      </c>
      <c r="S21" s="38" t="s">
        <v>119</v>
      </c>
      <c r="T21" s="38" t="s">
        <v>119</v>
      </c>
      <c r="U21" s="38" t="s">
        <v>119</v>
      </c>
      <c r="V21" s="38" t="s">
        <v>119</v>
      </c>
      <c r="W21" s="38" t="s">
        <v>119</v>
      </c>
      <c r="X21" s="38" t="s">
        <v>258</v>
      </c>
    </row>
    <row r="22" spans="1:24" x14ac:dyDescent="0.45">
      <c r="A22" s="38" t="s">
        <v>278</v>
      </c>
      <c r="B22" s="38">
        <v>21</v>
      </c>
      <c r="C22" s="38" t="s">
        <v>257</v>
      </c>
      <c r="D22" s="38">
        <v>21</v>
      </c>
      <c r="E22" s="38">
        <v>21</v>
      </c>
      <c r="F22" s="38">
        <v>21</v>
      </c>
      <c r="G22" s="38">
        <v>23</v>
      </c>
      <c r="H22" s="38">
        <v>4061.8533520000001</v>
      </c>
      <c r="I22" s="38">
        <f t="shared" si="0"/>
        <v>4.061853352</v>
      </c>
      <c r="J22" s="38">
        <v>2436</v>
      </c>
      <c r="K22" s="38">
        <v>2440</v>
      </c>
      <c r="L22" s="38">
        <v>2587</v>
      </c>
      <c r="M22" s="38">
        <v>2.8312E-2</v>
      </c>
      <c r="N22" s="38">
        <v>0.32846999999999998</v>
      </c>
      <c r="O22" s="38">
        <v>576</v>
      </c>
      <c r="P22" s="38">
        <v>461</v>
      </c>
      <c r="Q22" s="38">
        <v>4061.8533520000001</v>
      </c>
      <c r="R22" s="38" t="s">
        <v>119</v>
      </c>
      <c r="S22" s="38" t="s">
        <v>119</v>
      </c>
      <c r="T22" s="38" t="s">
        <v>119</v>
      </c>
      <c r="U22" s="38" t="s">
        <v>119</v>
      </c>
      <c r="V22" s="38" t="s">
        <v>119</v>
      </c>
      <c r="W22" s="38" t="s">
        <v>119</v>
      </c>
      <c r="X22" s="38" t="s">
        <v>258</v>
      </c>
    </row>
    <row r="23" spans="1:24" x14ac:dyDescent="0.45">
      <c r="A23" s="38" t="s">
        <v>279</v>
      </c>
      <c r="B23" s="38">
        <v>22</v>
      </c>
      <c r="C23" s="38" t="s">
        <v>257</v>
      </c>
      <c r="D23" s="38">
        <v>22</v>
      </c>
      <c r="E23" s="38">
        <v>22</v>
      </c>
      <c r="F23" s="38">
        <v>22</v>
      </c>
      <c r="G23" s="38">
        <v>25</v>
      </c>
      <c r="H23" s="38">
        <v>2102.2655110000001</v>
      </c>
      <c r="I23" s="38">
        <f t="shared" si="0"/>
        <v>2.1022655110000001</v>
      </c>
      <c r="J23" s="38">
        <v>2437</v>
      </c>
      <c r="K23" s="38">
        <v>2438</v>
      </c>
      <c r="L23" s="38">
        <v>2588</v>
      </c>
      <c r="M23" s="38">
        <v>0.11844399999999999</v>
      </c>
      <c r="N23" s="38">
        <v>0.32553700000000002</v>
      </c>
      <c r="O23" s="38">
        <v>1599</v>
      </c>
      <c r="P23" s="38">
        <v>1350</v>
      </c>
      <c r="Q23" s="38">
        <v>2102.2655110000001</v>
      </c>
      <c r="R23" s="38" t="s">
        <v>119</v>
      </c>
      <c r="S23" s="38" t="s">
        <v>119</v>
      </c>
      <c r="T23" s="38" t="s">
        <v>119</v>
      </c>
      <c r="U23" s="38" t="s">
        <v>119</v>
      </c>
      <c r="V23" s="38" t="s">
        <v>119</v>
      </c>
      <c r="W23" s="38" t="s">
        <v>119</v>
      </c>
      <c r="X23" s="38" t="s">
        <v>258</v>
      </c>
    </row>
    <row r="24" spans="1:24" x14ac:dyDescent="0.45">
      <c r="A24" s="38" t="s">
        <v>280</v>
      </c>
      <c r="B24" s="38">
        <v>26</v>
      </c>
      <c r="C24" s="38" t="s">
        <v>257</v>
      </c>
      <c r="D24" s="38">
        <v>26</v>
      </c>
      <c r="E24" s="38">
        <v>23</v>
      </c>
      <c r="F24" s="38">
        <v>24</v>
      </c>
      <c r="G24" s="38">
        <v>25</v>
      </c>
      <c r="H24" s="38">
        <v>3821.5043260000002</v>
      </c>
      <c r="I24" s="38">
        <f t="shared" si="0"/>
        <v>3.8215043260000003</v>
      </c>
      <c r="J24" s="38">
        <v>2441</v>
      </c>
      <c r="K24" s="38">
        <v>2438</v>
      </c>
      <c r="L24" s="38">
        <v>2589</v>
      </c>
      <c r="M24" s="38">
        <v>4.9195000000000003E-2</v>
      </c>
      <c r="N24" s="38">
        <v>0.19326499999999999</v>
      </c>
      <c r="O24" s="38">
        <v>1538</v>
      </c>
      <c r="P24" s="38">
        <v>1350</v>
      </c>
      <c r="Q24" s="38">
        <v>3821.5043260000002</v>
      </c>
      <c r="R24" s="38" t="s">
        <v>119</v>
      </c>
      <c r="S24" s="38" t="s">
        <v>119</v>
      </c>
      <c r="T24" s="38" t="s">
        <v>119</v>
      </c>
      <c r="U24" s="38" t="s">
        <v>119</v>
      </c>
      <c r="V24" s="38" t="s">
        <v>119</v>
      </c>
      <c r="W24" s="38" t="s">
        <v>119</v>
      </c>
      <c r="X24" s="38" t="s">
        <v>258</v>
      </c>
    </row>
    <row r="25" spans="1:24" x14ac:dyDescent="0.45">
      <c r="A25" s="38" t="s">
        <v>281</v>
      </c>
      <c r="B25" s="38">
        <v>25</v>
      </c>
      <c r="C25" s="38" t="s">
        <v>257</v>
      </c>
      <c r="D25" s="38">
        <v>25</v>
      </c>
      <c r="E25" s="38">
        <v>24</v>
      </c>
      <c r="F25" s="38">
        <v>23</v>
      </c>
      <c r="G25" s="38">
        <v>27</v>
      </c>
      <c r="H25" s="38">
        <v>2364.5815280000002</v>
      </c>
      <c r="I25" s="38">
        <f t="shared" si="0"/>
        <v>2.364581528</v>
      </c>
      <c r="J25" s="38">
        <v>2440</v>
      </c>
      <c r="K25" s="38">
        <v>2445</v>
      </c>
      <c r="L25" s="38">
        <v>2590</v>
      </c>
      <c r="M25" s="38">
        <v>3.7638999999999999E-2</v>
      </c>
      <c r="N25" s="38">
        <v>0.325789</v>
      </c>
      <c r="O25" s="38">
        <v>461</v>
      </c>
      <c r="P25" s="38">
        <v>372</v>
      </c>
      <c r="Q25" s="38">
        <v>2364.5815280000002</v>
      </c>
      <c r="R25" s="38" t="s">
        <v>119</v>
      </c>
      <c r="S25" s="38" t="s">
        <v>119</v>
      </c>
      <c r="T25" s="38" t="s">
        <v>119</v>
      </c>
      <c r="U25" s="38" t="s">
        <v>119</v>
      </c>
      <c r="V25" s="38" t="s">
        <v>119</v>
      </c>
      <c r="W25" s="38" t="s">
        <v>119</v>
      </c>
      <c r="X25" s="38" t="s">
        <v>258</v>
      </c>
    </row>
    <row r="26" spans="1:24" x14ac:dyDescent="0.45">
      <c r="A26" s="38" t="s">
        <v>282</v>
      </c>
      <c r="B26" s="38">
        <v>23</v>
      </c>
      <c r="C26" s="38" t="s">
        <v>257</v>
      </c>
      <c r="D26" s="38">
        <v>23</v>
      </c>
      <c r="E26" s="38">
        <v>25</v>
      </c>
      <c r="F26" s="38">
        <v>25</v>
      </c>
      <c r="G26" s="38">
        <v>18</v>
      </c>
      <c r="H26" s="38">
        <v>7239.6076789999997</v>
      </c>
      <c r="I26" s="38">
        <f t="shared" si="0"/>
        <v>7.2396076789999997</v>
      </c>
      <c r="J26" s="38">
        <v>2438</v>
      </c>
      <c r="K26" s="38">
        <v>2434</v>
      </c>
      <c r="L26" s="38">
        <v>2591</v>
      </c>
      <c r="M26" s="38">
        <v>8.5777999999999993E-2</v>
      </c>
      <c r="N26" s="38">
        <v>0.38402599999999998</v>
      </c>
      <c r="O26" s="38">
        <v>1350</v>
      </c>
      <c r="P26" s="38">
        <v>729</v>
      </c>
      <c r="Q26" s="38">
        <v>7239.6076789999997</v>
      </c>
      <c r="R26" s="38" t="s">
        <v>119</v>
      </c>
      <c r="S26" s="38" t="s">
        <v>119</v>
      </c>
      <c r="T26" s="38" t="s">
        <v>119</v>
      </c>
      <c r="U26" s="38" t="s">
        <v>119</v>
      </c>
      <c r="V26" s="38" t="s">
        <v>119</v>
      </c>
      <c r="W26" s="38" t="s">
        <v>119</v>
      </c>
      <c r="X26" s="38" t="s">
        <v>258</v>
      </c>
    </row>
    <row r="27" spans="1:24" x14ac:dyDescent="0.45">
      <c r="A27" s="38" t="s">
        <v>283</v>
      </c>
      <c r="B27" s="38">
        <v>24</v>
      </c>
      <c r="C27" s="38" t="s">
        <v>257</v>
      </c>
      <c r="D27" s="38">
        <v>24</v>
      </c>
      <c r="E27" s="38">
        <v>26</v>
      </c>
      <c r="F27" s="38">
        <v>26</v>
      </c>
      <c r="G27" s="38">
        <v>27</v>
      </c>
      <c r="H27" s="38">
        <v>121.78300900000001</v>
      </c>
      <c r="I27" s="38">
        <f t="shared" si="0"/>
        <v>0.12178300900000001</v>
      </c>
      <c r="J27" s="38">
        <v>2439</v>
      </c>
      <c r="K27" s="38">
        <v>2445</v>
      </c>
      <c r="L27" s="38">
        <v>2592</v>
      </c>
      <c r="M27" s="38">
        <v>0.188861</v>
      </c>
      <c r="N27" s="38">
        <v>0.238508</v>
      </c>
      <c r="O27" s="38">
        <v>395</v>
      </c>
      <c r="P27" s="38">
        <v>372</v>
      </c>
      <c r="Q27" s="38">
        <v>121.78300900000001</v>
      </c>
      <c r="R27" s="38" t="s">
        <v>119</v>
      </c>
      <c r="S27" s="38" t="s">
        <v>119</v>
      </c>
      <c r="T27" s="38" t="s">
        <v>119</v>
      </c>
      <c r="U27" s="38" t="s">
        <v>119</v>
      </c>
      <c r="V27" s="38" t="s">
        <v>119</v>
      </c>
      <c r="W27" s="38" t="s">
        <v>119</v>
      </c>
      <c r="X27" s="38" t="s">
        <v>258</v>
      </c>
    </row>
    <row r="28" spans="1:24" x14ac:dyDescent="0.45">
      <c r="A28" s="38" t="s">
        <v>284</v>
      </c>
      <c r="B28" s="38">
        <v>30</v>
      </c>
      <c r="C28" s="38" t="s">
        <v>257</v>
      </c>
      <c r="D28" s="38">
        <v>30</v>
      </c>
      <c r="E28" s="38">
        <v>27</v>
      </c>
      <c r="F28" s="38">
        <v>27</v>
      </c>
      <c r="G28" s="38">
        <v>36</v>
      </c>
      <c r="H28" s="38">
        <v>4601.1300469999996</v>
      </c>
      <c r="I28" s="38">
        <f t="shared" si="0"/>
        <v>4.6011300469999998</v>
      </c>
      <c r="J28" s="38">
        <v>2445</v>
      </c>
      <c r="K28" s="38">
        <v>2471</v>
      </c>
      <c r="L28" s="38">
        <v>2593</v>
      </c>
      <c r="M28" s="38">
        <v>1.6518000000000001E-2</v>
      </c>
      <c r="N28" s="38">
        <v>0.189833</v>
      </c>
      <c r="O28" s="38">
        <v>372</v>
      </c>
      <c r="P28" s="38">
        <v>296</v>
      </c>
      <c r="Q28" s="38">
        <v>4601.1300469999996</v>
      </c>
      <c r="R28" s="38" t="s">
        <v>119</v>
      </c>
      <c r="S28" s="38" t="s">
        <v>119</v>
      </c>
      <c r="T28" s="38" t="s">
        <v>119</v>
      </c>
      <c r="U28" s="38" t="s">
        <v>119</v>
      </c>
      <c r="V28" s="38" t="s">
        <v>119</v>
      </c>
      <c r="W28" s="38" t="s">
        <v>119</v>
      </c>
      <c r="X28" s="38" t="s">
        <v>258</v>
      </c>
    </row>
    <row r="29" spans="1:24" x14ac:dyDescent="0.45">
      <c r="A29" s="38" t="s">
        <v>285</v>
      </c>
      <c r="B29" s="38">
        <v>37</v>
      </c>
      <c r="C29" s="38" t="s">
        <v>257</v>
      </c>
      <c r="D29" s="38">
        <v>37</v>
      </c>
      <c r="E29" s="38">
        <v>28</v>
      </c>
      <c r="F29" s="38">
        <v>28</v>
      </c>
      <c r="G29" s="38">
        <v>40</v>
      </c>
      <c r="H29" s="38">
        <v>3271.0601529999999</v>
      </c>
      <c r="I29" s="38">
        <f t="shared" si="0"/>
        <v>3.2710601530000001</v>
      </c>
      <c r="J29" s="38">
        <v>2452</v>
      </c>
      <c r="K29" s="38">
        <v>2453</v>
      </c>
      <c r="L29" s="38">
        <v>2594</v>
      </c>
      <c r="M29" s="38">
        <v>0.119227</v>
      </c>
      <c r="N29" s="38">
        <v>0.29546299999999998</v>
      </c>
      <c r="O29" s="38">
        <v>1256</v>
      </c>
      <c r="P29" s="38">
        <v>866</v>
      </c>
      <c r="Q29" s="38">
        <v>3271.0601529999999</v>
      </c>
      <c r="R29" s="38" t="s">
        <v>119</v>
      </c>
      <c r="S29" s="38" t="s">
        <v>119</v>
      </c>
      <c r="T29" s="38" t="s">
        <v>119</v>
      </c>
      <c r="U29" s="38" t="s">
        <v>119</v>
      </c>
      <c r="V29" s="38" t="s">
        <v>119</v>
      </c>
      <c r="W29" s="38" t="s">
        <v>119</v>
      </c>
      <c r="X29" s="38" t="s">
        <v>258</v>
      </c>
    </row>
    <row r="30" spans="1:24" x14ac:dyDescent="0.45">
      <c r="A30" s="38" t="s">
        <v>286</v>
      </c>
      <c r="B30" s="38">
        <v>31</v>
      </c>
      <c r="C30" s="38" t="s">
        <v>257</v>
      </c>
      <c r="D30" s="38">
        <v>31</v>
      </c>
      <c r="E30" s="38">
        <v>29</v>
      </c>
      <c r="F30" s="38">
        <v>29</v>
      </c>
      <c r="G30" s="38">
        <v>37</v>
      </c>
      <c r="H30" s="38">
        <v>2792.506762</v>
      </c>
      <c r="I30" s="38">
        <f t="shared" si="0"/>
        <v>2.7925067619999999</v>
      </c>
      <c r="J30" s="38">
        <v>2446</v>
      </c>
      <c r="K30" s="38">
        <v>2450</v>
      </c>
      <c r="L30" s="38">
        <v>2595</v>
      </c>
      <c r="M30" s="38">
        <v>0.17081399999999999</v>
      </c>
      <c r="N30" s="38">
        <v>0.23535600000000001</v>
      </c>
      <c r="O30" s="38">
        <v>1114</v>
      </c>
      <c r="P30" s="38">
        <v>637</v>
      </c>
      <c r="Q30" s="38">
        <v>2792.506762</v>
      </c>
      <c r="R30" s="38" t="s">
        <v>119</v>
      </c>
      <c r="S30" s="38" t="s">
        <v>119</v>
      </c>
      <c r="T30" s="38" t="s">
        <v>119</v>
      </c>
      <c r="U30" s="38" t="s">
        <v>119</v>
      </c>
      <c r="V30" s="38" t="s">
        <v>119</v>
      </c>
      <c r="W30" s="38" t="s">
        <v>119</v>
      </c>
      <c r="X30" s="38" t="s">
        <v>258</v>
      </c>
    </row>
    <row r="31" spans="1:24" x14ac:dyDescent="0.45">
      <c r="A31" s="38" t="s">
        <v>287</v>
      </c>
      <c r="B31" s="38">
        <v>27</v>
      </c>
      <c r="C31" s="38" t="s">
        <v>257</v>
      </c>
      <c r="D31" s="38">
        <v>27</v>
      </c>
      <c r="E31" s="38">
        <v>30</v>
      </c>
      <c r="F31" s="38">
        <v>30</v>
      </c>
      <c r="G31" s="38">
        <v>32</v>
      </c>
      <c r="H31" s="38">
        <v>663.280573</v>
      </c>
      <c r="I31" s="38">
        <f t="shared" si="0"/>
        <v>0.66328057299999998</v>
      </c>
      <c r="J31" s="38">
        <v>2442</v>
      </c>
      <c r="K31" s="38">
        <v>2449</v>
      </c>
      <c r="L31" s="38">
        <v>2596</v>
      </c>
      <c r="M31" s="38">
        <v>7.5383000000000006E-2</v>
      </c>
      <c r="N31" s="38">
        <v>0.16683799999999999</v>
      </c>
      <c r="O31" s="38">
        <v>1364</v>
      </c>
      <c r="P31" s="38">
        <v>1314</v>
      </c>
      <c r="Q31" s="38">
        <v>663.280573</v>
      </c>
      <c r="R31" s="38" t="s">
        <v>119</v>
      </c>
      <c r="S31" s="38" t="s">
        <v>119</v>
      </c>
      <c r="T31" s="38" t="s">
        <v>119</v>
      </c>
      <c r="U31" s="38" t="s">
        <v>119</v>
      </c>
      <c r="V31" s="38" t="s">
        <v>119</v>
      </c>
      <c r="W31" s="38" t="s">
        <v>119</v>
      </c>
      <c r="X31" s="38" t="s">
        <v>258</v>
      </c>
    </row>
    <row r="32" spans="1:24" x14ac:dyDescent="0.45">
      <c r="A32" s="38" t="s">
        <v>288</v>
      </c>
      <c r="B32" s="38">
        <v>28</v>
      </c>
      <c r="C32" s="38" t="s">
        <v>257</v>
      </c>
      <c r="D32" s="38">
        <v>28</v>
      </c>
      <c r="E32" s="38">
        <v>31</v>
      </c>
      <c r="F32" s="38">
        <v>31</v>
      </c>
      <c r="G32" s="38">
        <v>32</v>
      </c>
      <c r="H32" s="38">
        <v>541.68154700000002</v>
      </c>
      <c r="I32" s="38">
        <f t="shared" si="0"/>
        <v>0.54168154700000004</v>
      </c>
      <c r="J32" s="38">
        <v>2443</v>
      </c>
      <c r="K32" s="38">
        <v>2449</v>
      </c>
      <c r="L32" s="38">
        <v>2597</v>
      </c>
      <c r="M32" s="38">
        <v>9.0458999999999998E-2</v>
      </c>
      <c r="N32" s="38">
        <v>0.11378000000000001</v>
      </c>
      <c r="O32" s="38">
        <v>1363</v>
      </c>
      <c r="P32" s="38">
        <v>1314</v>
      </c>
      <c r="Q32" s="38">
        <v>541.68154700000002</v>
      </c>
      <c r="R32" s="38" t="s">
        <v>119</v>
      </c>
      <c r="S32" s="38" t="s">
        <v>119</v>
      </c>
      <c r="T32" s="38" t="s">
        <v>119</v>
      </c>
      <c r="U32" s="38" t="s">
        <v>119</v>
      </c>
      <c r="V32" s="38" t="s">
        <v>119</v>
      </c>
      <c r="W32" s="38" t="s">
        <v>119</v>
      </c>
      <c r="X32" s="38" t="s">
        <v>258</v>
      </c>
    </row>
    <row r="33" spans="1:24" x14ac:dyDescent="0.45">
      <c r="A33" s="38" t="s">
        <v>289</v>
      </c>
      <c r="B33" s="38">
        <v>34</v>
      </c>
      <c r="C33" s="38" t="s">
        <v>257</v>
      </c>
      <c r="D33" s="38">
        <v>34</v>
      </c>
      <c r="E33" s="38">
        <v>32</v>
      </c>
      <c r="F33" s="38">
        <v>32</v>
      </c>
      <c r="G33" s="38">
        <v>39</v>
      </c>
      <c r="H33" s="38">
        <v>1249.784451</v>
      </c>
      <c r="I33" s="38">
        <f t="shared" si="0"/>
        <v>1.249784451</v>
      </c>
      <c r="J33" s="38">
        <v>2449</v>
      </c>
      <c r="K33" s="38">
        <v>2451</v>
      </c>
      <c r="L33" s="38">
        <v>2598</v>
      </c>
      <c r="M33" s="38">
        <v>5.5210000000000002E-2</v>
      </c>
      <c r="N33" s="38">
        <v>0.12671499999999999</v>
      </c>
      <c r="O33" s="38">
        <v>1314</v>
      </c>
      <c r="P33" s="38">
        <v>1245</v>
      </c>
      <c r="Q33" s="38">
        <v>1249.784451</v>
      </c>
      <c r="R33" s="38" t="s">
        <v>119</v>
      </c>
      <c r="S33" s="38" t="s">
        <v>119</v>
      </c>
      <c r="T33" s="38" t="s">
        <v>119</v>
      </c>
      <c r="U33" s="38" t="s">
        <v>119</v>
      </c>
      <c r="V33" s="38" t="s">
        <v>119</v>
      </c>
      <c r="W33" s="38" t="s">
        <v>119</v>
      </c>
      <c r="X33" s="38" t="s">
        <v>258</v>
      </c>
    </row>
    <row r="34" spans="1:24" x14ac:dyDescent="0.45">
      <c r="A34" s="38" t="s">
        <v>290</v>
      </c>
      <c r="B34" s="38">
        <v>29</v>
      </c>
      <c r="C34" s="38" t="s">
        <v>257</v>
      </c>
      <c r="D34" s="38">
        <v>29</v>
      </c>
      <c r="E34" s="38">
        <v>33</v>
      </c>
      <c r="F34" s="38">
        <v>33</v>
      </c>
      <c r="G34" s="38">
        <v>34</v>
      </c>
      <c r="H34" s="38">
        <v>126.960678</v>
      </c>
      <c r="I34" s="38">
        <f t="shared" si="0"/>
        <v>0.12696067799999999</v>
      </c>
      <c r="J34" s="38">
        <v>2444</v>
      </c>
      <c r="K34" s="38">
        <v>2447</v>
      </c>
      <c r="L34" s="38">
        <v>2599</v>
      </c>
      <c r="M34" s="38">
        <v>0.18903500000000001</v>
      </c>
      <c r="N34" s="38">
        <v>0.246228</v>
      </c>
      <c r="O34" s="38">
        <v>460</v>
      </c>
      <c r="P34" s="38">
        <v>436</v>
      </c>
      <c r="Q34" s="38">
        <v>126.960678</v>
      </c>
      <c r="R34" s="38" t="s">
        <v>119</v>
      </c>
      <c r="S34" s="38" t="s">
        <v>119</v>
      </c>
      <c r="T34" s="38" t="s">
        <v>119</v>
      </c>
      <c r="U34" s="38" t="s">
        <v>119</v>
      </c>
      <c r="V34" s="38" t="s">
        <v>119</v>
      </c>
      <c r="W34" s="38" t="s">
        <v>119</v>
      </c>
      <c r="X34" s="38" t="s">
        <v>258</v>
      </c>
    </row>
    <row r="35" spans="1:24" x14ac:dyDescent="0.45">
      <c r="A35" s="38" t="s">
        <v>291</v>
      </c>
      <c r="B35" s="38">
        <v>32</v>
      </c>
      <c r="C35" s="38" t="s">
        <v>257</v>
      </c>
      <c r="D35" s="38">
        <v>32</v>
      </c>
      <c r="E35" s="38">
        <v>34</v>
      </c>
      <c r="F35" s="38">
        <v>34</v>
      </c>
      <c r="G35" s="38">
        <v>36</v>
      </c>
      <c r="H35" s="38">
        <v>2687.4368669999999</v>
      </c>
      <c r="I35" s="38">
        <f t="shared" si="0"/>
        <v>2.6874368669999997</v>
      </c>
      <c r="J35" s="38">
        <v>2447</v>
      </c>
      <c r="K35" s="38">
        <v>2471</v>
      </c>
      <c r="L35" s="38">
        <v>2600</v>
      </c>
      <c r="M35" s="38">
        <v>5.2094000000000001E-2</v>
      </c>
      <c r="N35" s="38">
        <v>0.39371299999999998</v>
      </c>
      <c r="O35" s="38">
        <v>436</v>
      </c>
      <c r="P35" s="38">
        <v>296</v>
      </c>
      <c r="Q35" s="38">
        <v>2687.4368669999999</v>
      </c>
      <c r="R35" s="38" t="s">
        <v>119</v>
      </c>
      <c r="S35" s="38" t="s">
        <v>119</v>
      </c>
      <c r="T35" s="38" t="s">
        <v>119</v>
      </c>
      <c r="U35" s="38" t="s">
        <v>119</v>
      </c>
      <c r="V35" s="38" t="s">
        <v>119</v>
      </c>
      <c r="W35" s="38" t="s">
        <v>119</v>
      </c>
      <c r="X35" s="38" t="s">
        <v>258</v>
      </c>
    </row>
    <row r="36" spans="1:24" x14ac:dyDescent="0.45">
      <c r="A36" s="38" t="s">
        <v>292</v>
      </c>
      <c r="B36" s="38">
        <v>33</v>
      </c>
      <c r="C36" s="38" t="s">
        <v>257</v>
      </c>
      <c r="D36" s="38">
        <v>33</v>
      </c>
      <c r="E36" s="38">
        <v>35</v>
      </c>
      <c r="F36" s="38">
        <v>35</v>
      </c>
      <c r="G36" s="38">
        <v>38</v>
      </c>
      <c r="H36" s="38">
        <v>756.84658999999999</v>
      </c>
      <c r="I36" s="38">
        <f t="shared" si="0"/>
        <v>0.75684658999999999</v>
      </c>
      <c r="J36" s="38">
        <v>2448</v>
      </c>
      <c r="K36" s="38">
        <v>2455</v>
      </c>
      <c r="L36" s="38">
        <v>2601</v>
      </c>
      <c r="M36" s="38">
        <v>0.14005500000000001</v>
      </c>
      <c r="N36" s="38">
        <v>0.187945</v>
      </c>
      <c r="O36" s="38">
        <v>1220</v>
      </c>
      <c r="P36" s="38">
        <v>1114</v>
      </c>
      <c r="Q36" s="38">
        <v>756.84658999999999</v>
      </c>
      <c r="R36" s="38" t="s">
        <v>119</v>
      </c>
      <c r="S36" s="38" t="s">
        <v>119</v>
      </c>
      <c r="T36" s="38" t="s">
        <v>119</v>
      </c>
      <c r="U36" s="38" t="s">
        <v>119</v>
      </c>
      <c r="V36" s="38" t="s">
        <v>119</v>
      </c>
      <c r="W36" s="38" t="s">
        <v>119</v>
      </c>
      <c r="X36" s="38" t="s">
        <v>258</v>
      </c>
    </row>
    <row r="37" spans="1:24" x14ac:dyDescent="0.45">
      <c r="A37" s="38" t="s">
        <v>293</v>
      </c>
      <c r="B37" s="38">
        <v>36</v>
      </c>
      <c r="C37" s="38" t="s">
        <v>257</v>
      </c>
      <c r="D37" s="38">
        <v>36</v>
      </c>
      <c r="E37" s="38">
        <v>36</v>
      </c>
      <c r="F37" s="38">
        <v>39</v>
      </c>
      <c r="G37" s="38">
        <v>38</v>
      </c>
      <c r="H37" s="38">
        <v>2932.2591980000002</v>
      </c>
      <c r="I37" s="38">
        <f t="shared" si="0"/>
        <v>2.9322591980000001</v>
      </c>
      <c r="J37" s="38">
        <v>2451</v>
      </c>
      <c r="K37" s="38">
        <v>2455</v>
      </c>
      <c r="L37" s="38">
        <v>2602</v>
      </c>
      <c r="M37" s="38">
        <v>4.4674999999999999E-2</v>
      </c>
      <c r="N37" s="38">
        <v>0.19648599999999999</v>
      </c>
      <c r="O37" s="38">
        <v>1245</v>
      </c>
      <c r="P37" s="38">
        <v>1114</v>
      </c>
      <c r="Q37" s="38">
        <v>2932.2591980000002</v>
      </c>
      <c r="R37" s="38" t="s">
        <v>119</v>
      </c>
      <c r="S37" s="38" t="s">
        <v>119</v>
      </c>
      <c r="T37" s="38" t="s">
        <v>119</v>
      </c>
      <c r="U37" s="38" t="s">
        <v>119</v>
      </c>
      <c r="V37" s="38" t="s">
        <v>119</v>
      </c>
      <c r="W37" s="38" t="s">
        <v>119</v>
      </c>
      <c r="X37" s="38" t="s">
        <v>258</v>
      </c>
    </row>
    <row r="38" spans="1:24" x14ac:dyDescent="0.45">
      <c r="A38" s="38" t="s">
        <v>294</v>
      </c>
      <c r="B38" s="38">
        <v>56</v>
      </c>
      <c r="C38" s="38" t="s">
        <v>257</v>
      </c>
      <c r="D38" s="38">
        <v>56</v>
      </c>
      <c r="E38" s="38">
        <v>37</v>
      </c>
      <c r="F38" s="38">
        <v>36</v>
      </c>
      <c r="G38" s="38">
        <v>59</v>
      </c>
      <c r="H38" s="38">
        <v>9607.7425970000004</v>
      </c>
      <c r="I38" s="38">
        <f t="shared" si="0"/>
        <v>9.6077425969999997</v>
      </c>
      <c r="J38" s="38">
        <v>2471</v>
      </c>
      <c r="K38" s="38">
        <v>2481</v>
      </c>
      <c r="L38" s="38">
        <v>2603</v>
      </c>
      <c r="M38" s="38">
        <v>1.4572E-2</v>
      </c>
      <c r="N38" s="38">
        <v>0.12758900000000001</v>
      </c>
      <c r="O38" s="38">
        <v>296</v>
      </c>
      <c r="P38" s="38">
        <v>156</v>
      </c>
      <c r="Q38" s="38">
        <v>9607.7425970000004</v>
      </c>
      <c r="R38" s="38" t="s">
        <v>119</v>
      </c>
      <c r="S38" s="38" t="s">
        <v>119</v>
      </c>
      <c r="T38" s="38" t="s">
        <v>119</v>
      </c>
      <c r="U38" s="38" t="s">
        <v>119</v>
      </c>
      <c r="V38" s="38" t="s">
        <v>119</v>
      </c>
      <c r="W38" s="38" t="s">
        <v>119</v>
      </c>
      <c r="X38" s="38" t="s">
        <v>258</v>
      </c>
    </row>
    <row r="39" spans="1:24" x14ac:dyDescent="0.45">
      <c r="A39" s="38" t="s">
        <v>295</v>
      </c>
      <c r="B39" s="38">
        <v>35</v>
      </c>
      <c r="C39" s="38" t="s">
        <v>257</v>
      </c>
      <c r="D39" s="38">
        <v>35</v>
      </c>
      <c r="E39" s="38">
        <v>38</v>
      </c>
      <c r="F39" s="38">
        <v>37</v>
      </c>
      <c r="G39" s="38">
        <v>34</v>
      </c>
      <c r="H39" s="38">
        <v>2376.7135619999999</v>
      </c>
      <c r="I39" s="38">
        <f t="shared" si="0"/>
        <v>2.3767135619999999</v>
      </c>
      <c r="J39" s="38">
        <v>2450</v>
      </c>
      <c r="K39" s="38">
        <v>2447</v>
      </c>
      <c r="L39" s="38">
        <v>2604</v>
      </c>
      <c r="M39" s="38">
        <v>8.4570999999999993E-2</v>
      </c>
      <c r="N39" s="38">
        <v>0.43127199999999999</v>
      </c>
      <c r="O39" s="38">
        <v>637</v>
      </c>
      <c r="P39" s="38">
        <v>436</v>
      </c>
      <c r="Q39" s="38">
        <v>2376.7135619999999</v>
      </c>
      <c r="R39" s="38" t="s">
        <v>119</v>
      </c>
      <c r="S39" s="38" t="s">
        <v>119</v>
      </c>
      <c r="T39" s="38" t="s">
        <v>119</v>
      </c>
      <c r="U39" s="38" t="s">
        <v>119</v>
      </c>
      <c r="V39" s="38" t="s">
        <v>119</v>
      </c>
      <c r="W39" s="38" t="s">
        <v>119</v>
      </c>
      <c r="X39" s="38" t="s">
        <v>258</v>
      </c>
    </row>
    <row r="40" spans="1:24" x14ac:dyDescent="0.45">
      <c r="A40" s="38" t="s">
        <v>296</v>
      </c>
      <c r="B40" s="38">
        <v>38</v>
      </c>
      <c r="C40" s="38" t="s">
        <v>257</v>
      </c>
      <c r="D40" s="38">
        <v>38</v>
      </c>
      <c r="E40" s="38">
        <v>39</v>
      </c>
      <c r="F40" s="38">
        <v>40</v>
      </c>
      <c r="G40" s="38">
        <v>37</v>
      </c>
      <c r="H40" s="38">
        <v>4002.7543260000002</v>
      </c>
      <c r="I40" s="38">
        <f t="shared" si="0"/>
        <v>4.0027543259999998</v>
      </c>
      <c r="J40" s="38">
        <v>2453</v>
      </c>
      <c r="K40" s="38">
        <v>2450</v>
      </c>
      <c r="L40" s="38">
        <v>2605</v>
      </c>
      <c r="M40" s="38">
        <v>5.7210999999999998E-2</v>
      </c>
      <c r="N40" s="38">
        <v>0.236571</v>
      </c>
      <c r="O40" s="38">
        <v>866</v>
      </c>
      <c r="P40" s="38">
        <v>637</v>
      </c>
      <c r="Q40" s="38">
        <v>4002.7543260000002</v>
      </c>
      <c r="R40" s="38" t="s">
        <v>119</v>
      </c>
      <c r="S40" s="38" t="s">
        <v>119</v>
      </c>
      <c r="T40" s="38" t="s">
        <v>119</v>
      </c>
      <c r="U40" s="38" t="s">
        <v>119</v>
      </c>
      <c r="V40" s="38" t="s">
        <v>119</v>
      </c>
      <c r="W40" s="38" t="s">
        <v>119</v>
      </c>
      <c r="X40" s="38" t="s">
        <v>258</v>
      </c>
    </row>
    <row r="41" spans="1:24" x14ac:dyDescent="0.45">
      <c r="A41" s="38" t="s">
        <v>297</v>
      </c>
      <c r="B41" s="38">
        <v>39</v>
      </c>
      <c r="C41" s="38" t="s">
        <v>257</v>
      </c>
      <c r="D41" s="38">
        <v>39</v>
      </c>
      <c r="E41" s="38">
        <v>40</v>
      </c>
      <c r="F41" s="38">
        <v>41</v>
      </c>
      <c r="G41" s="38">
        <v>39</v>
      </c>
      <c r="H41" s="38">
        <v>983.10290299999997</v>
      </c>
      <c r="I41" s="38">
        <f t="shared" si="0"/>
        <v>0.98310290299999992</v>
      </c>
      <c r="J41" s="38">
        <v>2454</v>
      </c>
      <c r="K41" s="38">
        <v>2451</v>
      </c>
      <c r="L41" s="38">
        <v>2606</v>
      </c>
      <c r="M41" s="38">
        <v>0.11595900000000001</v>
      </c>
      <c r="N41" s="38">
        <v>0.177398</v>
      </c>
      <c r="O41" s="38">
        <v>1359</v>
      </c>
      <c r="P41" s="38">
        <v>1245</v>
      </c>
      <c r="Q41" s="38">
        <v>983.10290299999997</v>
      </c>
      <c r="R41" s="38" t="s">
        <v>119</v>
      </c>
      <c r="S41" s="38" t="s">
        <v>119</v>
      </c>
      <c r="T41" s="38" t="s">
        <v>119</v>
      </c>
      <c r="U41" s="38" t="s">
        <v>119</v>
      </c>
      <c r="V41" s="38" t="s">
        <v>119</v>
      </c>
      <c r="W41" s="38" t="s">
        <v>119</v>
      </c>
      <c r="X41" s="38" t="s">
        <v>258</v>
      </c>
    </row>
    <row r="42" spans="1:24" x14ac:dyDescent="0.45">
      <c r="A42" s="38" t="s">
        <v>298</v>
      </c>
      <c r="B42" s="38">
        <v>40</v>
      </c>
      <c r="C42" s="38" t="s">
        <v>257</v>
      </c>
      <c r="D42" s="38">
        <v>40</v>
      </c>
      <c r="E42" s="38">
        <v>41</v>
      </c>
      <c r="F42" s="38">
        <v>38</v>
      </c>
      <c r="G42" s="38">
        <v>40</v>
      </c>
      <c r="H42" s="38">
        <v>5682.1960650000001</v>
      </c>
      <c r="I42" s="38">
        <f t="shared" si="0"/>
        <v>5.6821960650000003</v>
      </c>
      <c r="J42" s="38">
        <v>2455</v>
      </c>
      <c r="K42" s="38">
        <v>2453</v>
      </c>
      <c r="L42" s="38">
        <v>2607</v>
      </c>
      <c r="M42" s="38">
        <v>4.3645000000000003E-2</v>
      </c>
      <c r="N42" s="38">
        <v>0.247337</v>
      </c>
      <c r="O42" s="38">
        <v>1114</v>
      </c>
      <c r="P42" s="38">
        <v>866</v>
      </c>
      <c r="Q42" s="38">
        <v>5682.1960650000001</v>
      </c>
      <c r="R42" s="38" t="s">
        <v>119</v>
      </c>
      <c r="S42" s="38" t="s">
        <v>119</v>
      </c>
      <c r="T42" s="38" t="s">
        <v>119</v>
      </c>
      <c r="U42" s="38" t="s">
        <v>119</v>
      </c>
      <c r="V42" s="38" t="s">
        <v>119</v>
      </c>
      <c r="W42" s="38" t="s">
        <v>119</v>
      </c>
      <c r="X42" s="38" t="s">
        <v>258</v>
      </c>
    </row>
    <row r="43" spans="1:24" x14ac:dyDescent="0.45">
      <c r="A43" s="38" t="s">
        <v>299</v>
      </c>
      <c r="B43" s="38">
        <v>44</v>
      </c>
      <c r="C43" s="38" t="s">
        <v>257</v>
      </c>
      <c r="D43" s="38">
        <v>44</v>
      </c>
      <c r="E43" s="38">
        <v>42</v>
      </c>
      <c r="F43" s="38">
        <v>44</v>
      </c>
      <c r="G43" s="38">
        <v>48</v>
      </c>
      <c r="H43" s="38">
        <v>7719.0809829999998</v>
      </c>
      <c r="I43" s="38">
        <f t="shared" si="0"/>
        <v>7.7190809829999996</v>
      </c>
      <c r="J43" s="38">
        <v>2459</v>
      </c>
      <c r="K43" s="38">
        <v>2462</v>
      </c>
      <c r="L43" s="38">
        <v>2608</v>
      </c>
      <c r="M43" s="38">
        <v>7.3454000000000005E-2</v>
      </c>
      <c r="N43" s="38">
        <v>0.22942699999999999</v>
      </c>
      <c r="O43" s="38">
        <v>1279</v>
      </c>
      <c r="P43" s="38">
        <v>712</v>
      </c>
      <c r="Q43" s="38">
        <v>7719.0809829999998</v>
      </c>
      <c r="R43" s="38" t="s">
        <v>119</v>
      </c>
      <c r="S43" s="38" t="s">
        <v>119</v>
      </c>
      <c r="T43" s="38" t="s">
        <v>119</v>
      </c>
      <c r="U43" s="38" t="s">
        <v>119</v>
      </c>
      <c r="V43" s="38" t="s">
        <v>119</v>
      </c>
      <c r="W43" s="38" t="s">
        <v>119</v>
      </c>
      <c r="X43" s="38" t="s">
        <v>258</v>
      </c>
    </row>
    <row r="44" spans="1:24" x14ac:dyDescent="0.45">
      <c r="A44" s="38" t="s">
        <v>300</v>
      </c>
      <c r="B44" s="38">
        <v>41</v>
      </c>
      <c r="C44" s="38" t="s">
        <v>257</v>
      </c>
      <c r="D44" s="38">
        <v>41</v>
      </c>
      <c r="E44" s="38">
        <v>43</v>
      </c>
      <c r="F44" s="38">
        <v>42</v>
      </c>
      <c r="G44" s="38">
        <v>45</v>
      </c>
      <c r="H44" s="38">
        <v>595.52669500000002</v>
      </c>
      <c r="I44" s="38">
        <f t="shared" si="0"/>
        <v>0.59552669499999999</v>
      </c>
      <c r="J44" s="38">
        <v>2456</v>
      </c>
      <c r="K44" s="38">
        <v>2469</v>
      </c>
      <c r="L44" s="38">
        <v>2609</v>
      </c>
      <c r="M44" s="38">
        <v>0.27202799999999999</v>
      </c>
      <c r="N44" s="38">
        <v>0.32708999999999999</v>
      </c>
      <c r="O44" s="38">
        <v>520</v>
      </c>
      <c r="P44" s="38">
        <v>358</v>
      </c>
      <c r="Q44" s="38">
        <v>595.52669500000002</v>
      </c>
      <c r="R44" s="38" t="s">
        <v>119</v>
      </c>
      <c r="S44" s="38" t="s">
        <v>119</v>
      </c>
      <c r="T44" s="38" t="s">
        <v>119</v>
      </c>
      <c r="U44" s="38" t="s">
        <v>119</v>
      </c>
      <c r="V44" s="38" t="s">
        <v>119</v>
      </c>
      <c r="W44" s="38" t="s">
        <v>119</v>
      </c>
      <c r="X44" s="38" t="s">
        <v>258</v>
      </c>
    </row>
    <row r="45" spans="1:24" x14ac:dyDescent="0.45">
      <c r="A45" s="38" t="s">
        <v>301</v>
      </c>
      <c r="B45" s="38">
        <v>43</v>
      </c>
      <c r="C45" s="38" t="s">
        <v>257</v>
      </c>
      <c r="D45" s="38">
        <v>43</v>
      </c>
      <c r="E45" s="38">
        <v>44</v>
      </c>
      <c r="F45" s="38">
        <v>43</v>
      </c>
      <c r="G45" s="38">
        <v>47</v>
      </c>
      <c r="H45" s="38">
        <v>2896.2757019999999</v>
      </c>
      <c r="I45" s="38">
        <f t="shared" si="0"/>
        <v>2.8962757020000001</v>
      </c>
      <c r="J45" s="38">
        <v>2458</v>
      </c>
      <c r="K45" s="38">
        <v>2457</v>
      </c>
      <c r="L45" s="38">
        <v>2610</v>
      </c>
      <c r="M45" s="38">
        <v>0.12809599999999999</v>
      </c>
      <c r="N45" s="38">
        <v>0.205378</v>
      </c>
      <c r="O45" s="38">
        <v>807</v>
      </c>
      <c r="P45" s="38">
        <v>436</v>
      </c>
      <c r="Q45" s="38">
        <v>2896.2757019999999</v>
      </c>
      <c r="R45" s="38" t="s">
        <v>119</v>
      </c>
      <c r="S45" s="38" t="s">
        <v>119</v>
      </c>
      <c r="T45" s="38" t="s">
        <v>119</v>
      </c>
      <c r="U45" s="38" t="s">
        <v>119</v>
      </c>
      <c r="V45" s="38" t="s">
        <v>119</v>
      </c>
      <c r="W45" s="38" t="s">
        <v>119</v>
      </c>
      <c r="X45" s="38" t="s">
        <v>258</v>
      </c>
    </row>
    <row r="46" spans="1:24" x14ac:dyDescent="0.45">
      <c r="A46" s="38" t="s">
        <v>302</v>
      </c>
      <c r="B46" s="38">
        <v>48</v>
      </c>
      <c r="C46" s="38" t="s">
        <v>257</v>
      </c>
      <c r="D46" s="38">
        <v>48</v>
      </c>
      <c r="E46" s="38">
        <v>45</v>
      </c>
      <c r="F46" s="38">
        <v>51</v>
      </c>
      <c r="G46" s="38">
        <v>52</v>
      </c>
      <c r="H46" s="38">
        <v>17547.197859</v>
      </c>
      <c r="I46" s="38">
        <f t="shared" si="0"/>
        <v>17.547197859000001</v>
      </c>
      <c r="J46" s="38">
        <v>2463</v>
      </c>
      <c r="K46" s="38">
        <v>2467</v>
      </c>
      <c r="L46" s="38">
        <v>2611</v>
      </c>
      <c r="M46" s="38">
        <v>1.2539999999999999E-3</v>
      </c>
      <c r="N46" s="38">
        <v>9.6231999999999998E-2</v>
      </c>
      <c r="O46" s="38">
        <v>105</v>
      </c>
      <c r="P46" s="38">
        <v>83</v>
      </c>
      <c r="Q46" s="38">
        <v>17547.197859</v>
      </c>
      <c r="R46" s="38" t="s">
        <v>119</v>
      </c>
      <c r="S46" s="38" t="s">
        <v>119</v>
      </c>
      <c r="T46" s="38" t="s">
        <v>119</v>
      </c>
      <c r="U46" s="38" t="s">
        <v>119</v>
      </c>
      <c r="V46" s="38" t="s">
        <v>119</v>
      </c>
      <c r="W46" s="38" t="s">
        <v>119</v>
      </c>
      <c r="X46" s="38" t="s">
        <v>258</v>
      </c>
    </row>
    <row r="47" spans="1:24" x14ac:dyDescent="0.45">
      <c r="A47" s="38" t="s">
        <v>303</v>
      </c>
      <c r="B47" s="38">
        <v>54</v>
      </c>
      <c r="C47" s="38" t="s">
        <v>257</v>
      </c>
      <c r="D47" s="38">
        <v>54</v>
      </c>
      <c r="E47" s="38">
        <v>46</v>
      </c>
      <c r="F47" s="38">
        <v>45</v>
      </c>
      <c r="G47" s="38">
        <v>58</v>
      </c>
      <c r="H47" s="38">
        <v>5513.9348799999998</v>
      </c>
      <c r="I47" s="38">
        <f t="shared" si="0"/>
        <v>5.5139348799999999</v>
      </c>
      <c r="J47" s="38">
        <v>2469</v>
      </c>
      <c r="K47" s="38">
        <v>2472</v>
      </c>
      <c r="L47" s="38">
        <v>2612</v>
      </c>
      <c r="M47" s="38">
        <v>2.6478000000000002E-2</v>
      </c>
      <c r="N47" s="38">
        <v>0.16626199999999999</v>
      </c>
      <c r="O47" s="38">
        <v>358</v>
      </c>
      <c r="P47" s="38">
        <v>212</v>
      </c>
      <c r="Q47" s="38">
        <v>5513.9348799999998</v>
      </c>
      <c r="R47" s="38" t="s">
        <v>119</v>
      </c>
      <c r="S47" s="38" t="s">
        <v>119</v>
      </c>
      <c r="T47" s="38" t="s">
        <v>119</v>
      </c>
      <c r="U47" s="38" t="s">
        <v>119</v>
      </c>
      <c r="V47" s="38" t="s">
        <v>119</v>
      </c>
      <c r="W47" s="38" t="s">
        <v>119</v>
      </c>
      <c r="X47" s="38" t="s">
        <v>258</v>
      </c>
    </row>
    <row r="48" spans="1:24" x14ac:dyDescent="0.45">
      <c r="A48" s="38" t="s">
        <v>304</v>
      </c>
      <c r="B48" s="38">
        <v>42</v>
      </c>
      <c r="C48" s="38" t="s">
        <v>257</v>
      </c>
      <c r="D48" s="38">
        <v>42</v>
      </c>
      <c r="E48" s="38">
        <v>47</v>
      </c>
      <c r="F48" s="38">
        <v>47</v>
      </c>
      <c r="G48" s="38">
        <v>45</v>
      </c>
      <c r="H48" s="38">
        <v>1242.8300859999999</v>
      </c>
      <c r="I48" s="38">
        <f t="shared" si="0"/>
        <v>1.2428300859999999</v>
      </c>
      <c r="J48" s="38">
        <v>2457</v>
      </c>
      <c r="K48" s="38">
        <v>2469</v>
      </c>
      <c r="L48" s="38">
        <v>2613</v>
      </c>
      <c r="M48" s="38">
        <v>6.2759999999999996E-2</v>
      </c>
      <c r="N48" s="38">
        <v>0.238868</v>
      </c>
      <c r="O48" s="38">
        <v>436</v>
      </c>
      <c r="P48" s="38">
        <v>358</v>
      </c>
      <c r="Q48" s="38">
        <v>1242.8300859999999</v>
      </c>
      <c r="R48" s="38" t="s">
        <v>119</v>
      </c>
      <c r="S48" s="38" t="s">
        <v>119</v>
      </c>
      <c r="T48" s="38" t="s">
        <v>119</v>
      </c>
      <c r="U48" s="38" t="s">
        <v>119</v>
      </c>
      <c r="V48" s="38" t="s">
        <v>119</v>
      </c>
      <c r="W48" s="38" t="s">
        <v>119</v>
      </c>
      <c r="X48" s="38" t="s">
        <v>258</v>
      </c>
    </row>
    <row r="49" spans="1:24" x14ac:dyDescent="0.45">
      <c r="A49" s="38" t="s">
        <v>305</v>
      </c>
      <c r="B49" s="38">
        <v>51</v>
      </c>
      <c r="C49" s="38" t="s">
        <v>257</v>
      </c>
      <c r="D49" s="38">
        <v>51</v>
      </c>
      <c r="E49" s="38">
        <v>48</v>
      </c>
      <c r="F49" s="38">
        <v>46</v>
      </c>
      <c r="G49" s="38">
        <v>55</v>
      </c>
      <c r="H49" s="38">
        <v>3958.2683950000001</v>
      </c>
      <c r="I49" s="38">
        <f t="shared" si="0"/>
        <v>3.9582683950000002</v>
      </c>
      <c r="J49" s="38">
        <v>2466</v>
      </c>
      <c r="K49" s="38">
        <v>2465</v>
      </c>
      <c r="L49" s="38">
        <v>2614</v>
      </c>
      <c r="M49" s="38">
        <v>1E-3</v>
      </c>
      <c r="N49" s="38">
        <v>6.6142000000000006E-2</v>
      </c>
      <c r="O49" s="38">
        <v>74</v>
      </c>
      <c r="P49" s="38">
        <v>76</v>
      </c>
      <c r="Q49" s="38">
        <v>3958.2683950000001</v>
      </c>
      <c r="R49" s="38" t="s">
        <v>119</v>
      </c>
      <c r="S49" s="38" t="s">
        <v>119</v>
      </c>
      <c r="T49" s="38" t="s">
        <v>119</v>
      </c>
      <c r="U49" s="38" t="s">
        <v>119</v>
      </c>
      <c r="V49" s="38" t="s">
        <v>119</v>
      </c>
      <c r="W49" s="38" t="s">
        <v>119</v>
      </c>
      <c r="X49" s="38" t="s">
        <v>258</v>
      </c>
    </row>
    <row r="50" spans="1:24" x14ac:dyDescent="0.45">
      <c r="A50" s="38" t="s">
        <v>306</v>
      </c>
      <c r="B50" s="38">
        <v>47</v>
      </c>
      <c r="C50" s="38" t="s">
        <v>257</v>
      </c>
      <c r="D50" s="38">
        <v>47</v>
      </c>
      <c r="E50" s="38">
        <v>49</v>
      </c>
      <c r="F50" s="38">
        <v>48</v>
      </c>
      <c r="G50" s="38">
        <v>47</v>
      </c>
      <c r="H50" s="38">
        <v>6274.6581850000002</v>
      </c>
      <c r="I50" s="38">
        <f t="shared" si="0"/>
        <v>6.2746581849999998</v>
      </c>
      <c r="J50" s="38">
        <v>2462</v>
      </c>
      <c r="K50" s="38">
        <v>2457</v>
      </c>
      <c r="L50" s="38">
        <v>2615</v>
      </c>
      <c r="M50" s="38">
        <v>4.3985999999999997E-2</v>
      </c>
      <c r="N50" s="38">
        <v>0.29125499999999999</v>
      </c>
      <c r="O50" s="38">
        <v>712</v>
      </c>
      <c r="P50" s="38">
        <v>436</v>
      </c>
      <c r="Q50" s="38">
        <v>6274.6581850000002</v>
      </c>
      <c r="R50" s="38" t="s">
        <v>119</v>
      </c>
      <c r="S50" s="38" t="s">
        <v>119</v>
      </c>
      <c r="T50" s="38" t="s">
        <v>119</v>
      </c>
      <c r="U50" s="38" t="s">
        <v>119</v>
      </c>
      <c r="V50" s="38" t="s">
        <v>119</v>
      </c>
      <c r="W50" s="38" t="s">
        <v>119</v>
      </c>
      <c r="X50" s="38" t="s">
        <v>258</v>
      </c>
    </row>
    <row r="51" spans="1:24" x14ac:dyDescent="0.45">
      <c r="A51" s="38" t="s">
        <v>307</v>
      </c>
      <c r="B51" s="38">
        <v>58</v>
      </c>
      <c r="C51" s="38" t="s">
        <v>257</v>
      </c>
      <c r="D51" s="38">
        <v>58</v>
      </c>
      <c r="E51" s="38">
        <v>50</v>
      </c>
      <c r="F51" s="38">
        <v>60</v>
      </c>
      <c r="G51" s="38">
        <v>54</v>
      </c>
      <c r="H51" s="38">
        <v>11236.264421</v>
      </c>
      <c r="I51" s="38">
        <f t="shared" si="0"/>
        <v>11.236264421</v>
      </c>
      <c r="J51" s="38">
        <v>2473</v>
      </c>
      <c r="K51" s="38">
        <v>2464</v>
      </c>
      <c r="L51" s="38">
        <v>2616</v>
      </c>
      <c r="M51" s="38">
        <v>2.0470000000000002E-3</v>
      </c>
      <c r="N51" s="38">
        <v>7.0580000000000004E-2</v>
      </c>
      <c r="O51" s="38">
        <v>102</v>
      </c>
      <c r="P51" s="38">
        <v>79</v>
      </c>
      <c r="Q51" s="38">
        <v>11236.264421</v>
      </c>
      <c r="R51" s="38" t="s">
        <v>119</v>
      </c>
      <c r="S51" s="38" t="s">
        <v>119</v>
      </c>
      <c r="T51" s="38" t="s">
        <v>119</v>
      </c>
      <c r="U51" s="38" t="s">
        <v>119</v>
      </c>
      <c r="V51" s="38" t="s">
        <v>119</v>
      </c>
      <c r="W51" s="38" t="s">
        <v>119</v>
      </c>
      <c r="X51" s="38" t="s">
        <v>258</v>
      </c>
    </row>
    <row r="52" spans="1:24" x14ac:dyDescent="0.45">
      <c r="A52" s="38" t="s">
        <v>308</v>
      </c>
      <c r="B52" s="38">
        <v>46</v>
      </c>
      <c r="C52" s="38" t="s">
        <v>257</v>
      </c>
      <c r="D52" s="38">
        <v>46</v>
      </c>
      <c r="E52" s="38">
        <v>51</v>
      </c>
      <c r="F52" s="38">
        <v>49</v>
      </c>
      <c r="G52" s="38">
        <v>50</v>
      </c>
      <c r="H52" s="38">
        <v>3105.2985189999999</v>
      </c>
      <c r="I52" s="38">
        <f t="shared" si="0"/>
        <v>3.1052985189999998</v>
      </c>
      <c r="J52" s="38">
        <v>2461</v>
      </c>
      <c r="K52" s="38">
        <v>2460</v>
      </c>
      <c r="L52" s="38">
        <v>2617</v>
      </c>
      <c r="M52" s="38">
        <v>9.3066999999999997E-2</v>
      </c>
      <c r="N52" s="38">
        <v>0.204487</v>
      </c>
      <c r="O52" s="38">
        <v>1088</v>
      </c>
      <c r="P52" s="38">
        <v>799</v>
      </c>
      <c r="Q52" s="38">
        <v>3105.2985189999999</v>
      </c>
      <c r="R52" s="38" t="s">
        <v>119</v>
      </c>
      <c r="S52" s="38" t="s">
        <v>119</v>
      </c>
      <c r="T52" s="38" t="s">
        <v>119</v>
      </c>
      <c r="U52" s="38" t="s">
        <v>119</v>
      </c>
      <c r="V52" s="38" t="s">
        <v>119</v>
      </c>
      <c r="W52" s="38" t="s">
        <v>119</v>
      </c>
      <c r="X52" s="38" t="s">
        <v>258</v>
      </c>
    </row>
    <row r="53" spans="1:24" x14ac:dyDescent="0.45">
      <c r="A53" s="38" t="s">
        <v>309</v>
      </c>
      <c r="B53" s="38">
        <v>55</v>
      </c>
      <c r="C53" s="38" t="s">
        <v>257</v>
      </c>
      <c r="D53" s="38">
        <v>55</v>
      </c>
      <c r="E53" s="38">
        <v>52</v>
      </c>
      <c r="F53" s="38">
        <v>53</v>
      </c>
      <c r="G53" s="38">
        <v>56</v>
      </c>
      <c r="H53" s="38">
        <v>9379.5571720000007</v>
      </c>
      <c r="I53" s="38">
        <f t="shared" si="0"/>
        <v>9.3795571720000002</v>
      </c>
      <c r="J53" s="38">
        <v>2470</v>
      </c>
      <c r="K53" s="38">
        <v>2476</v>
      </c>
      <c r="L53" s="38">
        <v>2618</v>
      </c>
      <c r="M53" s="38">
        <v>6.4000000000000005E-4</v>
      </c>
      <c r="N53" s="38">
        <v>7.8312000000000007E-2</v>
      </c>
      <c r="O53" s="38">
        <v>70</v>
      </c>
      <c r="P53" s="38">
        <v>64</v>
      </c>
      <c r="Q53" s="38">
        <v>9379.5571720000007</v>
      </c>
      <c r="R53" s="38" t="s">
        <v>119</v>
      </c>
      <c r="S53" s="38" t="s">
        <v>119</v>
      </c>
      <c r="T53" s="38" t="s">
        <v>119</v>
      </c>
      <c r="U53" s="38" t="s">
        <v>119</v>
      </c>
      <c r="V53" s="38" t="s">
        <v>119</v>
      </c>
      <c r="W53" s="38" t="s">
        <v>119</v>
      </c>
      <c r="X53" s="38" t="s">
        <v>258</v>
      </c>
    </row>
    <row r="54" spans="1:24" x14ac:dyDescent="0.45">
      <c r="A54" s="38" t="s">
        <v>310</v>
      </c>
      <c r="B54" s="38">
        <v>45</v>
      </c>
      <c r="C54" s="38" t="s">
        <v>257</v>
      </c>
      <c r="D54" s="38">
        <v>45</v>
      </c>
      <c r="E54" s="38">
        <v>53</v>
      </c>
      <c r="F54" s="38">
        <v>50</v>
      </c>
      <c r="G54" s="38">
        <v>48</v>
      </c>
      <c r="H54" s="38">
        <v>1548.528137</v>
      </c>
      <c r="I54" s="38">
        <f t="shared" si="0"/>
        <v>1.5485281369999999</v>
      </c>
      <c r="J54" s="38">
        <v>2460</v>
      </c>
      <c r="K54" s="38">
        <v>2462</v>
      </c>
      <c r="L54" s="38">
        <v>2619</v>
      </c>
      <c r="M54" s="38">
        <v>5.6182000000000003E-2</v>
      </c>
      <c r="N54" s="38">
        <v>0.18715100000000001</v>
      </c>
      <c r="O54" s="38">
        <v>799</v>
      </c>
      <c r="P54" s="38">
        <v>712</v>
      </c>
      <c r="Q54" s="38">
        <v>1548.528137</v>
      </c>
      <c r="R54" s="38" t="s">
        <v>119</v>
      </c>
      <c r="S54" s="38" t="s">
        <v>119</v>
      </c>
      <c r="T54" s="38" t="s">
        <v>119</v>
      </c>
      <c r="U54" s="38" t="s">
        <v>119</v>
      </c>
      <c r="V54" s="38" t="s">
        <v>119</v>
      </c>
      <c r="W54" s="38" t="s">
        <v>119</v>
      </c>
      <c r="X54" s="38" t="s">
        <v>258</v>
      </c>
    </row>
    <row r="55" spans="1:24" x14ac:dyDescent="0.45">
      <c r="A55" s="38" t="s">
        <v>311</v>
      </c>
      <c r="B55" s="38">
        <v>53</v>
      </c>
      <c r="C55" s="38" t="s">
        <v>257</v>
      </c>
      <c r="D55" s="38">
        <v>53</v>
      </c>
      <c r="E55" s="38">
        <v>54</v>
      </c>
      <c r="F55" s="38">
        <v>57</v>
      </c>
      <c r="G55" s="38">
        <v>51</v>
      </c>
      <c r="H55" s="38">
        <v>1550.9329889999999</v>
      </c>
      <c r="I55" s="38">
        <f t="shared" si="0"/>
        <v>1.5509329889999999</v>
      </c>
      <c r="J55" s="38">
        <v>2468</v>
      </c>
      <c r="K55" s="38">
        <v>2463</v>
      </c>
      <c r="L55" s="38">
        <v>2620</v>
      </c>
      <c r="M55" s="38">
        <v>3.2239999999999999E-3</v>
      </c>
      <c r="N55" s="38">
        <v>7.0733000000000004E-2</v>
      </c>
      <c r="O55" s="38">
        <v>110</v>
      </c>
      <c r="P55" s="38">
        <v>105</v>
      </c>
      <c r="Q55" s="38">
        <v>1550.9329889999999</v>
      </c>
      <c r="R55" s="38" t="s">
        <v>119</v>
      </c>
      <c r="S55" s="38" t="s">
        <v>119</v>
      </c>
      <c r="T55" s="38" t="s">
        <v>119</v>
      </c>
      <c r="U55" s="38" t="s">
        <v>119</v>
      </c>
      <c r="V55" s="38" t="s">
        <v>119</v>
      </c>
      <c r="W55" s="38" t="s">
        <v>119</v>
      </c>
      <c r="X55" s="38" t="s">
        <v>258</v>
      </c>
    </row>
    <row r="56" spans="1:24" x14ac:dyDescent="0.45">
      <c r="A56" s="38" t="s">
        <v>312</v>
      </c>
      <c r="B56" s="38">
        <v>52</v>
      </c>
      <c r="C56" s="38" t="s">
        <v>257</v>
      </c>
      <c r="D56" s="38">
        <v>52</v>
      </c>
      <c r="E56" s="38">
        <v>55</v>
      </c>
      <c r="F56" s="38">
        <v>52</v>
      </c>
      <c r="G56" s="38">
        <v>55</v>
      </c>
      <c r="H56" s="38">
        <v>4660.2290730000004</v>
      </c>
      <c r="I56" s="38">
        <f t="shared" si="0"/>
        <v>4.660229073</v>
      </c>
      <c r="J56" s="38">
        <v>2467</v>
      </c>
      <c r="K56" s="38">
        <v>2465</v>
      </c>
      <c r="L56" s="38">
        <v>2621</v>
      </c>
      <c r="M56" s="38">
        <v>1.5020000000000001E-3</v>
      </c>
      <c r="N56" s="38">
        <v>9.3675999999999995E-2</v>
      </c>
      <c r="O56" s="38">
        <v>83</v>
      </c>
      <c r="P56" s="38">
        <v>76</v>
      </c>
      <c r="Q56" s="38">
        <v>4660.2290730000004</v>
      </c>
      <c r="R56" s="38" t="s">
        <v>119</v>
      </c>
      <c r="S56" s="38" t="s">
        <v>119</v>
      </c>
      <c r="T56" s="38" t="s">
        <v>119</v>
      </c>
      <c r="U56" s="38" t="s">
        <v>119</v>
      </c>
      <c r="V56" s="38" t="s">
        <v>119</v>
      </c>
      <c r="W56" s="38" t="s">
        <v>119</v>
      </c>
      <c r="X56" s="38" t="s">
        <v>258</v>
      </c>
    </row>
    <row r="57" spans="1:24" x14ac:dyDescent="0.45">
      <c r="A57" s="38" t="s">
        <v>313</v>
      </c>
      <c r="B57" s="38">
        <v>49</v>
      </c>
      <c r="C57" s="38" t="s">
        <v>257</v>
      </c>
      <c r="D57" s="38">
        <v>49</v>
      </c>
      <c r="E57" s="38">
        <v>56</v>
      </c>
      <c r="F57" s="38">
        <v>54</v>
      </c>
      <c r="G57" s="38">
        <v>52</v>
      </c>
      <c r="H57" s="38">
        <v>1048.0077550000001</v>
      </c>
      <c r="I57" s="38">
        <f t="shared" si="0"/>
        <v>1.048007755</v>
      </c>
      <c r="J57" s="38">
        <v>2464</v>
      </c>
      <c r="K57" s="38">
        <v>2467</v>
      </c>
      <c r="L57" s="38">
        <v>2622</v>
      </c>
      <c r="M57" s="38">
        <v>1E-3</v>
      </c>
      <c r="N57" s="38">
        <v>9.6690999999999999E-2</v>
      </c>
      <c r="O57" s="38">
        <v>79</v>
      </c>
      <c r="P57" s="38">
        <v>83</v>
      </c>
      <c r="Q57" s="38">
        <v>1048.0077550000001</v>
      </c>
      <c r="R57" s="38" t="s">
        <v>119</v>
      </c>
      <c r="S57" s="38" t="s">
        <v>119</v>
      </c>
      <c r="T57" s="38" t="s">
        <v>119</v>
      </c>
      <c r="U57" s="38" t="s">
        <v>119</v>
      </c>
      <c r="V57" s="38" t="s">
        <v>119</v>
      </c>
      <c r="W57" s="38" t="s">
        <v>119</v>
      </c>
      <c r="X57" s="38" t="s">
        <v>258</v>
      </c>
    </row>
    <row r="58" spans="1:24" x14ac:dyDescent="0.45">
      <c r="A58" s="38" t="s">
        <v>314</v>
      </c>
      <c r="B58" s="38">
        <v>50</v>
      </c>
      <c r="C58" s="38" t="s">
        <v>257</v>
      </c>
      <c r="D58" s="38">
        <v>50</v>
      </c>
      <c r="E58" s="38">
        <v>57</v>
      </c>
      <c r="F58" s="38">
        <v>55</v>
      </c>
      <c r="G58" s="38">
        <v>53</v>
      </c>
      <c r="H58" s="38">
        <v>1846.0155110000001</v>
      </c>
      <c r="I58" s="38">
        <f t="shared" si="0"/>
        <v>1.8460155110000001</v>
      </c>
      <c r="J58" s="38">
        <v>2465</v>
      </c>
      <c r="K58" s="38">
        <v>2470</v>
      </c>
      <c r="L58" s="38">
        <v>2623</v>
      </c>
      <c r="M58" s="38">
        <v>3.2499999999999999E-3</v>
      </c>
      <c r="N58" s="38">
        <v>8.9329000000000006E-2</v>
      </c>
      <c r="O58" s="38">
        <v>76</v>
      </c>
      <c r="P58" s="38">
        <v>70</v>
      </c>
      <c r="Q58" s="38">
        <v>1846.0155110000001</v>
      </c>
      <c r="R58" s="38" t="s">
        <v>119</v>
      </c>
      <c r="S58" s="38" t="s">
        <v>119</v>
      </c>
      <c r="T58" s="38" t="s">
        <v>119</v>
      </c>
      <c r="U58" s="38" t="s">
        <v>119</v>
      </c>
      <c r="V58" s="38" t="s">
        <v>119</v>
      </c>
      <c r="W58" s="38" t="s">
        <v>119</v>
      </c>
      <c r="X58" s="38" t="s">
        <v>258</v>
      </c>
    </row>
    <row r="59" spans="1:24" x14ac:dyDescent="0.45">
      <c r="A59" s="38" t="s">
        <v>315</v>
      </c>
      <c r="B59" s="38">
        <v>68</v>
      </c>
      <c r="C59" s="38" t="s">
        <v>257</v>
      </c>
      <c r="D59" s="38">
        <v>68</v>
      </c>
      <c r="E59" s="38">
        <v>58</v>
      </c>
      <c r="F59" s="38">
        <v>71</v>
      </c>
      <c r="G59" s="38">
        <v>53</v>
      </c>
      <c r="H59" s="38">
        <v>8976.6319380000004</v>
      </c>
      <c r="I59" s="38">
        <f t="shared" si="0"/>
        <v>8.9766319380000006</v>
      </c>
      <c r="J59" s="38">
        <v>2483</v>
      </c>
      <c r="K59" s="38">
        <v>2470</v>
      </c>
      <c r="L59" s="38">
        <v>2624</v>
      </c>
      <c r="M59" s="38">
        <v>6.6799999999999997E-4</v>
      </c>
      <c r="N59" s="38">
        <v>8.5098999999999994E-2</v>
      </c>
      <c r="O59" s="38">
        <v>76</v>
      </c>
      <c r="P59" s="38">
        <v>70</v>
      </c>
      <c r="Q59" s="38">
        <v>8976.6319380000004</v>
      </c>
      <c r="R59" s="38" t="s">
        <v>119</v>
      </c>
      <c r="S59" s="38" t="s">
        <v>119</v>
      </c>
      <c r="T59" s="38" t="s">
        <v>119</v>
      </c>
      <c r="U59" s="38" t="s">
        <v>119</v>
      </c>
      <c r="V59" s="38" t="s">
        <v>119</v>
      </c>
      <c r="W59" s="38" t="s">
        <v>119</v>
      </c>
      <c r="X59" s="38" t="s">
        <v>258</v>
      </c>
    </row>
    <row r="60" spans="1:24" x14ac:dyDescent="0.45">
      <c r="A60" s="38" t="s">
        <v>316</v>
      </c>
      <c r="B60" s="38">
        <v>61</v>
      </c>
      <c r="C60" s="38" t="s">
        <v>257</v>
      </c>
      <c r="D60" s="38">
        <v>61</v>
      </c>
      <c r="E60" s="38">
        <v>59</v>
      </c>
      <c r="F60" s="38">
        <v>56</v>
      </c>
      <c r="G60" s="38">
        <v>63</v>
      </c>
      <c r="H60" s="38">
        <v>6573.0339059999997</v>
      </c>
      <c r="I60" s="38">
        <f t="shared" si="0"/>
        <v>6.573033906</v>
      </c>
      <c r="J60" s="38">
        <v>2476</v>
      </c>
      <c r="K60" s="38">
        <v>2484</v>
      </c>
      <c r="L60" s="38">
        <v>2625</v>
      </c>
      <c r="M60" s="38">
        <v>1.065E-3</v>
      </c>
      <c r="N60" s="38">
        <v>8.1678000000000001E-2</v>
      </c>
      <c r="O60" s="38">
        <v>64</v>
      </c>
      <c r="P60" s="38">
        <v>57</v>
      </c>
      <c r="Q60" s="38">
        <v>6573.0339059999997</v>
      </c>
      <c r="R60" s="38" t="s">
        <v>119</v>
      </c>
      <c r="S60" s="38" t="s">
        <v>119</v>
      </c>
      <c r="T60" s="38" t="s">
        <v>119</v>
      </c>
      <c r="U60" s="38" t="s">
        <v>119</v>
      </c>
      <c r="V60" s="38" t="s">
        <v>119</v>
      </c>
      <c r="W60" s="38" t="s">
        <v>119</v>
      </c>
      <c r="X60" s="38" t="s">
        <v>258</v>
      </c>
    </row>
    <row r="61" spans="1:24" x14ac:dyDescent="0.45">
      <c r="A61" s="38" t="s">
        <v>317</v>
      </c>
      <c r="B61" s="38">
        <v>57</v>
      </c>
      <c r="C61" s="38" t="s">
        <v>257</v>
      </c>
      <c r="D61" s="38">
        <v>57</v>
      </c>
      <c r="E61" s="38">
        <v>60</v>
      </c>
      <c r="F61" s="38">
        <v>58</v>
      </c>
      <c r="G61" s="38">
        <v>59</v>
      </c>
      <c r="H61" s="38">
        <v>4052.2339440000001</v>
      </c>
      <c r="I61" s="38">
        <f t="shared" si="0"/>
        <v>4.0522339440000001</v>
      </c>
      <c r="J61" s="38">
        <v>2472</v>
      </c>
      <c r="K61" s="38">
        <v>2481</v>
      </c>
      <c r="L61" s="38">
        <v>2626</v>
      </c>
      <c r="M61" s="38">
        <v>1.3820000000000001E-2</v>
      </c>
      <c r="N61" s="38">
        <v>0.116744</v>
      </c>
      <c r="O61" s="38">
        <v>212</v>
      </c>
      <c r="P61" s="38">
        <v>156</v>
      </c>
      <c r="Q61" s="38">
        <v>4052.2339440000001</v>
      </c>
      <c r="R61" s="38" t="s">
        <v>119</v>
      </c>
      <c r="S61" s="38" t="s">
        <v>119</v>
      </c>
      <c r="T61" s="38" t="s">
        <v>119</v>
      </c>
      <c r="U61" s="38" t="s">
        <v>119</v>
      </c>
      <c r="V61" s="38" t="s">
        <v>119</v>
      </c>
      <c r="W61" s="38" t="s">
        <v>119</v>
      </c>
      <c r="X61" s="38" t="s">
        <v>258</v>
      </c>
    </row>
    <row r="62" spans="1:24" x14ac:dyDescent="0.45">
      <c r="A62" s="38" t="s">
        <v>318</v>
      </c>
      <c r="B62" s="38">
        <v>66</v>
      </c>
      <c r="C62" s="38" t="s">
        <v>257</v>
      </c>
      <c r="D62" s="38">
        <v>66</v>
      </c>
      <c r="E62" s="38">
        <v>61</v>
      </c>
      <c r="F62" s="38">
        <v>59</v>
      </c>
      <c r="G62" s="38">
        <v>70</v>
      </c>
      <c r="H62" s="38">
        <v>4695.5844120000002</v>
      </c>
      <c r="I62" s="38">
        <f t="shared" si="0"/>
        <v>4.6955844120000005</v>
      </c>
      <c r="J62" s="38">
        <v>2481</v>
      </c>
      <c r="K62" s="38">
        <v>2480</v>
      </c>
      <c r="L62" s="38">
        <v>2627</v>
      </c>
      <c r="M62" s="38">
        <v>6.3889999999999997E-3</v>
      </c>
      <c r="N62" s="38">
        <v>0.118533</v>
      </c>
      <c r="O62" s="38">
        <v>156</v>
      </c>
      <c r="P62" s="38">
        <v>126</v>
      </c>
      <c r="Q62" s="38">
        <v>4695.5844120000002</v>
      </c>
      <c r="R62" s="38" t="s">
        <v>119</v>
      </c>
      <c r="S62" s="38" t="s">
        <v>119</v>
      </c>
      <c r="T62" s="38" t="s">
        <v>119</v>
      </c>
      <c r="U62" s="38" t="s">
        <v>119</v>
      </c>
      <c r="V62" s="38" t="s">
        <v>119</v>
      </c>
      <c r="W62" s="38" t="s">
        <v>119</v>
      </c>
      <c r="X62" s="38" t="s">
        <v>258</v>
      </c>
    </row>
    <row r="63" spans="1:24" x14ac:dyDescent="0.45">
      <c r="A63" s="38" t="s">
        <v>319</v>
      </c>
      <c r="B63" s="38">
        <v>60</v>
      </c>
      <c r="C63" s="38" t="s">
        <v>257</v>
      </c>
      <c r="D63" s="38">
        <v>60</v>
      </c>
      <c r="E63" s="38">
        <v>62</v>
      </c>
      <c r="F63" s="38">
        <v>62</v>
      </c>
      <c r="G63" s="38">
        <v>56</v>
      </c>
      <c r="H63" s="38">
        <v>5452.6911929999997</v>
      </c>
      <c r="I63" s="38">
        <f t="shared" si="0"/>
        <v>5.4526911929999997</v>
      </c>
      <c r="J63" s="38">
        <v>2475</v>
      </c>
      <c r="K63" s="38">
        <v>2476</v>
      </c>
      <c r="L63" s="38">
        <v>2628</v>
      </c>
      <c r="M63" s="38">
        <v>1.284E-3</v>
      </c>
      <c r="N63" s="38">
        <v>7.8713000000000005E-2</v>
      </c>
      <c r="O63" s="38">
        <v>71</v>
      </c>
      <c r="P63" s="38">
        <v>64</v>
      </c>
      <c r="Q63" s="38">
        <v>5452.6911929999997</v>
      </c>
      <c r="R63" s="38" t="s">
        <v>119</v>
      </c>
      <c r="S63" s="38" t="s">
        <v>119</v>
      </c>
      <c r="T63" s="38" t="s">
        <v>119</v>
      </c>
      <c r="U63" s="38" t="s">
        <v>119</v>
      </c>
      <c r="V63" s="38" t="s">
        <v>119</v>
      </c>
      <c r="W63" s="38" t="s">
        <v>119</v>
      </c>
      <c r="X63" s="38" t="s">
        <v>258</v>
      </c>
    </row>
    <row r="64" spans="1:24" x14ac:dyDescent="0.45">
      <c r="A64" s="38" t="s">
        <v>320</v>
      </c>
      <c r="B64" s="38">
        <v>70</v>
      </c>
      <c r="C64" s="38" t="s">
        <v>257</v>
      </c>
      <c r="D64" s="38">
        <v>70</v>
      </c>
      <c r="E64" s="38">
        <v>63</v>
      </c>
      <c r="F64" s="38">
        <v>74</v>
      </c>
      <c r="G64" s="38">
        <v>58</v>
      </c>
      <c r="H64" s="38">
        <v>12618.618318000001</v>
      </c>
      <c r="I64" s="38">
        <f t="shared" si="0"/>
        <v>12.618618318000001</v>
      </c>
      <c r="J64" s="38">
        <v>2485</v>
      </c>
      <c r="K64" s="38">
        <v>2472</v>
      </c>
      <c r="L64" s="38">
        <v>2629</v>
      </c>
      <c r="M64" s="38">
        <v>3.7801000000000001E-2</v>
      </c>
      <c r="N64" s="38">
        <v>0.19721</v>
      </c>
      <c r="O64" s="38">
        <v>689</v>
      </c>
      <c r="P64" s="38">
        <v>212</v>
      </c>
      <c r="Q64" s="38">
        <v>12618.618318000001</v>
      </c>
      <c r="R64" s="38" t="s">
        <v>119</v>
      </c>
      <c r="S64" s="38" t="s">
        <v>119</v>
      </c>
      <c r="T64" s="38" t="s">
        <v>119</v>
      </c>
      <c r="U64" s="38" t="s">
        <v>119</v>
      </c>
      <c r="V64" s="38" t="s">
        <v>119</v>
      </c>
      <c r="W64" s="38" t="s">
        <v>119</v>
      </c>
      <c r="X64" s="38" t="s">
        <v>258</v>
      </c>
    </row>
    <row r="65" spans="1:24" x14ac:dyDescent="0.45">
      <c r="A65" s="38" t="s">
        <v>321</v>
      </c>
      <c r="B65" s="38">
        <v>62</v>
      </c>
      <c r="C65" s="38" t="s">
        <v>257</v>
      </c>
      <c r="D65" s="38">
        <v>62</v>
      </c>
      <c r="E65" s="38">
        <v>64</v>
      </c>
      <c r="F65" s="38">
        <v>64</v>
      </c>
      <c r="G65" s="38">
        <v>62</v>
      </c>
      <c r="H65" s="38">
        <v>6357.8688629999997</v>
      </c>
      <c r="I65" s="38">
        <f t="shared" si="0"/>
        <v>6.3578688629999993</v>
      </c>
      <c r="J65" s="38">
        <v>2477</v>
      </c>
      <c r="K65" s="38">
        <v>2475</v>
      </c>
      <c r="L65" s="38">
        <v>2630</v>
      </c>
      <c r="M65" s="38">
        <v>4.7199999999999998E-4</v>
      </c>
      <c r="N65" s="38">
        <v>7.392E-2</v>
      </c>
      <c r="O65" s="38">
        <v>74</v>
      </c>
      <c r="P65" s="38">
        <v>71</v>
      </c>
      <c r="Q65" s="38">
        <v>6357.8688629999997</v>
      </c>
      <c r="R65" s="38" t="s">
        <v>119</v>
      </c>
      <c r="S65" s="38" t="s">
        <v>119</v>
      </c>
      <c r="T65" s="38" t="s">
        <v>119</v>
      </c>
      <c r="U65" s="38" t="s">
        <v>119</v>
      </c>
      <c r="V65" s="38" t="s">
        <v>119</v>
      </c>
      <c r="W65" s="38" t="s">
        <v>119</v>
      </c>
      <c r="X65" s="38" t="s">
        <v>258</v>
      </c>
    </row>
    <row r="66" spans="1:24" x14ac:dyDescent="0.45">
      <c r="A66" s="38" t="s">
        <v>322</v>
      </c>
      <c r="B66" s="38">
        <v>59</v>
      </c>
      <c r="C66" s="38" t="s">
        <v>257</v>
      </c>
      <c r="D66" s="38">
        <v>59</v>
      </c>
      <c r="E66" s="38">
        <v>65</v>
      </c>
      <c r="F66" s="38">
        <v>61</v>
      </c>
      <c r="G66" s="38">
        <v>50</v>
      </c>
      <c r="H66" s="38">
        <v>3759.8926740000002</v>
      </c>
      <c r="I66" s="38">
        <f t="shared" si="0"/>
        <v>3.759892674</v>
      </c>
      <c r="J66" s="38">
        <v>2474</v>
      </c>
      <c r="K66" s="38">
        <v>2460</v>
      </c>
      <c r="L66" s="38">
        <v>2631</v>
      </c>
      <c r="M66" s="38">
        <v>0.123142</v>
      </c>
      <c r="N66" s="38">
        <v>0.27724799999999999</v>
      </c>
      <c r="O66" s="38">
        <v>1262</v>
      </c>
      <c r="P66" s="38">
        <v>799</v>
      </c>
      <c r="Q66" s="38">
        <v>3759.8926740000002</v>
      </c>
      <c r="R66" s="38" t="s">
        <v>119</v>
      </c>
      <c r="S66" s="38" t="s">
        <v>119</v>
      </c>
      <c r="T66" s="38" t="s">
        <v>119</v>
      </c>
      <c r="U66" s="38" t="s">
        <v>119</v>
      </c>
      <c r="V66" s="38" t="s">
        <v>119</v>
      </c>
      <c r="W66" s="38" t="s">
        <v>119</v>
      </c>
      <c r="X66" s="38" t="s">
        <v>258</v>
      </c>
    </row>
    <row r="67" spans="1:24" x14ac:dyDescent="0.45">
      <c r="A67" s="38" t="s">
        <v>323</v>
      </c>
      <c r="B67" s="38">
        <v>73</v>
      </c>
      <c r="C67" s="38" t="s">
        <v>257</v>
      </c>
      <c r="D67" s="38">
        <v>73</v>
      </c>
      <c r="E67" s="38">
        <v>66</v>
      </c>
      <c r="F67" s="38">
        <v>72</v>
      </c>
      <c r="G67" s="38">
        <v>54</v>
      </c>
      <c r="H67" s="38">
        <v>15791.683790999999</v>
      </c>
      <c r="I67" s="38">
        <f t="shared" ref="I67:I130" si="1">H67/1000</f>
        <v>15.791683790999999</v>
      </c>
      <c r="J67" s="38">
        <v>2488</v>
      </c>
      <c r="K67" s="38">
        <v>2464</v>
      </c>
      <c r="L67" s="38">
        <v>2632</v>
      </c>
      <c r="M67" s="38">
        <v>2.5959999999999998E-3</v>
      </c>
      <c r="N67" s="38">
        <v>7.5077000000000005E-2</v>
      </c>
      <c r="O67" s="38">
        <v>120</v>
      </c>
      <c r="P67" s="38">
        <v>79</v>
      </c>
      <c r="Q67" s="38">
        <v>15791.683790999999</v>
      </c>
      <c r="R67" s="38" t="s">
        <v>119</v>
      </c>
      <c r="S67" s="38" t="s">
        <v>119</v>
      </c>
      <c r="T67" s="38" t="s">
        <v>119</v>
      </c>
      <c r="U67" s="38" t="s">
        <v>119</v>
      </c>
      <c r="V67" s="38" t="s">
        <v>119</v>
      </c>
      <c r="W67" s="38" t="s">
        <v>119</v>
      </c>
      <c r="X67" s="38" t="s">
        <v>258</v>
      </c>
    </row>
    <row r="68" spans="1:24" x14ac:dyDescent="0.45">
      <c r="A68" s="38" t="s">
        <v>324</v>
      </c>
      <c r="B68" s="38">
        <v>76</v>
      </c>
      <c r="C68" s="38" t="s">
        <v>257</v>
      </c>
      <c r="D68" s="38">
        <v>76</v>
      </c>
      <c r="E68" s="38">
        <v>67</v>
      </c>
      <c r="F68" s="38">
        <v>77</v>
      </c>
      <c r="G68" s="38">
        <v>62</v>
      </c>
      <c r="H68" s="38">
        <v>3727.9383090000001</v>
      </c>
      <c r="I68" s="38">
        <f t="shared" si="1"/>
        <v>3.7279383090000002</v>
      </c>
      <c r="J68" s="38">
        <v>2491</v>
      </c>
      <c r="K68" s="38">
        <v>2475</v>
      </c>
      <c r="L68" s="38">
        <v>2633</v>
      </c>
      <c r="M68" s="38">
        <v>1E-3</v>
      </c>
      <c r="N68" s="38">
        <v>5.9790999999999997E-2</v>
      </c>
      <c r="O68" s="38">
        <v>68</v>
      </c>
      <c r="P68" s="38">
        <v>71</v>
      </c>
      <c r="Q68" s="38">
        <v>3727.9383090000001</v>
      </c>
      <c r="R68" s="38" t="s">
        <v>119</v>
      </c>
      <c r="S68" s="38" t="s">
        <v>119</v>
      </c>
      <c r="T68" s="38" t="s">
        <v>119</v>
      </c>
      <c r="U68" s="38" t="s">
        <v>119</v>
      </c>
      <c r="V68" s="38" t="s">
        <v>119</v>
      </c>
      <c r="W68" s="38" t="s">
        <v>119</v>
      </c>
      <c r="X68" s="38" t="s">
        <v>258</v>
      </c>
    </row>
    <row r="69" spans="1:24" x14ac:dyDescent="0.45">
      <c r="A69" s="38" t="s">
        <v>325</v>
      </c>
      <c r="B69" s="38">
        <v>69</v>
      </c>
      <c r="C69" s="38" t="s">
        <v>257</v>
      </c>
      <c r="D69" s="38">
        <v>69</v>
      </c>
      <c r="E69" s="38">
        <v>68</v>
      </c>
      <c r="F69" s="38">
        <v>63</v>
      </c>
      <c r="G69" s="38">
        <v>73</v>
      </c>
      <c r="H69" s="38">
        <v>3420.7999620000001</v>
      </c>
      <c r="I69" s="38">
        <f t="shared" si="1"/>
        <v>3.4207999620000002</v>
      </c>
      <c r="J69" s="38">
        <v>2484</v>
      </c>
      <c r="K69" s="38">
        <v>2721</v>
      </c>
      <c r="L69" s="38">
        <v>2634</v>
      </c>
      <c r="M69" s="38">
        <v>8.7699999999999996E-4</v>
      </c>
      <c r="N69" s="38">
        <v>8.2319000000000003E-2</v>
      </c>
      <c r="O69" s="38">
        <v>57</v>
      </c>
      <c r="P69" s="38">
        <v>54</v>
      </c>
      <c r="Q69" s="38">
        <v>3420.7999620000001</v>
      </c>
      <c r="R69" s="38" t="s">
        <v>119</v>
      </c>
      <c r="S69" s="38" t="s">
        <v>119</v>
      </c>
      <c r="T69" s="38" t="s">
        <v>119</v>
      </c>
      <c r="U69" s="38" t="s">
        <v>119</v>
      </c>
      <c r="V69" s="38" t="s">
        <v>119</v>
      </c>
      <c r="W69" s="38" t="s">
        <v>119</v>
      </c>
      <c r="X69" s="38" t="s">
        <v>258</v>
      </c>
    </row>
    <row r="70" spans="1:24" x14ac:dyDescent="0.45">
      <c r="A70" s="38" t="s">
        <v>326</v>
      </c>
      <c r="B70" s="38">
        <v>63</v>
      </c>
      <c r="C70" s="38" t="s">
        <v>257</v>
      </c>
      <c r="D70" s="38">
        <v>63</v>
      </c>
      <c r="E70" s="38">
        <v>69</v>
      </c>
      <c r="F70" s="38">
        <v>65</v>
      </c>
      <c r="G70" s="38">
        <v>63</v>
      </c>
      <c r="H70" s="38">
        <v>1374.2640690000001</v>
      </c>
      <c r="I70" s="38">
        <f t="shared" si="1"/>
        <v>1.3742640690000001</v>
      </c>
      <c r="J70" s="38">
        <v>2478</v>
      </c>
      <c r="K70" s="38">
        <v>2484</v>
      </c>
      <c r="L70" s="38">
        <v>2635</v>
      </c>
      <c r="M70" s="38">
        <v>2.911E-3</v>
      </c>
      <c r="N70" s="38">
        <v>5.7045999999999999E-2</v>
      </c>
      <c r="O70" s="38">
        <v>61</v>
      </c>
      <c r="P70" s="38">
        <v>57</v>
      </c>
      <c r="Q70" s="38">
        <v>1374.2640690000001</v>
      </c>
      <c r="R70" s="38" t="s">
        <v>119</v>
      </c>
      <c r="S70" s="38" t="s">
        <v>119</v>
      </c>
      <c r="T70" s="38" t="s">
        <v>119</v>
      </c>
      <c r="U70" s="38" t="s">
        <v>119</v>
      </c>
      <c r="V70" s="38" t="s">
        <v>119</v>
      </c>
      <c r="W70" s="38" t="s">
        <v>119</v>
      </c>
      <c r="X70" s="38" t="s">
        <v>258</v>
      </c>
    </row>
    <row r="71" spans="1:24" x14ac:dyDescent="0.45">
      <c r="A71" s="38" t="s">
        <v>327</v>
      </c>
      <c r="B71" s="38">
        <v>91</v>
      </c>
      <c r="C71" s="38" t="s">
        <v>257</v>
      </c>
      <c r="D71" s="38">
        <v>91</v>
      </c>
      <c r="E71" s="38">
        <v>70</v>
      </c>
      <c r="F71" s="38">
        <v>93</v>
      </c>
      <c r="G71" s="38">
        <v>65</v>
      </c>
      <c r="H71" s="38">
        <v>8872.8629980000005</v>
      </c>
      <c r="I71" s="38">
        <f t="shared" si="1"/>
        <v>8.8728629980000004</v>
      </c>
      <c r="J71" s="38">
        <v>2506</v>
      </c>
      <c r="K71" s="38">
        <v>2478</v>
      </c>
      <c r="L71" s="38">
        <v>2636</v>
      </c>
      <c r="M71" s="38">
        <v>4.5100000000000001E-4</v>
      </c>
      <c r="N71" s="38">
        <v>6.2198999999999997E-2</v>
      </c>
      <c r="O71" s="38">
        <v>65</v>
      </c>
      <c r="P71" s="38">
        <v>61</v>
      </c>
      <c r="Q71" s="38">
        <v>8872.8629980000005</v>
      </c>
      <c r="R71" s="38" t="s">
        <v>119</v>
      </c>
      <c r="S71" s="38" t="s">
        <v>119</v>
      </c>
      <c r="T71" s="38" t="s">
        <v>119</v>
      </c>
      <c r="U71" s="38" t="s">
        <v>119</v>
      </c>
      <c r="V71" s="38" t="s">
        <v>119</v>
      </c>
      <c r="W71" s="38" t="s">
        <v>119</v>
      </c>
      <c r="X71" s="38" t="s">
        <v>258</v>
      </c>
    </row>
    <row r="72" spans="1:24" x14ac:dyDescent="0.45">
      <c r="A72" s="38" t="s">
        <v>328</v>
      </c>
      <c r="B72" s="38">
        <v>75</v>
      </c>
      <c r="C72" s="38" t="s">
        <v>257</v>
      </c>
      <c r="D72" s="38">
        <v>75</v>
      </c>
      <c r="E72" s="38">
        <v>71</v>
      </c>
      <c r="F72" s="38">
        <v>69</v>
      </c>
      <c r="G72" s="38">
        <v>66</v>
      </c>
      <c r="H72" s="38">
        <v>5687.2659599999997</v>
      </c>
      <c r="I72" s="38">
        <f t="shared" si="1"/>
        <v>5.6872659599999995</v>
      </c>
      <c r="J72" s="38">
        <v>2490</v>
      </c>
      <c r="K72" s="38">
        <v>2482</v>
      </c>
      <c r="L72" s="38">
        <v>2637</v>
      </c>
      <c r="M72" s="38">
        <v>1.7935E-2</v>
      </c>
      <c r="N72" s="38">
        <v>8.9136999999999994E-2</v>
      </c>
      <c r="O72" s="38">
        <v>235</v>
      </c>
      <c r="P72" s="38">
        <v>133</v>
      </c>
      <c r="Q72" s="38">
        <v>5687.2659599999997</v>
      </c>
      <c r="R72" s="38" t="s">
        <v>119</v>
      </c>
      <c r="S72" s="38" t="s">
        <v>119</v>
      </c>
      <c r="T72" s="38" t="s">
        <v>119</v>
      </c>
      <c r="U72" s="38" t="s">
        <v>119</v>
      </c>
      <c r="V72" s="38" t="s">
        <v>119</v>
      </c>
      <c r="W72" s="38" t="s">
        <v>119</v>
      </c>
      <c r="X72" s="38" t="s">
        <v>258</v>
      </c>
    </row>
    <row r="73" spans="1:24" x14ac:dyDescent="0.45">
      <c r="A73" s="38" t="s">
        <v>329</v>
      </c>
      <c r="B73" s="38">
        <v>81</v>
      </c>
      <c r="C73" s="38" t="s">
        <v>257</v>
      </c>
      <c r="D73" s="38">
        <v>81</v>
      </c>
      <c r="E73" s="38">
        <v>72</v>
      </c>
      <c r="F73" s="38">
        <v>83</v>
      </c>
      <c r="G73" s="38">
        <v>64</v>
      </c>
      <c r="H73" s="38">
        <v>6806.7649659999997</v>
      </c>
      <c r="I73" s="38">
        <f t="shared" si="1"/>
        <v>6.8067649659999994</v>
      </c>
      <c r="J73" s="38">
        <v>2496</v>
      </c>
      <c r="K73" s="38">
        <v>2477</v>
      </c>
      <c r="L73" s="38">
        <v>2638</v>
      </c>
      <c r="M73" s="38">
        <v>1E-3</v>
      </c>
      <c r="N73" s="38">
        <v>9.1009000000000007E-2</v>
      </c>
      <c r="O73" s="38">
        <v>74</v>
      </c>
      <c r="P73" s="38">
        <v>74</v>
      </c>
      <c r="Q73" s="38">
        <v>6806.7649659999997</v>
      </c>
      <c r="R73" s="38" t="s">
        <v>119</v>
      </c>
      <c r="S73" s="38" t="s">
        <v>119</v>
      </c>
      <c r="T73" s="38" t="s">
        <v>119</v>
      </c>
      <c r="U73" s="38" t="s">
        <v>119</v>
      </c>
      <c r="V73" s="38" t="s">
        <v>119</v>
      </c>
      <c r="W73" s="38" t="s">
        <v>119</v>
      </c>
      <c r="X73" s="38" t="s">
        <v>258</v>
      </c>
    </row>
    <row r="74" spans="1:24" x14ac:dyDescent="0.45">
      <c r="A74" s="38" t="s">
        <v>330</v>
      </c>
      <c r="B74" s="38">
        <v>90</v>
      </c>
      <c r="C74" s="38" t="s">
        <v>257</v>
      </c>
      <c r="D74" s="38">
        <v>90</v>
      </c>
      <c r="E74" s="38">
        <v>73</v>
      </c>
      <c r="F74" s="38">
        <v>92</v>
      </c>
      <c r="G74" s="38">
        <v>64</v>
      </c>
      <c r="H74" s="38">
        <v>11095.762978999999</v>
      </c>
      <c r="I74" s="38">
        <f t="shared" si="1"/>
        <v>11.095762979</v>
      </c>
      <c r="J74" s="38">
        <v>2505</v>
      </c>
      <c r="K74" s="38">
        <v>2477</v>
      </c>
      <c r="L74" s="38">
        <v>2639</v>
      </c>
      <c r="M74" s="38">
        <v>7.2099999999999996E-4</v>
      </c>
      <c r="N74" s="38">
        <v>8.7577000000000002E-2</v>
      </c>
      <c r="O74" s="38">
        <v>82</v>
      </c>
      <c r="P74" s="38">
        <v>74</v>
      </c>
      <c r="Q74" s="38">
        <v>11095.762978999999</v>
      </c>
      <c r="R74" s="38" t="s">
        <v>119</v>
      </c>
      <c r="S74" s="38" t="s">
        <v>119</v>
      </c>
      <c r="T74" s="38" t="s">
        <v>119</v>
      </c>
      <c r="U74" s="38" t="s">
        <v>119</v>
      </c>
      <c r="V74" s="38" t="s">
        <v>119</v>
      </c>
      <c r="W74" s="38" t="s">
        <v>119</v>
      </c>
      <c r="X74" s="38" t="s">
        <v>258</v>
      </c>
    </row>
    <row r="75" spans="1:24" x14ac:dyDescent="0.45">
      <c r="A75" s="38" t="s">
        <v>331</v>
      </c>
      <c r="B75" s="38">
        <v>79</v>
      </c>
      <c r="C75" s="38" t="s">
        <v>257</v>
      </c>
      <c r="D75" s="38">
        <v>79</v>
      </c>
      <c r="E75" s="38">
        <v>75</v>
      </c>
      <c r="F75" s="38">
        <v>81</v>
      </c>
      <c r="G75" s="38">
        <v>65</v>
      </c>
      <c r="H75" s="38">
        <v>2824.2325019999998</v>
      </c>
      <c r="I75" s="38">
        <f t="shared" si="1"/>
        <v>2.8242325019999996</v>
      </c>
      <c r="J75" s="38">
        <v>2494</v>
      </c>
      <c r="K75" s="38">
        <v>2478</v>
      </c>
      <c r="L75" s="38">
        <v>2641</v>
      </c>
      <c r="M75" s="38">
        <v>1E-3</v>
      </c>
      <c r="N75" s="38">
        <v>5.8383999999999998E-2</v>
      </c>
      <c r="O75" s="38">
        <v>56</v>
      </c>
      <c r="P75" s="38">
        <v>61</v>
      </c>
      <c r="Q75" s="38">
        <v>2824.2325019999998</v>
      </c>
      <c r="R75" s="38" t="s">
        <v>119</v>
      </c>
      <c r="S75" s="38" t="s">
        <v>119</v>
      </c>
      <c r="T75" s="38" t="s">
        <v>119</v>
      </c>
      <c r="U75" s="38" t="s">
        <v>119</v>
      </c>
      <c r="V75" s="38" t="s">
        <v>119</v>
      </c>
      <c r="W75" s="38" t="s">
        <v>119</v>
      </c>
      <c r="X75" s="38" t="s">
        <v>258</v>
      </c>
    </row>
    <row r="76" spans="1:24" x14ac:dyDescent="0.45">
      <c r="A76" s="38" t="s">
        <v>332</v>
      </c>
      <c r="B76" s="38">
        <v>74</v>
      </c>
      <c r="C76" s="38" t="s">
        <v>257</v>
      </c>
      <c r="D76" s="38">
        <v>74</v>
      </c>
      <c r="E76" s="38">
        <v>76</v>
      </c>
      <c r="F76" s="38">
        <v>76</v>
      </c>
      <c r="G76" s="38">
        <v>66</v>
      </c>
      <c r="H76" s="38">
        <v>726.40872999999999</v>
      </c>
      <c r="I76" s="38">
        <f t="shared" si="1"/>
        <v>0.72640872999999995</v>
      </c>
      <c r="J76" s="38">
        <v>2489</v>
      </c>
      <c r="K76" s="38">
        <v>2482</v>
      </c>
      <c r="L76" s="38">
        <v>2642</v>
      </c>
      <c r="M76" s="38">
        <v>4.13E-3</v>
      </c>
      <c r="N76" s="38">
        <v>0.10267999999999999</v>
      </c>
      <c r="O76" s="38">
        <v>136</v>
      </c>
      <c r="P76" s="38">
        <v>133</v>
      </c>
      <c r="Q76" s="38">
        <v>726.40872999999999</v>
      </c>
      <c r="R76" s="38" t="s">
        <v>119</v>
      </c>
      <c r="S76" s="38" t="s">
        <v>119</v>
      </c>
      <c r="T76" s="38" t="s">
        <v>119</v>
      </c>
      <c r="U76" s="38" t="s">
        <v>119</v>
      </c>
      <c r="V76" s="38" t="s">
        <v>119</v>
      </c>
      <c r="W76" s="38" t="s">
        <v>119</v>
      </c>
      <c r="X76" s="38" t="s">
        <v>258</v>
      </c>
    </row>
    <row r="77" spans="1:24" x14ac:dyDescent="0.45">
      <c r="A77" s="38" t="s">
        <v>333</v>
      </c>
      <c r="B77" s="38">
        <v>71</v>
      </c>
      <c r="C77" s="38" t="s">
        <v>257</v>
      </c>
      <c r="D77" s="38">
        <v>71</v>
      </c>
      <c r="E77" s="38">
        <v>78</v>
      </c>
      <c r="F77" s="38">
        <v>67</v>
      </c>
      <c r="G77" s="38">
        <v>74</v>
      </c>
      <c r="H77" s="38">
        <v>920.60290299999997</v>
      </c>
      <c r="I77" s="38">
        <f t="shared" si="1"/>
        <v>0.92060290299999992</v>
      </c>
      <c r="J77" s="38">
        <v>2486</v>
      </c>
      <c r="K77" s="38">
        <v>2485</v>
      </c>
      <c r="L77" s="38">
        <v>2644</v>
      </c>
      <c r="M77" s="38">
        <v>0.120573</v>
      </c>
      <c r="N77" s="38">
        <v>0.14723800000000001</v>
      </c>
      <c r="O77" s="38">
        <v>800</v>
      </c>
      <c r="P77" s="38">
        <v>689</v>
      </c>
      <c r="Q77" s="38">
        <v>920.60290299999997</v>
      </c>
      <c r="R77" s="38" t="s">
        <v>119</v>
      </c>
      <c r="S77" s="38" t="s">
        <v>119</v>
      </c>
      <c r="T77" s="38" t="s">
        <v>119</v>
      </c>
      <c r="U77" s="38" t="s">
        <v>119</v>
      </c>
      <c r="V77" s="38" t="s">
        <v>119</v>
      </c>
      <c r="W77" s="38" t="s">
        <v>119</v>
      </c>
      <c r="X77" s="38" t="s">
        <v>258</v>
      </c>
    </row>
    <row r="78" spans="1:24" x14ac:dyDescent="0.45">
      <c r="A78" s="38" t="s">
        <v>334</v>
      </c>
      <c r="B78" s="38">
        <v>77</v>
      </c>
      <c r="C78" s="38" t="s">
        <v>257</v>
      </c>
      <c r="D78" s="38">
        <v>77</v>
      </c>
      <c r="E78" s="38">
        <v>79</v>
      </c>
      <c r="F78" s="38">
        <v>78</v>
      </c>
      <c r="G78" s="38">
        <v>68</v>
      </c>
      <c r="H78" s="38">
        <v>965.86940800000002</v>
      </c>
      <c r="I78" s="38">
        <f t="shared" si="1"/>
        <v>0.96586940799999998</v>
      </c>
      <c r="J78" s="38">
        <v>2492</v>
      </c>
      <c r="K78" s="38">
        <v>2727</v>
      </c>
      <c r="L78" s="38">
        <v>2645</v>
      </c>
      <c r="M78" s="38">
        <v>1E-3</v>
      </c>
      <c r="N78" s="38">
        <v>5.4035E-2</v>
      </c>
      <c r="O78" s="38">
        <v>130</v>
      </c>
      <c r="P78" s="38">
        <v>130</v>
      </c>
      <c r="Q78" s="38">
        <v>965.86940800000002</v>
      </c>
      <c r="R78" s="38" t="s">
        <v>119</v>
      </c>
      <c r="S78" s="38" t="s">
        <v>119</v>
      </c>
      <c r="T78" s="38" t="s">
        <v>119</v>
      </c>
      <c r="U78" s="38" t="s">
        <v>119</v>
      </c>
      <c r="V78" s="38" t="s">
        <v>119</v>
      </c>
      <c r="W78" s="38" t="s">
        <v>119</v>
      </c>
      <c r="X78" s="38" t="s">
        <v>258</v>
      </c>
    </row>
    <row r="79" spans="1:24" x14ac:dyDescent="0.45">
      <c r="A79" s="38" t="s">
        <v>335</v>
      </c>
      <c r="B79" s="38">
        <v>65</v>
      </c>
      <c r="C79" s="38" t="s">
        <v>257</v>
      </c>
      <c r="D79" s="38">
        <v>65</v>
      </c>
      <c r="E79" s="38">
        <v>80</v>
      </c>
      <c r="F79" s="38">
        <v>70</v>
      </c>
      <c r="G79" s="38">
        <v>68</v>
      </c>
      <c r="H79" s="38">
        <v>216.421356</v>
      </c>
      <c r="I79" s="38">
        <f t="shared" si="1"/>
        <v>0.21642135600000001</v>
      </c>
      <c r="J79" s="38">
        <v>2480</v>
      </c>
      <c r="K79" s="38">
        <v>2727</v>
      </c>
      <c r="L79" s="38">
        <v>2646</v>
      </c>
      <c r="M79" s="38">
        <v>1E-3</v>
      </c>
      <c r="N79" s="38">
        <v>8.2317000000000001E-2</v>
      </c>
      <c r="O79" s="38">
        <v>126</v>
      </c>
      <c r="P79" s="38">
        <v>130</v>
      </c>
      <c r="Q79" s="38">
        <v>216.421356</v>
      </c>
      <c r="R79" s="38" t="s">
        <v>119</v>
      </c>
      <c r="S79" s="38" t="s">
        <v>119</v>
      </c>
      <c r="T79" s="38" t="s">
        <v>119</v>
      </c>
      <c r="U79" s="38" t="s">
        <v>119</v>
      </c>
      <c r="V79" s="38" t="s">
        <v>119</v>
      </c>
      <c r="W79" s="38" t="s">
        <v>119</v>
      </c>
      <c r="X79" s="38" t="s">
        <v>258</v>
      </c>
    </row>
    <row r="80" spans="1:24" x14ac:dyDescent="0.45">
      <c r="A80" s="38" t="s">
        <v>336</v>
      </c>
      <c r="B80" s="38">
        <v>67</v>
      </c>
      <c r="C80" s="38" t="s">
        <v>257</v>
      </c>
      <c r="D80" s="38">
        <v>67</v>
      </c>
      <c r="E80" s="38">
        <v>81</v>
      </c>
      <c r="F80" s="38">
        <v>66</v>
      </c>
      <c r="G80" s="38">
        <v>70</v>
      </c>
      <c r="H80" s="38">
        <v>1275.1524159999999</v>
      </c>
      <c r="I80" s="38">
        <f t="shared" si="1"/>
        <v>1.2751524159999998</v>
      </c>
      <c r="J80" s="38">
        <v>2482</v>
      </c>
      <c r="K80" s="38">
        <v>2480</v>
      </c>
      <c r="L80" s="38">
        <v>2647</v>
      </c>
      <c r="M80" s="38">
        <v>5.4900000000000001E-3</v>
      </c>
      <c r="N80" s="38">
        <v>7.5678999999999996E-2</v>
      </c>
      <c r="O80" s="38">
        <v>133</v>
      </c>
      <c r="P80" s="38">
        <v>126</v>
      </c>
      <c r="Q80" s="38">
        <v>1275.1524159999999</v>
      </c>
      <c r="R80" s="38" t="s">
        <v>119</v>
      </c>
      <c r="S80" s="38" t="s">
        <v>119</v>
      </c>
      <c r="T80" s="38" t="s">
        <v>119</v>
      </c>
      <c r="U80" s="38" t="s">
        <v>119</v>
      </c>
      <c r="V80" s="38" t="s">
        <v>119</v>
      </c>
      <c r="W80" s="38" t="s">
        <v>119</v>
      </c>
      <c r="X80" s="38" t="s">
        <v>258</v>
      </c>
    </row>
    <row r="81" spans="1:24" x14ac:dyDescent="0.45">
      <c r="A81" s="38" t="s">
        <v>337</v>
      </c>
      <c r="B81" s="38">
        <v>72</v>
      </c>
      <c r="C81" s="38" t="s">
        <v>257</v>
      </c>
      <c r="D81" s="38">
        <v>72</v>
      </c>
      <c r="E81" s="38">
        <v>82</v>
      </c>
      <c r="F81" s="38">
        <v>75</v>
      </c>
      <c r="G81" s="38">
        <v>73</v>
      </c>
      <c r="H81" s="38">
        <v>139.90485200000001</v>
      </c>
      <c r="I81" s="38">
        <f t="shared" si="1"/>
        <v>0.139904852</v>
      </c>
      <c r="J81" s="38">
        <v>2487</v>
      </c>
      <c r="K81" s="38">
        <v>2721</v>
      </c>
      <c r="L81" s="38">
        <v>2648</v>
      </c>
      <c r="M81" s="38">
        <v>1E-3</v>
      </c>
      <c r="N81" s="38">
        <v>4.7669999999999997E-2</v>
      </c>
      <c r="O81" s="38">
        <v>53</v>
      </c>
      <c r="P81" s="38">
        <v>54</v>
      </c>
      <c r="Q81" s="38">
        <v>139.90485200000001</v>
      </c>
      <c r="R81" s="38" t="s">
        <v>119</v>
      </c>
      <c r="S81" s="38" t="s">
        <v>119</v>
      </c>
      <c r="T81" s="38" t="s">
        <v>119</v>
      </c>
      <c r="U81" s="38" t="s">
        <v>119</v>
      </c>
      <c r="V81" s="38" t="s">
        <v>119</v>
      </c>
      <c r="W81" s="38" t="s">
        <v>119</v>
      </c>
      <c r="X81" s="38" t="s">
        <v>258</v>
      </c>
    </row>
    <row r="82" spans="1:24" x14ac:dyDescent="0.45">
      <c r="A82" s="38" t="s">
        <v>338</v>
      </c>
      <c r="B82" s="38">
        <v>87</v>
      </c>
      <c r="C82" s="38" t="s">
        <v>257</v>
      </c>
      <c r="D82" s="38">
        <v>87</v>
      </c>
      <c r="E82" s="38">
        <v>83</v>
      </c>
      <c r="F82" s="38">
        <v>90</v>
      </c>
      <c r="G82" s="38">
        <v>74</v>
      </c>
      <c r="H82" s="38">
        <v>3543.9154920000001</v>
      </c>
      <c r="I82" s="38">
        <f t="shared" si="1"/>
        <v>3.543915492</v>
      </c>
      <c r="J82" s="38">
        <v>2502</v>
      </c>
      <c r="K82" s="38">
        <v>2485</v>
      </c>
      <c r="L82" s="38">
        <v>2649</v>
      </c>
      <c r="M82" s="38">
        <v>0.12274599999999999</v>
      </c>
      <c r="N82" s="38">
        <v>0.33164900000000003</v>
      </c>
      <c r="O82" s="38">
        <v>1124</v>
      </c>
      <c r="P82" s="38">
        <v>689</v>
      </c>
      <c r="Q82" s="38">
        <v>3543.9154920000001</v>
      </c>
      <c r="R82" s="38" t="s">
        <v>119</v>
      </c>
      <c r="S82" s="38" t="s">
        <v>119</v>
      </c>
      <c r="T82" s="38" t="s">
        <v>119</v>
      </c>
      <c r="U82" s="38" t="s">
        <v>119</v>
      </c>
      <c r="V82" s="38" t="s">
        <v>119</v>
      </c>
      <c r="W82" s="38" t="s">
        <v>119</v>
      </c>
      <c r="X82" s="38" t="s">
        <v>258</v>
      </c>
    </row>
    <row r="83" spans="1:24" x14ac:dyDescent="0.45">
      <c r="A83" s="38" t="s">
        <v>339</v>
      </c>
      <c r="B83" s="38">
        <v>83</v>
      </c>
      <c r="C83" s="38" t="s">
        <v>257</v>
      </c>
      <c r="D83" s="38">
        <v>83</v>
      </c>
      <c r="E83" s="38">
        <v>84</v>
      </c>
      <c r="F83" s="38">
        <v>79</v>
      </c>
      <c r="G83" s="38">
        <v>86</v>
      </c>
      <c r="H83" s="38">
        <v>9319.7222149999998</v>
      </c>
      <c r="I83" s="38">
        <f t="shared" si="1"/>
        <v>9.3197222150000005</v>
      </c>
      <c r="J83" s="38">
        <v>2498</v>
      </c>
      <c r="K83" s="38">
        <v>2501</v>
      </c>
      <c r="L83" s="38">
        <v>2650</v>
      </c>
      <c r="M83" s="38">
        <v>4.2900000000000002E-4</v>
      </c>
      <c r="N83" s="38">
        <v>7.3172000000000001E-2</v>
      </c>
      <c r="O83" s="38">
        <v>50</v>
      </c>
      <c r="P83" s="38">
        <v>46</v>
      </c>
      <c r="Q83" s="38">
        <v>9319.7222149999998</v>
      </c>
      <c r="R83" s="38" t="s">
        <v>119</v>
      </c>
      <c r="S83" s="38" t="s">
        <v>119</v>
      </c>
      <c r="T83" s="38" t="s">
        <v>119</v>
      </c>
      <c r="U83" s="38" t="s">
        <v>119</v>
      </c>
      <c r="V83" s="38" t="s">
        <v>119</v>
      </c>
      <c r="W83" s="38" t="s">
        <v>119</v>
      </c>
      <c r="X83" s="38" t="s">
        <v>258</v>
      </c>
    </row>
    <row r="84" spans="1:24" x14ac:dyDescent="0.45">
      <c r="A84" s="38" t="s">
        <v>340</v>
      </c>
      <c r="B84" s="38">
        <v>80</v>
      </c>
      <c r="C84" s="38" t="s">
        <v>257</v>
      </c>
      <c r="D84" s="38">
        <v>80</v>
      </c>
      <c r="E84" s="38">
        <v>85</v>
      </c>
      <c r="F84" s="38">
        <v>82</v>
      </c>
      <c r="G84" s="38">
        <v>76</v>
      </c>
      <c r="H84" s="38">
        <v>1985.476189</v>
      </c>
      <c r="I84" s="38">
        <f t="shared" si="1"/>
        <v>1.9854761889999999</v>
      </c>
      <c r="J84" s="38">
        <v>2495</v>
      </c>
      <c r="K84" s="38">
        <v>2489</v>
      </c>
      <c r="L84" s="38">
        <v>2651</v>
      </c>
      <c r="M84" s="38">
        <v>4.5329999999999997E-3</v>
      </c>
      <c r="N84" s="38">
        <v>6.9527000000000005E-2</v>
      </c>
      <c r="O84" s="38">
        <v>145</v>
      </c>
      <c r="P84" s="38">
        <v>136</v>
      </c>
      <c r="Q84" s="38">
        <v>1985.476189</v>
      </c>
      <c r="R84" s="38" t="s">
        <v>119</v>
      </c>
      <c r="S84" s="38" t="s">
        <v>119</v>
      </c>
      <c r="T84" s="38" t="s">
        <v>119</v>
      </c>
      <c r="U84" s="38" t="s">
        <v>119</v>
      </c>
      <c r="V84" s="38" t="s">
        <v>119</v>
      </c>
      <c r="W84" s="38" t="s">
        <v>119</v>
      </c>
      <c r="X84" s="38" t="s">
        <v>258</v>
      </c>
    </row>
    <row r="85" spans="1:24" x14ac:dyDescent="0.45">
      <c r="A85" s="38" t="s">
        <v>341</v>
      </c>
      <c r="B85" s="38">
        <v>85</v>
      </c>
      <c r="C85" s="38" t="s">
        <v>257</v>
      </c>
      <c r="D85" s="38">
        <v>85</v>
      </c>
      <c r="E85" s="38">
        <v>86</v>
      </c>
      <c r="F85" s="38">
        <v>88</v>
      </c>
      <c r="G85" s="38">
        <v>79</v>
      </c>
      <c r="H85" s="38">
        <v>1150.412607</v>
      </c>
      <c r="I85" s="38">
        <f t="shared" si="1"/>
        <v>1.150412607</v>
      </c>
      <c r="J85" s="38">
        <v>2500</v>
      </c>
      <c r="K85" s="38">
        <v>2498</v>
      </c>
      <c r="L85" s="38">
        <v>2652</v>
      </c>
      <c r="M85" s="38">
        <v>1E-3</v>
      </c>
      <c r="N85" s="38">
        <v>5.1942000000000002E-2</v>
      </c>
      <c r="O85" s="38">
        <v>49</v>
      </c>
      <c r="P85" s="38">
        <v>50</v>
      </c>
      <c r="Q85" s="38">
        <v>1150.412607</v>
      </c>
      <c r="R85" s="38" t="s">
        <v>119</v>
      </c>
      <c r="S85" s="38" t="s">
        <v>119</v>
      </c>
      <c r="T85" s="38" t="s">
        <v>119</v>
      </c>
      <c r="U85" s="38" t="s">
        <v>119</v>
      </c>
      <c r="V85" s="38" t="s">
        <v>119</v>
      </c>
      <c r="W85" s="38" t="s">
        <v>119</v>
      </c>
      <c r="X85" s="38" t="s">
        <v>258</v>
      </c>
    </row>
    <row r="86" spans="1:24" x14ac:dyDescent="0.45">
      <c r="A86" s="38" t="s">
        <v>342</v>
      </c>
      <c r="B86" s="38">
        <v>82</v>
      </c>
      <c r="C86" s="38" t="s">
        <v>257</v>
      </c>
      <c r="D86" s="38">
        <v>82</v>
      </c>
      <c r="E86" s="38">
        <v>87</v>
      </c>
      <c r="F86" s="38">
        <v>80</v>
      </c>
      <c r="G86" s="38">
        <v>85</v>
      </c>
      <c r="H86" s="38">
        <v>1124.0800859999999</v>
      </c>
      <c r="I86" s="38">
        <f t="shared" si="1"/>
        <v>1.124080086</v>
      </c>
      <c r="J86" s="38">
        <v>2497</v>
      </c>
      <c r="K86" s="38">
        <v>2504</v>
      </c>
      <c r="L86" s="38">
        <v>2653</v>
      </c>
      <c r="M86" s="38">
        <v>5.3379999999999999E-3</v>
      </c>
      <c r="N86" s="38">
        <v>6.7778000000000005E-2</v>
      </c>
      <c r="O86" s="38">
        <v>86</v>
      </c>
      <c r="P86" s="38">
        <v>80</v>
      </c>
      <c r="Q86" s="38">
        <v>1124.0800859999999</v>
      </c>
      <c r="R86" s="38" t="s">
        <v>119</v>
      </c>
      <c r="S86" s="38" t="s">
        <v>119</v>
      </c>
      <c r="T86" s="38" t="s">
        <v>119</v>
      </c>
      <c r="U86" s="38" t="s">
        <v>119</v>
      </c>
      <c r="V86" s="38" t="s">
        <v>119</v>
      </c>
      <c r="W86" s="38" t="s">
        <v>119</v>
      </c>
      <c r="X86" s="38" t="s">
        <v>258</v>
      </c>
    </row>
    <row r="87" spans="1:24" x14ac:dyDescent="0.45">
      <c r="A87" s="38" t="s">
        <v>343</v>
      </c>
      <c r="B87" s="38">
        <v>112</v>
      </c>
      <c r="C87" s="38" t="s">
        <v>257</v>
      </c>
      <c r="D87" s="38">
        <v>112</v>
      </c>
      <c r="E87" s="38">
        <v>88</v>
      </c>
      <c r="F87" s="38">
        <v>114</v>
      </c>
      <c r="G87" s="38">
        <v>83</v>
      </c>
      <c r="H87" s="38">
        <v>17421.677477000001</v>
      </c>
      <c r="I87" s="38">
        <f t="shared" si="1"/>
        <v>17.421677476999999</v>
      </c>
      <c r="J87" s="38">
        <v>2527</v>
      </c>
      <c r="K87" s="38">
        <v>2496</v>
      </c>
      <c r="L87" s="38">
        <v>2654</v>
      </c>
      <c r="M87" s="38">
        <v>1.4350000000000001E-3</v>
      </c>
      <c r="N87" s="38">
        <v>8.8683999999999999E-2</v>
      </c>
      <c r="O87" s="38">
        <v>99</v>
      </c>
      <c r="P87" s="38">
        <v>74</v>
      </c>
      <c r="Q87" s="38">
        <v>17421.677477000001</v>
      </c>
      <c r="R87" s="38" t="s">
        <v>119</v>
      </c>
      <c r="S87" s="38" t="s">
        <v>119</v>
      </c>
      <c r="T87" s="38" t="s">
        <v>119</v>
      </c>
      <c r="U87" s="38" t="s">
        <v>119</v>
      </c>
      <c r="V87" s="38" t="s">
        <v>119</v>
      </c>
      <c r="W87" s="38" t="s">
        <v>119</v>
      </c>
      <c r="X87" s="38" t="s">
        <v>258</v>
      </c>
    </row>
    <row r="88" spans="1:24" x14ac:dyDescent="0.45">
      <c r="A88" s="38" t="s">
        <v>344</v>
      </c>
      <c r="B88" s="38">
        <v>102</v>
      </c>
      <c r="C88" s="38" t="s">
        <v>257</v>
      </c>
      <c r="D88" s="38">
        <v>102</v>
      </c>
      <c r="E88" s="38">
        <v>89</v>
      </c>
      <c r="F88" s="38">
        <v>103</v>
      </c>
      <c r="G88" s="38">
        <v>83</v>
      </c>
      <c r="H88" s="38">
        <v>2934.2960840000001</v>
      </c>
      <c r="I88" s="38">
        <f t="shared" si="1"/>
        <v>2.9342960840000001</v>
      </c>
      <c r="J88" s="38">
        <v>2517</v>
      </c>
      <c r="K88" s="38">
        <v>2496</v>
      </c>
      <c r="L88" s="38">
        <v>2655</v>
      </c>
      <c r="M88" s="38">
        <v>1E-3</v>
      </c>
      <c r="N88" s="38">
        <v>4.9055000000000001E-2</v>
      </c>
      <c r="O88" s="38">
        <v>74</v>
      </c>
      <c r="P88" s="38">
        <v>74</v>
      </c>
      <c r="Q88" s="38">
        <v>2934.2960840000001</v>
      </c>
      <c r="R88" s="38" t="s">
        <v>119</v>
      </c>
      <c r="S88" s="38" t="s">
        <v>119</v>
      </c>
      <c r="T88" s="38" t="s">
        <v>119</v>
      </c>
      <c r="U88" s="38" t="s">
        <v>119</v>
      </c>
      <c r="V88" s="38" t="s">
        <v>119</v>
      </c>
      <c r="W88" s="38" t="s">
        <v>119</v>
      </c>
      <c r="X88" s="38" t="s">
        <v>258</v>
      </c>
    </row>
    <row r="89" spans="1:24" x14ac:dyDescent="0.45">
      <c r="A89" s="38" t="s">
        <v>345</v>
      </c>
      <c r="B89" s="38">
        <v>86</v>
      </c>
      <c r="C89" s="38" t="s">
        <v>257</v>
      </c>
      <c r="D89" s="38">
        <v>86</v>
      </c>
      <c r="E89" s="38">
        <v>90</v>
      </c>
      <c r="F89" s="38">
        <v>86</v>
      </c>
      <c r="G89" s="38">
        <v>87</v>
      </c>
      <c r="H89" s="38">
        <v>1183.363094</v>
      </c>
      <c r="I89" s="38">
        <f t="shared" si="1"/>
        <v>1.1833630939999999</v>
      </c>
      <c r="J89" s="38">
        <v>2501</v>
      </c>
      <c r="K89" s="38">
        <v>2503</v>
      </c>
      <c r="L89" s="38">
        <v>2656</v>
      </c>
      <c r="M89" s="38">
        <v>1.6900000000000001E-3</v>
      </c>
      <c r="N89" s="38">
        <v>8.2693000000000003E-2</v>
      </c>
      <c r="O89" s="38">
        <v>46</v>
      </c>
      <c r="P89" s="38">
        <v>44</v>
      </c>
      <c r="Q89" s="38">
        <v>1183.363094</v>
      </c>
      <c r="R89" s="38" t="s">
        <v>119</v>
      </c>
      <c r="S89" s="38" t="s">
        <v>119</v>
      </c>
      <c r="T89" s="38" t="s">
        <v>119</v>
      </c>
      <c r="U89" s="38" t="s">
        <v>119</v>
      </c>
      <c r="V89" s="38" t="s">
        <v>119</v>
      </c>
      <c r="W89" s="38" t="s">
        <v>119</v>
      </c>
      <c r="X89" s="38" t="s">
        <v>258</v>
      </c>
    </row>
    <row r="90" spans="1:24" x14ac:dyDescent="0.45">
      <c r="A90" s="38" t="s">
        <v>346</v>
      </c>
      <c r="B90" s="38">
        <v>84</v>
      </c>
      <c r="C90" s="38" t="s">
        <v>257</v>
      </c>
      <c r="D90" s="38">
        <v>84</v>
      </c>
      <c r="E90" s="38">
        <v>91</v>
      </c>
      <c r="F90" s="38">
        <v>84</v>
      </c>
      <c r="G90" s="38">
        <v>87</v>
      </c>
      <c r="H90" s="38">
        <v>69.194174000000004</v>
      </c>
      <c r="I90" s="38">
        <f t="shared" si="1"/>
        <v>6.9194173999999997E-2</v>
      </c>
      <c r="J90" s="38">
        <v>2499</v>
      </c>
      <c r="K90" s="38">
        <v>2503</v>
      </c>
      <c r="L90" s="38">
        <v>2657</v>
      </c>
      <c r="M90" s="38">
        <v>1E-3</v>
      </c>
      <c r="N90" s="38">
        <v>6.7243999999999998E-2</v>
      </c>
      <c r="O90" s="38">
        <v>40</v>
      </c>
      <c r="P90" s="38">
        <v>44</v>
      </c>
      <c r="Q90" s="38">
        <v>69.194174000000004</v>
      </c>
      <c r="R90" s="38" t="s">
        <v>119</v>
      </c>
      <c r="S90" s="38" t="s">
        <v>119</v>
      </c>
      <c r="T90" s="38" t="s">
        <v>119</v>
      </c>
      <c r="U90" s="38" t="s">
        <v>119</v>
      </c>
      <c r="V90" s="38" t="s">
        <v>119</v>
      </c>
      <c r="W90" s="38" t="s">
        <v>119</v>
      </c>
      <c r="X90" s="38" t="s">
        <v>258</v>
      </c>
    </row>
    <row r="91" spans="1:24" x14ac:dyDescent="0.45">
      <c r="A91" s="38" t="s">
        <v>347</v>
      </c>
      <c r="B91" s="38">
        <v>89</v>
      </c>
      <c r="C91" s="38" t="s">
        <v>257</v>
      </c>
      <c r="D91" s="38">
        <v>89</v>
      </c>
      <c r="E91" s="38">
        <v>92</v>
      </c>
      <c r="F91" s="38">
        <v>85</v>
      </c>
      <c r="G91" s="38">
        <v>92</v>
      </c>
      <c r="H91" s="38">
        <v>809.61940800000002</v>
      </c>
      <c r="I91" s="38">
        <f t="shared" si="1"/>
        <v>0.80961940799999998</v>
      </c>
      <c r="J91" s="38">
        <v>2504</v>
      </c>
      <c r="K91" s="38">
        <v>2505</v>
      </c>
      <c r="L91" s="38">
        <v>2658</v>
      </c>
      <c r="M91" s="38">
        <v>1E-3</v>
      </c>
      <c r="N91" s="38">
        <v>5.8885E-2</v>
      </c>
      <c r="O91" s="38">
        <v>80</v>
      </c>
      <c r="P91" s="38">
        <v>82</v>
      </c>
      <c r="Q91" s="38">
        <v>809.61940800000002</v>
      </c>
      <c r="R91" s="38" t="s">
        <v>119</v>
      </c>
      <c r="S91" s="38" t="s">
        <v>119</v>
      </c>
      <c r="T91" s="38" t="s">
        <v>119</v>
      </c>
      <c r="U91" s="38" t="s">
        <v>119</v>
      </c>
      <c r="V91" s="38" t="s">
        <v>119</v>
      </c>
      <c r="W91" s="38" t="s">
        <v>119</v>
      </c>
      <c r="X91" s="38" t="s">
        <v>258</v>
      </c>
    </row>
    <row r="92" spans="1:24" x14ac:dyDescent="0.45">
      <c r="A92" s="38" t="s">
        <v>348</v>
      </c>
      <c r="B92" s="38">
        <v>88</v>
      </c>
      <c r="C92" s="38" t="s">
        <v>257</v>
      </c>
      <c r="D92" s="38">
        <v>88</v>
      </c>
      <c r="E92" s="38">
        <v>93</v>
      </c>
      <c r="F92" s="38">
        <v>87</v>
      </c>
      <c r="G92" s="38">
        <v>91</v>
      </c>
      <c r="H92" s="38">
        <v>1420.4951289999999</v>
      </c>
      <c r="I92" s="38">
        <f t="shared" si="1"/>
        <v>1.4204951289999999</v>
      </c>
      <c r="J92" s="38">
        <v>2503</v>
      </c>
      <c r="K92" s="38">
        <v>2510</v>
      </c>
      <c r="L92" s="38">
        <v>2659</v>
      </c>
      <c r="M92" s="38">
        <v>1E-3</v>
      </c>
      <c r="N92" s="38">
        <v>6.7700999999999997E-2</v>
      </c>
      <c r="O92" s="38">
        <v>44</v>
      </c>
      <c r="P92" s="38">
        <v>44</v>
      </c>
      <c r="Q92" s="38">
        <v>1420.4951289999999</v>
      </c>
      <c r="R92" s="38" t="s">
        <v>119</v>
      </c>
      <c r="S92" s="38" t="s">
        <v>119</v>
      </c>
      <c r="T92" s="38" t="s">
        <v>119</v>
      </c>
      <c r="U92" s="38" t="s">
        <v>119</v>
      </c>
      <c r="V92" s="38" t="s">
        <v>119</v>
      </c>
      <c r="W92" s="38" t="s">
        <v>119</v>
      </c>
      <c r="X92" s="38" t="s">
        <v>258</v>
      </c>
    </row>
    <row r="93" spans="1:24" x14ac:dyDescent="0.45">
      <c r="A93" s="38" t="s">
        <v>349</v>
      </c>
      <c r="B93" s="38">
        <v>93</v>
      </c>
      <c r="C93" s="38" t="s">
        <v>257</v>
      </c>
      <c r="D93" s="38">
        <v>93</v>
      </c>
      <c r="E93" s="38">
        <v>94</v>
      </c>
      <c r="F93" s="38">
        <v>89</v>
      </c>
      <c r="G93" s="38">
        <v>76</v>
      </c>
      <c r="H93" s="38">
        <v>17836.874087</v>
      </c>
      <c r="I93" s="38">
        <f t="shared" si="1"/>
        <v>17.836874087000002</v>
      </c>
      <c r="J93" s="38">
        <v>2508</v>
      </c>
      <c r="K93" s="38">
        <v>2489</v>
      </c>
      <c r="L93" s="38">
        <v>2660</v>
      </c>
      <c r="M93" s="38">
        <v>2.9545999999999999E-2</v>
      </c>
      <c r="N93" s="38">
        <v>0.15861500000000001</v>
      </c>
      <c r="O93" s="38">
        <v>663</v>
      </c>
      <c r="P93" s="38">
        <v>136</v>
      </c>
      <c r="Q93" s="38">
        <v>17836.874087</v>
      </c>
      <c r="R93" s="38" t="s">
        <v>119</v>
      </c>
      <c r="S93" s="38" t="s">
        <v>119</v>
      </c>
      <c r="T93" s="38" t="s">
        <v>119</v>
      </c>
      <c r="U93" s="38" t="s">
        <v>119</v>
      </c>
      <c r="V93" s="38" t="s">
        <v>119</v>
      </c>
      <c r="W93" s="38" t="s">
        <v>119</v>
      </c>
      <c r="X93" s="38" t="s">
        <v>258</v>
      </c>
    </row>
    <row r="94" spans="1:24" x14ac:dyDescent="0.45">
      <c r="A94" s="38" t="s">
        <v>350</v>
      </c>
      <c r="B94" s="38">
        <v>95</v>
      </c>
      <c r="C94" s="38" t="s">
        <v>257</v>
      </c>
      <c r="D94" s="38">
        <v>95</v>
      </c>
      <c r="E94" s="38">
        <v>96</v>
      </c>
      <c r="F94" s="38">
        <v>91</v>
      </c>
      <c r="G94" s="38">
        <v>98</v>
      </c>
      <c r="H94" s="38">
        <v>8207.4377640000002</v>
      </c>
      <c r="I94" s="38">
        <f t="shared" si="1"/>
        <v>8.2074377639999998</v>
      </c>
      <c r="J94" s="38">
        <v>2510</v>
      </c>
      <c r="K94" s="38">
        <v>2511</v>
      </c>
      <c r="L94" s="38">
        <v>2662</v>
      </c>
      <c r="M94" s="38">
        <v>4.8700000000000002E-4</v>
      </c>
      <c r="N94" s="38">
        <v>6.4359E-2</v>
      </c>
      <c r="O94" s="38">
        <v>44</v>
      </c>
      <c r="P94" s="38">
        <v>40</v>
      </c>
      <c r="Q94" s="38">
        <v>8207.4377640000002</v>
      </c>
      <c r="R94" s="38" t="s">
        <v>119</v>
      </c>
      <c r="S94" s="38" t="s">
        <v>119</v>
      </c>
      <c r="T94" s="38" t="s">
        <v>119</v>
      </c>
      <c r="U94" s="38" t="s">
        <v>119</v>
      </c>
      <c r="V94" s="38" t="s">
        <v>119</v>
      </c>
      <c r="W94" s="38" t="s">
        <v>119</v>
      </c>
      <c r="X94" s="38" t="s">
        <v>258</v>
      </c>
    </row>
    <row r="95" spans="1:24" x14ac:dyDescent="0.45">
      <c r="A95" s="38" t="s">
        <v>351</v>
      </c>
      <c r="B95" s="38">
        <v>100</v>
      </c>
      <c r="C95" s="38" t="s">
        <v>257</v>
      </c>
      <c r="D95" s="38">
        <v>100</v>
      </c>
      <c r="E95" s="38">
        <v>97</v>
      </c>
      <c r="F95" s="38">
        <v>101</v>
      </c>
      <c r="G95" s="38">
        <v>91</v>
      </c>
      <c r="H95" s="38">
        <v>1212.0242599999999</v>
      </c>
      <c r="I95" s="38">
        <f t="shared" si="1"/>
        <v>1.21202426</v>
      </c>
      <c r="J95" s="38">
        <v>2515</v>
      </c>
      <c r="K95" s="38">
        <v>2510</v>
      </c>
      <c r="L95" s="38">
        <v>2663</v>
      </c>
      <c r="M95" s="38">
        <v>1E-3</v>
      </c>
      <c r="N95" s="38">
        <v>8.2220000000000001E-2</v>
      </c>
      <c r="O95" s="38">
        <v>34</v>
      </c>
      <c r="P95" s="38">
        <v>44</v>
      </c>
      <c r="Q95" s="38">
        <v>1212.0242599999999</v>
      </c>
      <c r="R95" s="38" t="s">
        <v>119</v>
      </c>
      <c r="S95" s="38" t="s">
        <v>119</v>
      </c>
      <c r="T95" s="38" t="s">
        <v>119</v>
      </c>
      <c r="U95" s="38" t="s">
        <v>119</v>
      </c>
      <c r="V95" s="38" t="s">
        <v>119</v>
      </c>
      <c r="W95" s="38" t="s">
        <v>119</v>
      </c>
      <c r="X95" s="38" t="s">
        <v>258</v>
      </c>
    </row>
    <row r="96" spans="1:24" x14ac:dyDescent="0.45">
      <c r="A96" s="38" t="s">
        <v>352</v>
      </c>
      <c r="B96" s="38">
        <v>101</v>
      </c>
      <c r="C96" s="38" t="s">
        <v>257</v>
      </c>
      <c r="D96" s="38">
        <v>101</v>
      </c>
      <c r="E96" s="38">
        <v>98</v>
      </c>
      <c r="F96" s="38">
        <v>102</v>
      </c>
      <c r="G96" s="38">
        <v>92</v>
      </c>
      <c r="H96" s="38">
        <v>1448.635912</v>
      </c>
      <c r="I96" s="38">
        <f t="shared" si="1"/>
        <v>1.4486359119999999</v>
      </c>
      <c r="J96" s="38">
        <v>2516</v>
      </c>
      <c r="K96" s="38">
        <v>2505</v>
      </c>
      <c r="L96" s="38">
        <v>2664</v>
      </c>
      <c r="M96" s="38">
        <v>2.0709999999999999E-3</v>
      </c>
      <c r="N96" s="38">
        <v>6.9468000000000002E-2</v>
      </c>
      <c r="O96" s="38">
        <v>85</v>
      </c>
      <c r="P96" s="38">
        <v>82</v>
      </c>
      <c r="Q96" s="38">
        <v>1448.635912</v>
      </c>
      <c r="R96" s="38" t="s">
        <v>119</v>
      </c>
      <c r="S96" s="38" t="s">
        <v>119</v>
      </c>
      <c r="T96" s="38" t="s">
        <v>119</v>
      </c>
      <c r="U96" s="38" t="s">
        <v>119</v>
      </c>
      <c r="V96" s="38" t="s">
        <v>119</v>
      </c>
      <c r="W96" s="38" t="s">
        <v>119</v>
      </c>
      <c r="X96" s="38" t="s">
        <v>258</v>
      </c>
    </row>
    <row r="97" spans="1:24" x14ac:dyDescent="0.45">
      <c r="A97" s="38" t="s">
        <v>353</v>
      </c>
      <c r="B97" s="38">
        <v>92</v>
      </c>
      <c r="C97" s="38" t="s">
        <v>257</v>
      </c>
      <c r="D97" s="38">
        <v>92</v>
      </c>
      <c r="E97" s="38">
        <v>99</v>
      </c>
      <c r="F97" s="38">
        <v>95</v>
      </c>
      <c r="G97" s="38">
        <v>94</v>
      </c>
      <c r="H97" s="38">
        <v>1748.2679459999999</v>
      </c>
      <c r="I97" s="38">
        <f t="shared" si="1"/>
        <v>1.7482679459999999</v>
      </c>
      <c r="J97" s="38">
        <v>2507</v>
      </c>
      <c r="K97" s="38">
        <v>2731</v>
      </c>
      <c r="L97" s="38">
        <v>2665</v>
      </c>
      <c r="M97" s="38">
        <v>1.0867999999999999E-2</v>
      </c>
      <c r="N97" s="38">
        <v>7.9913999999999999E-2</v>
      </c>
      <c r="O97" s="38">
        <v>156</v>
      </c>
      <c r="P97" s="38">
        <v>137</v>
      </c>
      <c r="Q97" s="38">
        <v>1748.2679459999999</v>
      </c>
      <c r="R97" s="38" t="s">
        <v>119</v>
      </c>
      <c r="S97" s="38" t="s">
        <v>119</v>
      </c>
      <c r="T97" s="38" t="s">
        <v>119</v>
      </c>
      <c r="U97" s="38" t="s">
        <v>119</v>
      </c>
      <c r="V97" s="38" t="s">
        <v>119</v>
      </c>
      <c r="W97" s="38" t="s">
        <v>119</v>
      </c>
      <c r="X97" s="38" t="s">
        <v>258</v>
      </c>
    </row>
    <row r="98" spans="1:24" x14ac:dyDescent="0.45">
      <c r="A98" s="38" t="s">
        <v>354</v>
      </c>
      <c r="B98" s="38">
        <v>98</v>
      </c>
      <c r="C98" s="38" t="s">
        <v>257</v>
      </c>
      <c r="D98" s="38">
        <v>98</v>
      </c>
      <c r="E98" s="38">
        <v>100</v>
      </c>
      <c r="F98" s="38">
        <v>100</v>
      </c>
      <c r="G98" s="38">
        <v>94</v>
      </c>
      <c r="H98" s="38">
        <v>975.33639900000003</v>
      </c>
      <c r="I98" s="38">
        <f t="shared" si="1"/>
        <v>0.97533639900000002</v>
      </c>
      <c r="J98" s="38">
        <v>2513</v>
      </c>
      <c r="K98" s="38">
        <v>2731</v>
      </c>
      <c r="L98" s="38">
        <v>2666</v>
      </c>
      <c r="M98" s="38">
        <v>6.1520000000000004E-3</v>
      </c>
      <c r="N98" s="38">
        <v>6.6852999999999996E-2</v>
      </c>
      <c r="O98" s="38">
        <v>143</v>
      </c>
      <c r="P98" s="38">
        <v>137</v>
      </c>
      <c r="Q98" s="38">
        <v>975.33639900000003</v>
      </c>
      <c r="R98" s="38" t="s">
        <v>119</v>
      </c>
      <c r="S98" s="38" t="s">
        <v>119</v>
      </c>
      <c r="T98" s="38" t="s">
        <v>119</v>
      </c>
      <c r="U98" s="38" t="s">
        <v>119</v>
      </c>
      <c r="V98" s="38" t="s">
        <v>119</v>
      </c>
      <c r="W98" s="38" t="s">
        <v>119</v>
      </c>
      <c r="X98" s="38" t="s">
        <v>258</v>
      </c>
    </row>
    <row r="99" spans="1:24" x14ac:dyDescent="0.45">
      <c r="A99" s="38" t="s">
        <v>355</v>
      </c>
      <c r="B99" s="38">
        <v>99</v>
      </c>
      <c r="C99" s="38" t="s">
        <v>257</v>
      </c>
      <c r="D99" s="38">
        <v>99</v>
      </c>
      <c r="E99" s="38">
        <v>101</v>
      </c>
      <c r="F99" s="38">
        <v>96</v>
      </c>
      <c r="G99" s="38">
        <v>86</v>
      </c>
      <c r="H99" s="38">
        <v>2431.707249</v>
      </c>
      <c r="I99" s="38">
        <f t="shared" si="1"/>
        <v>2.431707249</v>
      </c>
      <c r="J99" s="38">
        <v>2514</v>
      </c>
      <c r="K99" s="38">
        <v>2501</v>
      </c>
      <c r="L99" s="38">
        <v>2667</v>
      </c>
      <c r="M99" s="38">
        <v>1E-3</v>
      </c>
      <c r="N99" s="38">
        <v>7.4156E-2</v>
      </c>
      <c r="O99" s="38">
        <v>43</v>
      </c>
      <c r="P99" s="38">
        <v>46</v>
      </c>
      <c r="Q99" s="38">
        <v>2431.707249</v>
      </c>
      <c r="R99" s="38" t="s">
        <v>119</v>
      </c>
      <c r="S99" s="38" t="s">
        <v>119</v>
      </c>
      <c r="T99" s="38" t="s">
        <v>119</v>
      </c>
      <c r="U99" s="38" t="s">
        <v>119</v>
      </c>
      <c r="V99" s="38" t="s">
        <v>119</v>
      </c>
      <c r="W99" s="38" t="s">
        <v>119</v>
      </c>
      <c r="X99" s="38" t="s">
        <v>258</v>
      </c>
    </row>
    <row r="100" spans="1:24" x14ac:dyDescent="0.45">
      <c r="A100" s="38" t="s">
        <v>356</v>
      </c>
      <c r="B100" s="38">
        <v>96</v>
      </c>
      <c r="C100" s="38" t="s">
        <v>257</v>
      </c>
      <c r="D100" s="38">
        <v>96</v>
      </c>
      <c r="E100" s="38">
        <v>102</v>
      </c>
      <c r="F100" s="38">
        <v>98</v>
      </c>
      <c r="G100" s="38">
        <v>97</v>
      </c>
      <c r="H100" s="38">
        <v>121.78300900000001</v>
      </c>
      <c r="I100" s="38">
        <f t="shared" si="1"/>
        <v>0.12178300900000001</v>
      </c>
      <c r="J100" s="38">
        <v>2511</v>
      </c>
      <c r="K100" s="38">
        <v>-1</v>
      </c>
      <c r="L100" s="38">
        <v>2668</v>
      </c>
      <c r="M100" s="38">
        <v>1E-3</v>
      </c>
      <c r="N100" s="38">
        <v>5.8652999999999997E-2</v>
      </c>
      <c r="O100" s="38">
        <v>40</v>
      </c>
      <c r="P100" s="38">
        <v>42</v>
      </c>
      <c r="Q100" s="38">
        <v>121.78300900000001</v>
      </c>
      <c r="R100" s="38" t="s">
        <v>119</v>
      </c>
      <c r="S100" s="38" t="s">
        <v>119</v>
      </c>
      <c r="T100" s="38" t="s">
        <v>119</v>
      </c>
      <c r="U100" s="38" t="s">
        <v>119</v>
      </c>
      <c r="V100" s="38" t="s">
        <v>119</v>
      </c>
      <c r="W100" s="38" t="s">
        <v>119</v>
      </c>
      <c r="X100" s="38" t="s">
        <v>258</v>
      </c>
    </row>
    <row r="101" spans="1:24" x14ac:dyDescent="0.45">
      <c r="A101" s="38" t="s">
        <v>357</v>
      </c>
      <c r="B101" s="38">
        <v>97</v>
      </c>
      <c r="C101" s="38" t="s">
        <v>257</v>
      </c>
      <c r="D101" s="38">
        <v>97</v>
      </c>
      <c r="E101" s="38">
        <v>103</v>
      </c>
      <c r="F101" s="38">
        <v>99</v>
      </c>
      <c r="G101" s="38">
        <v>98</v>
      </c>
      <c r="H101" s="38">
        <v>154.54951299999999</v>
      </c>
      <c r="I101" s="38">
        <f t="shared" si="1"/>
        <v>0.154549513</v>
      </c>
      <c r="J101" s="38">
        <v>2512</v>
      </c>
      <c r="K101" s="38">
        <v>2511</v>
      </c>
      <c r="L101" s="38">
        <v>2669</v>
      </c>
      <c r="M101" s="38">
        <v>1E-3</v>
      </c>
      <c r="N101" s="38">
        <v>7.7890000000000001E-2</v>
      </c>
      <c r="O101" s="38">
        <v>35</v>
      </c>
      <c r="P101" s="38">
        <v>40</v>
      </c>
      <c r="Q101" s="38">
        <v>154.54951299999999</v>
      </c>
      <c r="R101" s="38" t="s">
        <v>119</v>
      </c>
      <c r="S101" s="38" t="s">
        <v>119</v>
      </c>
      <c r="T101" s="38" t="s">
        <v>119</v>
      </c>
      <c r="U101" s="38" t="s">
        <v>119</v>
      </c>
      <c r="V101" s="38" t="s">
        <v>119</v>
      </c>
      <c r="W101" s="38" t="s">
        <v>119</v>
      </c>
      <c r="X101" s="38" t="s">
        <v>258</v>
      </c>
    </row>
    <row r="102" spans="1:24" x14ac:dyDescent="0.45">
      <c r="A102" s="38" t="s">
        <v>358</v>
      </c>
      <c r="B102" s="38">
        <v>107</v>
      </c>
      <c r="C102" s="38" t="s">
        <v>257</v>
      </c>
      <c r="D102" s="38">
        <v>107</v>
      </c>
      <c r="E102" s="38">
        <v>104</v>
      </c>
      <c r="F102" s="38">
        <v>106</v>
      </c>
      <c r="G102" s="38">
        <v>111</v>
      </c>
      <c r="H102" s="38">
        <v>7683.7125690000003</v>
      </c>
      <c r="I102" s="38">
        <f t="shared" si="1"/>
        <v>7.6837125689999999</v>
      </c>
      <c r="J102" s="38">
        <v>2522</v>
      </c>
      <c r="K102" s="38">
        <v>2521</v>
      </c>
      <c r="L102" s="38">
        <v>2670</v>
      </c>
      <c r="M102" s="38">
        <v>9.2012999999999998E-2</v>
      </c>
      <c r="N102" s="38">
        <v>0.28368500000000002</v>
      </c>
      <c r="O102" s="38">
        <v>1189</v>
      </c>
      <c r="P102" s="38">
        <v>482</v>
      </c>
      <c r="Q102" s="38">
        <v>7683.7125690000003</v>
      </c>
      <c r="R102" s="38" t="s">
        <v>119</v>
      </c>
      <c r="S102" s="38" t="s">
        <v>119</v>
      </c>
      <c r="T102" s="38" t="s">
        <v>119</v>
      </c>
      <c r="U102" s="38" t="s">
        <v>119</v>
      </c>
      <c r="V102" s="38" t="s">
        <v>119</v>
      </c>
      <c r="W102" s="38" t="s">
        <v>119</v>
      </c>
      <c r="X102" s="38" t="s">
        <v>258</v>
      </c>
    </row>
    <row r="103" spans="1:24" x14ac:dyDescent="0.45">
      <c r="A103" s="38" t="s">
        <v>359</v>
      </c>
      <c r="B103" s="38">
        <v>104</v>
      </c>
      <c r="C103" s="38" t="s">
        <v>257</v>
      </c>
      <c r="D103" s="38">
        <v>104</v>
      </c>
      <c r="E103" s="38">
        <v>105</v>
      </c>
      <c r="F103" s="38">
        <v>109</v>
      </c>
      <c r="G103" s="38">
        <v>107</v>
      </c>
      <c r="H103" s="38">
        <v>6537.4368670000003</v>
      </c>
      <c r="I103" s="38">
        <f t="shared" si="1"/>
        <v>6.5374368670000003</v>
      </c>
      <c r="J103" s="38">
        <v>2519</v>
      </c>
      <c r="K103" s="38">
        <v>2524</v>
      </c>
      <c r="L103" s="38">
        <v>2671</v>
      </c>
      <c r="M103" s="38">
        <v>1.8509000000000001E-2</v>
      </c>
      <c r="N103" s="38">
        <v>0.137741</v>
      </c>
      <c r="O103" s="38">
        <v>391</v>
      </c>
      <c r="P103" s="38">
        <v>270</v>
      </c>
      <c r="Q103" s="38">
        <v>6537.4368670000003</v>
      </c>
      <c r="R103" s="38" t="s">
        <v>119</v>
      </c>
      <c r="S103" s="38" t="s">
        <v>119</v>
      </c>
      <c r="T103" s="38" t="s">
        <v>119</v>
      </c>
      <c r="U103" s="38" t="s">
        <v>119</v>
      </c>
      <c r="V103" s="38" t="s">
        <v>119</v>
      </c>
      <c r="W103" s="38" t="s">
        <v>119</v>
      </c>
      <c r="X103" s="38" t="s">
        <v>258</v>
      </c>
    </row>
    <row r="104" spans="1:24" x14ac:dyDescent="0.45">
      <c r="A104" s="38" t="s">
        <v>360</v>
      </c>
      <c r="B104" s="38">
        <v>105</v>
      </c>
      <c r="C104" s="38" t="s">
        <v>257</v>
      </c>
      <c r="D104" s="38">
        <v>105</v>
      </c>
      <c r="E104" s="38">
        <v>106</v>
      </c>
      <c r="F104" s="38">
        <v>104</v>
      </c>
      <c r="G104" s="38">
        <v>110</v>
      </c>
      <c r="H104" s="38">
        <v>1687.176676</v>
      </c>
      <c r="I104" s="38">
        <f t="shared" si="1"/>
        <v>1.687176676</v>
      </c>
      <c r="J104" s="38">
        <v>2520</v>
      </c>
      <c r="K104" s="38">
        <v>2526</v>
      </c>
      <c r="L104" s="38">
        <v>2672</v>
      </c>
      <c r="M104" s="38">
        <v>1E-3</v>
      </c>
      <c r="N104" s="38">
        <v>7.1403999999999995E-2</v>
      </c>
      <c r="O104" s="38">
        <v>105</v>
      </c>
      <c r="P104" s="38">
        <v>110</v>
      </c>
      <c r="Q104" s="38">
        <v>1687.176676</v>
      </c>
      <c r="R104" s="38" t="s">
        <v>119</v>
      </c>
      <c r="S104" s="38" t="s">
        <v>119</v>
      </c>
      <c r="T104" s="38" t="s">
        <v>119</v>
      </c>
      <c r="U104" s="38" t="s">
        <v>119</v>
      </c>
      <c r="V104" s="38" t="s">
        <v>119</v>
      </c>
      <c r="W104" s="38" t="s">
        <v>119</v>
      </c>
      <c r="X104" s="38" t="s">
        <v>258</v>
      </c>
    </row>
    <row r="105" spans="1:24" x14ac:dyDescent="0.45">
      <c r="A105" s="38" t="s">
        <v>361</v>
      </c>
      <c r="B105" s="38">
        <v>109</v>
      </c>
      <c r="C105" s="38" t="s">
        <v>257</v>
      </c>
      <c r="D105" s="38">
        <v>109</v>
      </c>
      <c r="E105" s="38">
        <v>108</v>
      </c>
      <c r="F105" s="38">
        <v>107</v>
      </c>
      <c r="G105" s="38">
        <v>113</v>
      </c>
      <c r="H105" s="38">
        <v>4417.3989869999996</v>
      </c>
      <c r="I105" s="38">
        <f t="shared" si="1"/>
        <v>4.4173989869999994</v>
      </c>
      <c r="J105" s="38">
        <v>2524</v>
      </c>
      <c r="K105" s="38">
        <v>2529</v>
      </c>
      <c r="L105" s="38">
        <v>2674</v>
      </c>
      <c r="M105" s="38">
        <v>1.5394E-2</v>
      </c>
      <c r="N105" s="38">
        <v>0.116783</v>
      </c>
      <c r="O105" s="38">
        <v>270</v>
      </c>
      <c r="P105" s="38">
        <v>202</v>
      </c>
      <c r="Q105" s="38">
        <v>4417.3989869999996</v>
      </c>
      <c r="R105" s="38" t="s">
        <v>119</v>
      </c>
      <c r="S105" s="38" t="s">
        <v>119</v>
      </c>
      <c r="T105" s="38" t="s">
        <v>119</v>
      </c>
      <c r="U105" s="38" t="s">
        <v>119</v>
      </c>
      <c r="V105" s="38" t="s">
        <v>119</v>
      </c>
      <c r="W105" s="38" t="s">
        <v>119</v>
      </c>
      <c r="X105" s="38" t="s">
        <v>258</v>
      </c>
    </row>
    <row r="106" spans="1:24" x14ac:dyDescent="0.45">
      <c r="A106" s="38" t="s">
        <v>362</v>
      </c>
      <c r="B106" s="38">
        <v>108</v>
      </c>
      <c r="C106" s="38" t="s">
        <v>257</v>
      </c>
      <c r="D106" s="38">
        <v>108</v>
      </c>
      <c r="E106" s="38">
        <v>109</v>
      </c>
      <c r="F106" s="38">
        <v>108</v>
      </c>
      <c r="G106" s="38">
        <v>110</v>
      </c>
      <c r="H106" s="38">
        <v>2186.5485189999999</v>
      </c>
      <c r="I106" s="38">
        <f t="shared" si="1"/>
        <v>2.186548519</v>
      </c>
      <c r="J106" s="38">
        <v>2523</v>
      </c>
      <c r="K106" s="38">
        <v>2526</v>
      </c>
      <c r="L106" s="38">
        <v>2675</v>
      </c>
      <c r="M106" s="38">
        <v>3.2009999999999999E-3</v>
      </c>
      <c r="N106" s="38">
        <v>9.8642999999999995E-2</v>
      </c>
      <c r="O106" s="38">
        <v>117</v>
      </c>
      <c r="P106" s="38">
        <v>110</v>
      </c>
      <c r="Q106" s="38">
        <v>2186.5485189999999</v>
      </c>
      <c r="R106" s="38" t="s">
        <v>119</v>
      </c>
      <c r="S106" s="38" t="s">
        <v>119</v>
      </c>
      <c r="T106" s="38" t="s">
        <v>119</v>
      </c>
      <c r="U106" s="38" t="s">
        <v>119</v>
      </c>
      <c r="V106" s="38" t="s">
        <v>119</v>
      </c>
      <c r="W106" s="38" t="s">
        <v>119</v>
      </c>
      <c r="X106" s="38" t="s">
        <v>258</v>
      </c>
    </row>
    <row r="107" spans="1:24" x14ac:dyDescent="0.45">
      <c r="A107" s="38" t="s">
        <v>363</v>
      </c>
      <c r="B107" s="38">
        <v>129</v>
      </c>
      <c r="C107" s="38" t="s">
        <v>257</v>
      </c>
      <c r="D107" s="38">
        <v>129</v>
      </c>
      <c r="E107" s="38">
        <v>110</v>
      </c>
      <c r="F107" s="38">
        <v>130</v>
      </c>
      <c r="G107" s="38">
        <v>107</v>
      </c>
      <c r="H107" s="38">
        <v>11676.960677999999</v>
      </c>
      <c r="I107" s="38">
        <f t="shared" si="1"/>
        <v>11.676960677999999</v>
      </c>
      <c r="J107" s="38">
        <v>2544</v>
      </c>
      <c r="K107" s="38">
        <v>2524</v>
      </c>
      <c r="L107" s="38">
        <v>2676</v>
      </c>
      <c r="M107" s="38">
        <v>6.8597000000000005E-2</v>
      </c>
      <c r="N107" s="38">
        <v>0.231291</v>
      </c>
      <c r="O107" s="38">
        <v>1071</v>
      </c>
      <c r="P107" s="38">
        <v>270</v>
      </c>
      <c r="Q107" s="38">
        <v>11676.960677999999</v>
      </c>
      <c r="R107" s="38" t="s">
        <v>119</v>
      </c>
      <c r="S107" s="38" t="s">
        <v>119</v>
      </c>
      <c r="T107" s="38" t="s">
        <v>119</v>
      </c>
      <c r="U107" s="38" t="s">
        <v>119</v>
      </c>
      <c r="V107" s="38" t="s">
        <v>119</v>
      </c>
      <c r="W107" s="38" t="s">
        <v>119</v>
      </c>
      <c r="X107" s="38" t="s">
        <v>258</v>
      </c>
    </row>
    <row r="108" spans="1:24" x14ac:dyDescent="0.45">
      <c r="A108" s="38" t="s">
        <v>364</v>
      </c>
      <c r="B108" s="38">
        <v>106</v>
      </c>
      <c r="C108" s="38" t="s">
        <v>257</v>
      </c>
      <c r="D108" s="38">
        <v>106</v>
      </c>
      <c r="E108" s="38">
        <v>111</v>
      </c>
      <c r="F108" s="38">
        <v>111</v>
      </c>
      <c r="G108" s="38">
        <v>109</v>
      </c>
      <c r="H108" s="38">
        <v>2019.4543650000001</v>
      </c>
      <c r="I108" s="38">
        <f t="shared" si="1"/>
        <v>2.0194543650000001</v>
      </c>
      <c r="J108" s="38">
        <v>2521</v>
      </c>
      <c r="K108" s="38">
        <v>2519</v>
      </c>
      <c r="L108" s="38">
        <v>2677</v>
      </c>
      <c r="M108" s="38">
        <v>4.5061999999999998E-2</v>
      </c>
      <c r="N108" s="38">
        <v>0.24210799999999999</v>
      </c>
      <c r="O108" s="38">
        <v>482</v>
      </c>
      <c r="P108" s="38">
        <v>391</v>
      </c>
      <c r="Q108" s="38">
        <v>2019.4543650000001</v>
      </c>
      <c r="R108" s="38" t="s">
        <v>119</v>
      </c>
      <c r="S108" s="38" t="s">
        <v>119</v>
      </c>
      <c r="T108" s="38" t="s">
        <v>119</v>
      </c>
      <c r="U108" s="38" t="s">
        <v>119</v>
      </c>
      <c r="V108" s="38" t="s">
        <v>119</v>
      </c>
      <c r="W108" s="38" t="s">
        <v>119</v>
      </c>
      <c r="X108" s="38" t="s">
        <v>258</v>
      </c>
    </row>
    <row r="109" spans="1:24" x14ac:dyDescent="0.45">
      <c r="A109" s="38" t="s">
        <v>365</v>
      </c>
      <c r="B109" s="38">
        <v>111</v>
      </c>
      <c r="C109" s="38" t="s">
        <v>257</v>
      </c>
      <c r="D109" s="38">
        <v>111</v>
      </c>
      <c r="E109" s="38">
        <v>112</v>
      </c>
      <c r="F109" s="38">
        <v>110</v>
      </c>
      <c r="G109" s="38">
        <v>114</v>
      </c>
      <c r="H109" s="38">
        <v>5815.0387769999998</v>
      </c>
      <c r="I109" s="38">
        <f t="shared" si="1"/>
        <v>5.8150387769999998</v>
      </c>
      <c r="J109" s="38">
        <v>2526</v>
      </c>
      <c r="K109" s="38">
        <v>2527</v>
      </c>
      <c r="L109" s="38">
        <v>2678</v>
      </c>
      <c r="M109" s="38">
        <v>1.892E-3</v>
      </c>
      <c r="N109" s="38">
        <v>8.3587999999999996E-2</v>
      </c>
      <c r="O109" s="38">
        <v>110</v>
      </c>
      <c r="P109" s="38">
        <v>99</v>
      </c>
      <c r="Q109" s="38">
        <v>5815.0387769999998</v>
      </c>
      <c r="R109" s="38" t="s">
        <v>119</v>
      </c>
      <c r="S109" s="38" t="s">
        <v>119</v>
      </c>
      <c r="T109" s="38" t="s">
        <v>119</v>
      </c>
      <c r="U109" s="38" t="s">
        <v>119</v>
      </c>
      <c r="V109" s="38" t="s">
        <v>119</v>
      </c>
      <c r="W109" s="38" t="s">
        <v>119</v>
      </c>
      <c r="X109" s="38" t="s">
        <v>258</v>
      </c>
    </row>
    <row r="110" spans="1:24" x14ac:dyDescent="0.45">
      <c r="A110" s="38" t="s">
        <v>366</v>
      </c>
      <c r="B110" s="38">
        <v>138</v>
      </c>
      <c r="C110" s="38" t="s">
        <v>257</v>
      </c>
      <c r="D110" s="38">
        <v>138</v>
      </c>
      <c r="E110" s="38">
        <v>113</v>
      </c>
      <c r="F110" s="38">
        <v>139</v>
      </c>
      <c r="G110" s="38">
        <v>113</v>
      </c>
      <c r="H110" s="38">
        <v>17796.948499999999</v>
      </c>
      <c r="I110" s="38">
        <f t="shared" si="1"/>
        <v>17.796948499999999</v>
      </c>
      <c r="J110" s="38">
        <v>2553</v>
      </c>
      <c r="K110" s="38">
        <v>2529</v>
      </c>
      <c r="L110" s="38">
        <v>2679</v>
      </c>
      <c r="M110" s="38">
        <v>6.2088999999999998E-2</v>
      </c>
      <c r="N110" s="38">
        <v>0.22386800000000001</v>
      </c>
      <c r="O110" s="38">
        <v>1307</v>
      </c>
      <c r="P110" s="38">
        <v>202</v>
      </c>
      <c r="Q110" s="38">
        <v>17796.948499999999</v>
      </c>
      <c r="R110" s="38" t="s">
        <v>119</v>
      </c>
      <c r="S110" s="38" t="s">
        <v>119</v>
      </c>
      <c r="T110" s="38" t="s">
        <v>119</v>
      </c>
      <c r="U110" s="38" t="s">
        <v>119</v>
      </c>
      <c r="V110" s="38" t="s">
        <v>119</v>
      </c>
      <c r="W110" s="38" t="s">
        <v>119</v>
      </c>
      <c r="X110" s="38" t="s">
        <v>258</v>
      </c>
    </row>
    <row r="111" spans="1:24" x14ac:dyDescent="0.45">
      <c r="A111" s="38" t="s">
        <v>367</v>
      </c>
      <c r="B111" s="38">
        <v>127</v>
      </c>
      <c r="C111" s="38" t="s">
        <v>257</v>
      </c>
      <c r="D111" s="38">
        <v>127</v>
      </c>
      <c r="E111" s="38">
        <v>115</v>
      </c>
      <c r="F111" s="38">
        <v>129</v>
      </c>
      <c r="G111" s="38">
        <v>109</v>
      </c>
      <c r="H111" s="38">
        <v>10792.309703999999</v>
      </c>
      <c r="I111" s="38">
        <f t="shared" si="1"/>
        <v>10.792309703999999</v>
      </c>
      <c r="J111" s="38">
        <v>2542</v>
      </c>
      <c r="K111" s="38">
        <v>2519</v>
      </c>
      <c r="L111" s="38">
        <v>2681</v>
      </c>
      <c r="M111" s="38">
        <v>5.3741999999999998E-2</v>
      </c>
      <c r="N111" s="38">
        <v>0.31273099999999998</v>
      </c>
      <c r="O111" s="38">
        <v>971</v>
      </c>
      <c r="P111" s="38">
        <v>391</v>
      </c>
      <c r="Q111" s="38">
        <v>10792.309703999999</v>
      </c>
      <c r="R111" s="38" t="s">
        <v>119</v>
      </c>
      <c r="S111" s="38" t="s">
        <v>119</v>
      </c>
      <c r="T111" s="38" t="s">
        <v>119</v>
      </c>
      <c r="U111" s="38" t="s">
        <v>119</v>
      </c>
      <c r="V111" s="38" t="s">
        <v>119</v>
      </c>
      <c r="W111" s="38" t="s">
        <v>119</v>
      </c>
      <c r="X111" s="38" t="s">
        <v>258</v>
      </c>
    </row>
    <row r="112" spans="1:24" x14ac:dyDescent="0.45">
      <c r="A112" s="38" t="s">
        <v>368</v>
      </c>
      <c r="B112" s="38">
        <v>114</v>
      </c>
      <c r="C112" s="38" t="s">
        <v>257</v>
      </c>
      <c r="D112" s="38">
        <v>114</v>
      </c>
      <c r="E112" s="38">
        <v>116</v>
      </c>
      <c r="F112" s="38">
        <v>113</v>
      </c>
      <c r="G112" s="38">
        <v>117</v>
      </c>
      <c r="H112" s="38">
        <v>1436.028137</v>
      </c>
      <c r="I112" s="38">
        <f t="shared" si="1"/>
        <v>1.4360281370000001</v>
      </c>
      <c r="J112" s="38">
        <v>2529</v>
      </c>
      <c r="K112" s="38">
        <v>2531</v>
      </c>
      <c r="L112" s="38">
        <v>2682</v>
      </c>
      <c r="M112" s="38">
        <v>9.7490000000000007E-3</v>
      </c>
      <c r="N112" s="38">
        <v>0.12004099999999999</v>
      </c>
      <c r="O112" s="38">
        <v>202</v>
      </c>
      <c r="P112" s="38">
        <v>188</v>
      </c>
      <c r="Q112" s="38">
        <v>1436.028137</v>
      </c>
      <c r="R112" s="38" t="s">
        <v>119</v>
      </c>
      <c r="S112" s="38" t="s">
        <v>119</v>
      </c>
      <c r="T112" s="38" t="s">
        <v>119</v>
      </c>
      <c r="U112" s="38" t="s">
        <v>119</v>
      </c>
      <c r="V112" s="38" t="s">
        <v>119</v>
      </c>
      <c r="W112" s="38" t="s">
        <v>119</v>
      </c>
      <c r="X112" s="38" t="s">
        <v>258</v>
      </c>
    </row>
    <row r="113" spans="1:24" x14ac:dyDescent="0.45">
      <c r="A113" s="38" t="s">
        <v>369</v>
      </c>
      <c r="B113" s="38">
        <v>113</v>
      </c>
      <c r="C113" s="38" t="s">
        <v>257</v>
      </c>
      <c r="D113" s="38">
        <v>113</v>
      </c>
      <c r="E113" s="38">
        <v>117</v>
      </c>
      <c r="F113" s="38">
        <v>115</v>
      </c>
      <c r="G113" s="38">
        <v>111</v>
      </c>
      <c r="H113" s="38">
        <v>5184.8795989999999</v>
      </c>
      <c r="I113" s="38">
        <f t="shared" si="1"/>
        <v>5.1848795990000003</v>
      </c>
      <c r="J113" s="38">
        <v>2528</v>
      </c>
      <c r="K113" s="38">
        <v>2521</v>
      </c>
      <c r="L113" s="38">
        <v>2683</v>
      </c>
      <c r="M113" s="38">
        <v>0.115721</v>
      </c>
      <c r="N113" s="38">
        <v>0.32383800000000001</v>
      </c>
      <c r="O113" s="38">
        <v>1082</v>
      </c>
      <c r="P113" s="38">
        <v>482</v>
      </c>
      <c r="Q113" s="38">
        <v>5184.8795989999999</v>
      </c>
      <c r="R113" s="38" t="s">
        <v>119</v>
      </c>
      <c r="S113" s="38" t="s">
        <v>119</v>
      </c>
      <c r="T113" s="38" t="s">
        <v>119</v>
      </c>
      <c r="U113" s="38" t="s">
        <v>119</v>
      </c>
      <c r="V113" s="38" t="s">
        <v>119</v>
      </c>
      <c r="W113" s="38" t="s">
        <v>119</v>
      </c>
      <c r="X113" s="38" t="s">
        <v>258</v>
      </c>
    </row>
    <row r="114" spans="1:24" x14ac:dyDescent="0.45">
      <c r="A114" s="38" t="s">
        <v>370</v>
      </c>
      <c r="B114" s="38">
        <v>123</v>
      </c>
      <c r="C114" s="38" t="s">
        <v>257</v>
      </c>
      <c r="D114" s="38">
        <v>123</v>
      </c>
      <c r="E114" s="38">
        <v>118</v>
      </c>
      <c r="F114" s="38">
        <v>124</v>
      </c>
      <c r="G114" s="38">
        <v>114</v>
      </c>
      <c r="H114" s="38">
        <v>5771.2572110000001</v>
      </c>
      <c r="I114" s="38">
        <f t="shared" si="1"/>
        <v>5.771257211</v>
      </c>
      <c r="J114" s="38">
        <v>2538</v>
      </c>
      <c r="K114" s="38">
        <v>2527</v>
      </c>
      <c r="L114" s="38">
        <v>2684</v>
      </c>
      <c r="M114" s="38">
        <v>5.1999999999999995E-4</v>
      </c>
      <c r="N114" s="38">
        <v>7.918E-2</v>
      </c>
      <c r="O114" s="38">
        <v>102</v>
      </c>
      <c r="P114" s="38">
        <v>99</v>
      </c>
      <c r="Q114" s="38">
        <v>5771.2572110000001</v>
      </c>
      <c r="R114" s="38" t="s">
        <v>119</v>
      </c>
      <c r="S114" s="38" t="s">
        <v>119</v>
      </c>
      <c r="T114" s="38" t="s">
        <v>119</v>
      </c>
      <c r="U114" s="38" t="s">
        <v>119</v>
      </c>
      <c r="V114" s="38" t="s">
        <v>119</v>
      </c>
      <c r="W114" s="38" t="s">
        <v>119</v>
      </c>
      <c r="X114" s="38" t="s">
        <v>258</v>
      </c>
    </row>
    <row r="115" spans="1:24" x14ac:dyDescent="0.45">
      <c r="A115" s="38" t="s">
        <v>371</v>
      </c>
      <c r="B115" s="38">
        <v>115</v>
      </c>
      <c r="C115" s="38" t="s">
        <v>257</v>
      </c>
      <c r="D115" s="38">
        <v>115</v>
      </c>
      <c r="E115" s="38">
        <v>119</v>
      </c>
      <c r="F115" s="38">
        <v>116</v>
      </c>
      <c r="G115" s="38">
        <v>118</v>
      </c>
      <c r="H115" s="38">
        <v>1300.412607</v>
      </c>
      <c r="I115" s="38">
        <f t="shared" si="1"/>
        <v>1.3004126069999999</v>
      </c>
      <c r="J115" s="38">
        <v>2530</v>
      </c>
      <c r="K115" s="38">
        <v>2534</v>
      </c>
      <c r="L115" s="38">
        <v>2685</v>
      </c>
      <c r="M115" s="38">
        <v>9.9970000000000007E-3</v>
      </c>
      <c r="N115" s="38">
        <v>9.9118999999999999E-2</v>
      </c>
      <c r="O115" s="38">
        <v>177</v>
      </c>
      <c r="P115" s="38">
        <v>164</v>
      </c>
      <c r="Q115" s="38">
        <v>1300.412607</v>
      </c>
      <c r="R115" s="38" t="s">
        <v>119</v>
      </c>
      <c r="S115" s="38" t="s">
        <v>119</v>
      </c>
      <c r="T115" s="38" t="s">
        <v>119</v>
      </c>
      <c r="U115" s="38" t="s">
        <v>119</v>
      </c>
      <c r="V115" s="38" t="s">
        <v>119</v>
      </c>
      <c r="W115" s="38" t="s">
        <v>119</v>
      </c>
      <c r="X115" s="38" t="s">
        <v>258</v>
      </c>
    </row>
    <row r="116" spans="1:24" x14ac:dyDescent="0.45">
      <c r="A116" s="38" t="s">
        <v>372</v>
      </c>
      <c r="B116" s="38">
        <v>122</v>
      </c>
      <c r="C116" s="38" t="s">
        <v>257</v>
      </c>
      <c r="D116" s="38">
        <v>122</v>
      </c>
      <c r="E116" s="38">
        <v>121</v>
      </c>
      <c r="F116" s="38">
        <v>125</v>
      </c>
      <c r="G116" s="38">
        <v>117</v>
      </c>
      <c r="H116" s="38">
        <v>4984.0674589999999</v>
      </c>
      <c r="I116" s="38">
        <f t="shared" si="1"/>
        <v>4.9840674590000003</v>
      </c>
      <c r="J116" s="38">
        <v>2537</v>
      </c>
      <c r="K116" s="38">
        <v>2531</v>
      </c>
      <c r="L116" s="38">
        <v>2687</v>
      </c>
      <c r="M116" s="38">
        <v>1.7656000000000002E-2</v>
      </c>
      <c r="N116" s="38">
        <v>0.118918</v>
      </c>
      <c r="O116" s="38">
        <v>276</v>
      </c>
      <c r="P116" s="38">
        <v>188</v>
      </c>
      <c r="Q116" s="38">
        <v>4984.0674589999999</v>
      </c>
      <c r="R116" s="38" t="s">
        <v>119</v>
      </c>
      <c r="S116" s="38" t="s">
        <v>119</v>
      </c>
      <c r="T116" s="38" t="s">
        <v>119</v>
      </c>
      <c r="U116" s="38" t="s">
        <v>119</v>
      </c>
      <c r="V116" s="38" t="s">
        <v>119</v>
      </c>
      <c r="W116" s="38" t="s">
        <v>119</v>
      </c>
      <c r="X116" s="38" t="s">
        <v>258</v>
      </c>
    </row>
    <row r="117" spans="1:24" x14ac:dyDescent="0.45">
      <c r="A117" s="38" t="s">
        <v>373</v>
      </c>
      <c r="B117" s="38">
        <v>119</v>
      </c>
      <c r="C117" s="38" t="s">
        <v>257</v>
      </c>
      <c r="D117" s="38">
        <v>119</v>
      </c>
      <c r="E117" s="38">
        <v>122</v>
      </c>
      <c r="F117" s="38">
        <v>118</v>
      </c>
      <c r="G117" s="38">
        <v>121</v>
      </c>
      <c r="H117" s="38">
        <v>3584.2514420000002</v>
      </c>
      <c r="I117" s="38">
        <f t="shared" si="1"/>
        <v>3.5842514420000002</v>
      </c>
      <c r="J117" s="38">
        <v>2534</v>
      </c>
      <c r="K117" s="38">
        <v>2747</v>
      </c>
      <c r="L117" s="38">
        <v>2688</v>
      </c>
      <c r="M117" s="38">
        <v>6.9750000000000003E-3</v>
      </c>
      <c r="N117" s="38">
        <v>8.0517000000000005E-2</v>
      </c>
      <c r="O117" s="38">
        <v>164</v>
      </c>
      <c r="P117" s="38">
        <v>139</v>
      </c>
      <c r="Q117" s="38">
        <v>3584.2514420000002</v>
      </c>
      <c r="R117" s="38" t="s">
        <v>119</v>
      </c>
      <c r="S117" s="38" t="s">
        <v>119</v>
      </c>
      <c r="T117" s="38" t="s">
        <v>119</v>
      </c>
      <c r="U117" s="38" t="s">
        <v>119</v>
      </c>
      <c r="V117" s="38" t="s">
        <v>119</v>
      </c>
      <c r="W117" s="38" t="s">
        <v>119</v>
      </c>
      <c r="X117" s="38" t="s">
        <v>258</v>
      </c>
    </row>
    <row r="118" spans="1:24" x14ac:dyDescent="0.45">
      <c r="A118" s="38" t="s">
        <v>374</v>
      </c>
      <c r="B118" s="38">
        <v>116</v>
      </c>
      <c r="C118" s="38" t="s">
        <v>257</v>
      </c>
      <c r="D118" s="38">
        <v>116</v>
      </c>
      <c r="E118" s="38">
        <v>123</v>
      </c>
      <c r="F118" s="38">
        <v>117</v>
      </c>
      <c r="G118" s="38">
        <v>119</v>
      </c>
      <c r="H118" s="38">
        <v>909.98737300000005</v>
      </c>
      <c r="I118" s="38">
        <f t="shared" si="1"/>
        <v>0.9099873730000001</v>
      </c>
      <c r="J118" s="38">
        <v>2531</v>
      </c>
      <c r="K118" s="38">
        <v>2533</v>
      </c>
      <c r="L118" s="38">
        <v>2689</v>
      </c>
      <c r="M118" s="38">
        <v>1.3187000000000001E-2</v>
      </c>
      <c r="N118" s="38">
        <v>0.101062</v>
      </c>
      <c r="O118" s="38">
        <v>188</v>
      </c>
      <c r="P118" s="38">
        <v>176</v>
      </c>
      <c r="Q118" s="38">
        <v>909.98737300000005</v>
      </c>
      <c r="R118" s="38" t="s">
        <v>119</v>
      </c>
      <c r="S118" s="38" t="s">
        <v>119</v>
      </c>
      <c r="T118" s="38" t="s">
        <v>119</v>
      </c>
      <c r="U118" s="38" t="s">
        <v>119</v>
      </c>
      <c r="V118" s="38" t="s">
        <v>119</v>
      </c>
      <c r="W118" s="38" t="s">
        <v>119</v>
      </c>
      <c r="X118" s="38" t="s">
        <v>258</v>
      </c>
    </row>
    <row r="119" spans="1:24" x14ac:dyDescent="0.45">
      <c r="A119" s="38" t="s">
        <v>375</v>
      </c>
      <c r="B119" s="38">
        <v>118</v>
      </c>
      <c r="C119" s="38" t="s">
        <v>257</v>
      </c>
      <c r="D119" s="38">
        <v>118</v>
      </c>
      <c r="E119" s="38">
        <v>124</v>
      </c>
      <c r="F119" s="38">
        <v>119</v>
      </c>
      <c r="G119" s="38">
        <v>120</v>
      </c>
      <c r="H119" s="38">
        <v>1520.3427119999999</v>
      </c>
      <c r="I119" s="38">
        <f t="shared" si="1"/>
        <v>1.5203427119999999</v>
      </c>
      <c r="J119" s="38">
        <v>2533</v>
      </c>
      <c r="K119" s="38">
        <v>2532</v>
      </c>
      <c r="L119" s="38">
        <v>2690</v>
      </c>
      <c r="M119" s="38">
        <v>8.5509999999999996E-3</v>
      </c>
      <c r="N119" s="38">
        <v>7.8349000000000002E-2</v>
      </c>
      <c r="O119" s="38">
        <v>176</v>
      </c>
      <c r="P119" s="38">
        <v>163</v>
      </c>
      <c r="Q119" s="38">
        <v>1520.3427119999999</v>
      </c>
      <c r="R119" s="38" t="s">
        <v>119</v>
      </c>
      <c r="S119" s="38" t="s">
        <v>119</v>
      </c>
      <c r="T119" s="38" t="s">
        <v>119</v>
      </c>
      <c r="U119" s="38" t="s">
        <v>119</v>
      </c>
      <c r="V119" s="38" t="s">
        <v>119</v>
      </c>
      <c r="W119" s="38" t="s">
        <v>119</v>
      </c>
      <c r="X119" s="38" t="s">
        <v>258</v>
      </c>
    </row>
    <row r="120" spans="1:24" x14ac:dyDescent="0.45">
      <c r="A120" s="38" t="s">
        <v>376</v>
      </c>
      <c r="B120" s="38">
        <v>121</v>
      </c>
      <c r="C120" s="38" t="s">
        <v>257</v>
      </c>
      <c r="D120" s="38">
        <v>121</v>
      </c>
      <c r="E120" s="38">
        <v>125</v>
      </c>
      <c r="F120" s="38">
        <v>122</v>
      </c>
      <c r="G120" s="38">
        <v>124</v>
      </c>
      <c r="H120" s="38">
        <v>2578.5980319999999</v>
      </c>
      <c r="I120" s="38">
        <f t="shared" si="1"/>
        <v>2.5785980319999999</v>
      </c>
      <c r="J120" s="38">
        <v>2536</v>
      </c>
      <c r="K120" s="38">
        <v>2538</v>
      </c>
      <c r="L120" s="38">
        <v>2691</v>
      </c>
      <c r="M120" s="38">
        <v>6.2049999999999996E-3</v>
      </c>
      <c r="N120" s="38">
        <v>8.2754999999999995E-2</v>
      </c>
      <c r="O120" s="38">
        <v>118</v>
      </c>
      <c r="P120" s="38">
        <v>102</v>
      </c>
      <c r="Q120" s="38">
        <v>2578.5980319999999</v>
      </c>
      <c r="R120" s="38" t="s">
        <v>119</v>
      </c>
      <c r="S120" s="38" t="s">
        <v>119</v>
      </c>
      <c r="T120" s="38" t="s">
        <v>119</v>
      </c>
      <c r="U120" s="38" t="s">
        <v>119</v>
      </c>
      <c r="V120" s="38" t="s">
        <v>119</v>
      </c>
      <c r="W120" s="38" t="s">
        <v>119</v>
      </c>
      <c r="X120" s="38" t="s">
        <v>258</v>
      </c>
    </row>
    <row r="121" spans="1:24" x14ac:dyDescent="0.45">
      <c r="A121" s="38" t="s">
        <v>377</v>
      </c>
      <c r="B121" s="38">
        <v>117</v>
      </c>
      <c r="C121" s="38" t="s">
        <v>257</v>
      </c>
      <c r="D121" s="38">
        <v>117</v>
      </c>
      <c r="E121" s="38">
        <v>126</v>
      </c>
      <c r="F121" s="38">
        <v>120</v>
      </c>
      <c r="G121" s="38">
        <v>118</v>
      </c>
      <c r="H121" s="38">
        <v>37.5</v>
      </c>
      <c r="I121" s="38">
        <f t="shared" si="1"/>
        <v>3.7499999999999999E-2</v>
      </c>
      <c r="J121" s="38">
        <v>2532</v>
      </c>
      <c r="K121" s="38">
        <v>2534</v>
      </c>
      <c r="L121" s="38">
        <v>2692</v>
      </c>
      <c r="M121" s="38">
        <v>1E-3</v>
      </c>
      <c r="N121" s="38">
        <v>5.7148999999999998E-2</v>
      </c>
      <c r="O121" s="38">
        <v>163</v>
      </c>
      <c r="P121" s="38">
        <v>164</v>
      </c>
      <c r="Q121" s="38">
        <v>37.5</v>
      </c>
      <c r="R121" s="38" t="s">
        <v>119</v>
      </c>
      <c r="S121" s="38" t="s">
        <v>119</v>
      </c>
      <c r="T121" s="38" t="s">
        <v>119</v>
      </c>
      <c r="U121" s="38" t="s">
        <v>119</v>
      </c>
      <c r="V121" s="38" t="s">
        <v>119</v>
      </c>
      <c r="W121" s="38" t="s">
        <v>119</v>
      </c>
      <c r="X121" s="38" t="s">
        <v>258</v>
      </c>
    </row>
    <row r="122" spans="1:24" x14ac:dyDescent="0.45">
      <c r="A122" s="38" t="s">
        <v>378</v>
      </c>
      <c r="B122" s="38">
        <v>120</v>
      </c>
      <c r="C122" s="38" t="s">
        <v>257</v>
      </c>
      <c r="D122" s="38">
        <v>120</v>
      </c>
      <c r="E122" s="38">
        <v>127</v>
      </c>
      <c r="F122" s="38">
        <v>123</v>
      </c>
      <c r="G122" s="38">
        <v>120</v>
      </c>
      <c r="H122" s="38">
        <v>587.5</v>
      </c>
      <c r="I122" s="38">
        <f t="shared" si="1"/>
        <v>0.58750000000000002</v>
      </c>
      <c r="J122" s="38">
        <v>2535</v>
      </c>
      <c r="K122" s="38">
        <v>2532</v>
      </c>
      <c r="L122" s="38">
        <v>2693</v>
      </c>
      <c r="M122" s="38">
        <v>6.8089999999999999E-3</v>
      </c>
      <c r="N122" s="38">
        <v>7.3532E-2</v>
      </c>
      <c r="O122" s="38">
        <v>167</v>
      </c>
      <c r="P122" s="38">
        <v>163</v>
      </c>
      <c r="Q122" s="38">
        <v>587.5</v>
      </c>
      <c r="R122" s="38" t="s">
        <v>119</v>
      </c>
      <c r="S122" s="38" t="s">
        <v>119</v>
      </c>
      <c r="T122" s="38" t="s">
        <v>119</v>
      </c>
      <c r="U122" s="38" t="s">
        <v>119</v>
      </c>
      <c r="V122" s="38" t="s">
        <v>119</v>
      </c>
      <c r="W122" s="38" t="s">
        <v>119</v>
      </c>
      <c r="X122" s="38" t="s">
        <v>258</v>
      </c>
    </row>
    <row r="123" spans="1:24" x14ac:dyDescent="0.45">
      <c r="A123" s="38" t="s">
        <v>379</v>
      </c>
      <c r="B123" s="38">
        <v>130</v>
      </c>
      <c r="C123" s="38" t="s">
        <v>257</v>
      </c>
      <c r="D123" s="38">
        <v>130</v>
      </c>
      <c r="E123" s="38">
        <v>128</v>
      </c>
      <c r="F123" s="38">
        <v>131</v>
      </c>
      <c r="G123" s="38">
        <v>123</v>
      </c>
      <c r="H123" s="38">
        <v>3521.7830090000002</v>
      </c>
      <c r="I123" s="38">
        <f t="shared" si="1"/>
        <v>3.5217830090000004</v>
      </c>
      <c r="J123" s="38">
        <v>2545</v>
      </c>
      <c r="K123" s="38">
        <v>2535</v>
      </c>
      <c r="L123" s="38">
        <v>2694</v>
      </c>
      <c r="M123" s="38">
        <v>6.8149999999999999E-3</v>
      </c>
      <c r="N123" s="38">
        <v>7.3888999999999996E-2</v>
      </c>
      <c r="O123" s="38">
        <v>191</v>
      </c>
      <c r="P123" s="38">
        <v>167</v>
      </c>
      <c r="Q123" s="38">
        <v>3521.7830090000002</v>
      </c>
      <c r="R123" s="38" t="s">
        <v>119</v>
      </c>
      <c r="S123" s="38" t="s">
        <v>119</v>
      </c>
      <c r="T123" s="38" t="s">
        <v>119</v>
      </c>
      <c r="U123" s="38" t="s">
        <v>119</v>
      </c>
      <c r="V123" s="38" t="s">
        <v>119</v>
      </c>
      <c r="W123" s="38" t="s">
        <v>119</v>
      </c>
      <c r="X123" s="38" t="s">
        <v>258</v>
      </c>
    </row>
    <row r="124" spans="1:24" x14ac:dyDescent="0.45">
      <c r="A124" s="38" t="s">
        <v>380</v>
      </c>
      <c r="B124" s="38">
        <v>124</v>
      </c>
      <c r="C124" s="38" t="s">
        <v>257</v>
      </c>
      <c r="D124" s="38">
        <v>124</v>
      </c>
      <c r="E124" s="38">
        <v>129</v>
      </c>
      <c r="F124" s="38">
        <v>127</v>
      </c>
      <c r="G124" s="38">
        <v>124</v>
      </c>
      <c r="H124" s="38">
        <v>647.48737300000005</v>
      </c>
      <c r="I124" s="38">
        <f t="shared" si="1"/>
        <v>0.64748737300000003</v>
      </c>
      <c r="J124" s="38">
        <v>2539</v>
      </c>
      <c r="K124" s="38">
        <v>2538</v>
      </c>
      <c r="L124" s="38">
        <v>2695</v>
      </c>
      <c r="M124" s="38">
        <v>4.633E-3</v>
      </c>
      <c r="N124" s="38">
        <v>0.104222</v>
      </c>
      <c r="O124" s="38">
        <v>105</v>
      </c>
      <c r="P124" s="38">
        <v>102</v>
      </c>
      <c r="Q124" s="38">
        <v>647.48737300000005</v>
      </c>
      <c r="R124" s="38" t="s">
        <v>119</v>
      </c>
      <c r="S124" s="38" t="s">
        <v>119</v>
      </c>
      <c r="T124" s="38" t="s">
        <v>119</v>
      </c>
      <c r="U124" s="38" t="s">
        <v>119</v>
      </c>
      <c r="V124" s="38" t="s">
        <v>119</v>
      </c>
      <c r="W124" s="38" t="s">
        <v>119</v>
      </c>
      <c r="X124" s="38" t="s">
        <v>258</v>
      </c>
    </row>
    <row r="125" spans="1:24" x14ac:dyDescent="0.45">
      <c r="A125" s="38" t="s">
        <v>381</v>
      </c>
      <c r="B125" s="38">
        <v>131</v>
      </c>
      <c r="C125" s="38" t="s">
        <v>257</v>
      </c>
      <c r="D125" s="38">
        <v>131</v>
      </c>
      <c r="E125" s="38">
        <v>130</v>
      </c>
      <c r="F125" s="38">
        <v>132</v>
      </c>
      <c r="G125" s="38">
        <v>121</v>
      </c>
      <c r="H125" s="38">
        <v>5749.4480519999997</v>
      </c>
      <c r="I125" s="38">
        <f t="shared" si="1"/>
        <v>5.749448052</v>
      </c>
      <c r="J125" s="38">
        <v>2546</v>
      </c>
      <c r="K125" s="38">
        <v>2747</v>
      </c>
      <c r="L125" s="38">
        <v>2696</v>
      </c>
      <c r="M125" s="38">
        <v>7.8270000000000006E-3</v>
      </c>
      <c r="N125" s="38">
        <v>0.21657499999999999</v>
      </c>
      <c r="O125" s="38">
        <v>184</v>
      </c>
      <c r="P125" s="38">
        <v>139</v>
      </c>
      <c r="Q125" s="38">
        <v>5749.4480519999997</v>
      </c>
      <c r="R125" s="38" t="s">
        <v>119</v>
      </c>
      <c r="S125" s="38" t="s">
        <v>119</v>
      </c>
      <c r="T125" s="38" t="s">
        <v>119</v>
      </c>
      <c r="U125" s="38" t="s">
        <v>119</v>
      </c>
      <c r="V125" s="38" t="s">
        <v>119</v>
      </c>
      <c r="W125" s="38" t="s">
        <v>119</v>
      </c>
      <c r="X125" s="38" t="s">
        <v>258</v>
      </c>
    </row>
    <row r="126" spans="1:24" x14ac:dyDescent="0.45">
      <c r="A126" s="38" t="s">
        <v>382</v>
      </c>
      <c r="B126" s="38">
        <v>128</v>
      </c>
      <c r="C126" s="38" t="s">
        <v>257</v>
      </c>
      <c r="D126" s="38">
        <v>128</v>
      </c>
      <c r="E126" s="38">
        <v>131</v>
      </c>
      <c r="F126" s="38">
        <v>126</v>
      </c>
      <c r="G126" s="38">
        <v>129</v>
      </c>
      <c r="H126" s="38">
        <v>2524.752884</v>
      </c>
      <c r="I126" s="38">
        <f t="shared" si="1"/>
        <v>2.5247528840000002</v>
      </c>
      <c r="J126" s="38">
        <v>2543</v>
      </c>
      <c r="K126" s="38">
        <v>2542</v>
      </c>
      <c r="L126" s="38">
        <v>2697</v>
      </c>
      <c r="M126" s="38">
        <v>0.114467</v>
      </c>
      <c r="N126" s="38">
        <v>0.27445399999999998</v>
      </c>
      <c r="O126" s="38">
        <v>1260</v>
      </c>
      <c r="P126" s="38">
        <v>971</v>
      </c>
      <c r="Q126" s="38">
        <v>2524.752884</v>
      </c>
      <c r="R126" s="38" t="s">
        <v>119</v>
      </c>
      <c r="S126" s="38" t="s">
        <v>119</v>
      </c>
      <c r="T126" s="38" t="s">
        <v>119</v>
      </c>
      <c r="U126" s="38" t="s">
        <v>119</v>
      </c>
      <c r="V126" s="38" t="s">
        <v>119</v>
      </c>
      <c r="W126" s="38" t="s">
        <v>119</v>
      </c>
      <c r="X126" s="38" t="s">
        <v>258</v>
      </c>
    </row>
    <row r="127" spans="1:24" x14ac:dyDescent="0.45">
      <c r="A127" s="38" t="s">
        <v>383</v>
      </c>
      <c r="B127" s="38">
        <v>126</v>
      </c>
      <c r="C127" s="38" t="s">
        <v>257</v>
      </c>
      <c r="D127" s="38">
        <v>126</v>
      </c>
      <c r="E127" s="38">
        <v>132</v>
      </c>
      <c r="F127" s="38">
        <v>128</v>
      </c>
      <c r="G127" s="38">
        <v>127</v>
      </c>
      <c r="H127" s="38">
        <v>1690.837841</v>
      </c>
      <c r="I127" s="38">
        <f t="shared" si="1"/>
        <v>1.690837841</v>
      </c>
      <c r="J127" s="38">
        <v>2541</v>
      </c>
      <c r="K127" s="38">
        <v>2539</v>
      </c>
      <c r="L127" s="38">
        <v>2698</v>
      </c>
      <c r="M127" s="38">
        <v>2.366E-3</v>
      </c>
      <c r="N127" s="38">
        <v>8.2597000000000004E-2</v>
      </c>
      <c r="O127" s="38">
        <v>109</v>
      </c>
      <c r="P127" s="38">
        <v>105</v>
      </c>
      <c r="Q127" s="38">
        <v>1690.837841</v>
      </c>
      <c r="R127" s="38" t="s">
        <v>119</v>
      </c>
      <c r="S127" s="38" t="s">
        <v>119</v>
      </c>
      <c r="T127" s="38" t="s">
        <v>119</v>
      </c>
      <c r="U127" s="38" t="s">
        <v>119</v>
      </c>
      <c r="V127" s="38" t="s">
        <v>119</v>
      </c>
      <c r="W127" s="38" t="s">
        <v>119</v>
      </c>
      <c r="X127" s="38" t="s">
        <v>258</v>
      </c>
    </row>
    <row r="128" spans="1:24" x14ac:dyDescent="0.45">
      <c r="A128" s="38" t="s">
        <v>384</v>
      </c>
      <c r="B128" s="38">
        <v>135</v>
      </c>
      <c r="C128" s="38" t="s">
        <v>257</v>
      </c>
      <c r="D128" s="38">
        <v>135</v>
      </c>
      <c r="E128" s="38">
        <v>133</v>
      </c>
      <c r="F128" s="38">
        <v>136</v>
      </c>
      <c r="G128" s="38">
        <v>123</v>
      </c>
      <c r="H128" s="38">
        <v>7603.7373729999999</v>
      </c>
      <c r="I128" s="38">
        <f t="shared" si="1"/>
        <v>7.6037373729999995</v>
      </c>
      <c r="J128" s="38">
        <v>2550</v>
      </c>
      <c r="K128" s="38">
        <v>2535</v>
      </c>
      <c r="L128" s="38">
        <v>2699</v>
      </c>
      <c r="M128" s="38">
        <v>2.9721999999999998E-2</v>
      </c>
      <c r="N128" s="38">
        <v>0.131491</v>
      </c>
      <c r="O128" s="38">
        <v>393</v>
      </c>
      <c r="P128" s="38">
        <v>167</v>
      </c>
      <c r="Q128" s="38">
        <v>7603.7373729999999</v>
      </c>
      <c r="R128" s="38" t="s">
        <v>119</v>
      </c>
      <c r="S128" s="38" t="s">
        <v>119</v>
      </c>
      <c r="T128" s="38" t="s">
        <v>119</v>
      </c>
      <c r="U128" s="38" t="s">
        <v>119</v>
      </c>
      <c r="V128" s="38" t="s">
        <v>119</v>
      </c>
      <c r="W128" s="38" t="s">
        <v>119</v>
      </c>
      <c r="X128" s="38" t="s">
        <v>258</v>
      </c>
    </row>
    <row r="129" spans="1:24" x14ac:dyDescent="0.45">
      <c r="A129" s="38" t="s">
        <v>385</v>
      </c>
      <c r="B129" s="38">
        <v>136</v>
      </c>
      <c r="C129" s="38" t="s">
        <v>257</v>
      </c>
      <c r="D129" s="38">
        <v>136</v>
      </c>
      <c r="E129" s="38">
        <v>134</v>
      </c>
      <c r="F129" s="38">
        <v>137</v>
      </c>
      <c r="G129" s="38">
        <v>119</v>
      </c>
      <c r="H129" s="38">
        <v>12160.171356000001</v>
      </c>
      <c r="I129" s="38">
        <f t="shared" si="1"/>
        <v>12.160171356000001</v>
      </c>
      <c r="J129" s="38">
        <v>2551</v>
      </c>
      <c r="K129" s="38">
        <v>2533</v>
      </c>
      <c r="L129" s="38">
        <v>2700</v>
      </c>
      <c r="M129" s="38">
        <v>7.1956000000000006E-2</v>
      </c>
      <c r="N129" s="38">
        <v>0.20739099999999999</v>
      </c>
      <c r="O129" s="38">
        <v>1051</v>
      </c>
      <c r="P129" s="38">
        <v>176</v>
      </c>
      <c r="Q129" s="38">
        <v>12160.171356000001</v>
      </c>
      <c r="R129" s="38" t="s">
        <v>119</v>
      </c>
      <c r="S129" s="38" t="s">
        <v>119</v>
      </c>
      <c r="T129" s="38" t="s">
        <v>119</v>
      </c>
      <c r="U129" s="38" t="s">
        <v>119</v>
      </c>
      <c r="V129" s="38" t="s">
        <v>119</v>
      </c>
      <c r="W129" s="38" t="s">
        <v>119</v>
      </c>
      <c r="X129" s="38" t="s">
        <v>258</v>
      </c>
    </row>
    <row r="130" spans="1:24" x14ac:dyDescent="0.45">
      <c r="A130" s="38" t="s">
        <v>386</v>
      </c>
      <c r="B130" s="38">
        <v>134</v>
      </c>
      <c r="C130" s="38" t="s">
        <v>257</v>
      </c>
      <c r="D130" s="38">
        <v>134</v>
      </c>
      <c r="E130" s="38">
        <v>135</v>
      </c>
      <c r="F130" s="38">
        <v>135</v>
      </c>
      <c r="G130" s="38">
        <v>129</v>
      </c>
      <c r="H130" s="38">
        <v>1998.11553</v>
      </c>
      <c r="I130" s="38">
        <f t="shared" si="1"/>
        <v>1.99811553</v>
      </c>
      <c r="J130" s="38">
        <v>2549</v>
      </c>
      <c r="K130" s="38">
        <v>2542</v>
      </c>
      <c r="L130" s="38">
        <v>2701</v>
      </c>
      <c r="M130" s="38">
        <v>5.4551000000000002E-2</v>
      </c>
      <c r="N130" s="38">
        <v>0.34764099999999998</v>
      </c>
      <c r="O130" s="38">
        <v>1080</v>
      </c>
      <c r="P130" s="38">
        <v>971</v>
      </c>
      <c r="Q130" s="38">
        <v>1998.11553</v>
      </c>
      <c r="R130" s="38" t="s">
        <v>119</v>
      </c>
      <c r="S130" s="38" t="s">
        <v>119</v>
      </c>
      <c r="T130" s="38" t="s">
        <v>119</v>
      </c>
      <c r="U130" s="38" t="s">
        <v>119</v>
      </c>
      <c r="V130" s="38" t="s">
        <v>119</v>
      </c>
      <c r="W130" s="38" t="s">
        <v>119</v>
      </c>
      <c r="X130" s="38" t="s">
        <v>258</v>
      </c>
    </row>
    <row r="131" spans="1:24" x14ac:dyDescent="0.45">
      <c r="A131" s="38" t="s">
        <v>387</v>
      </c>
      <c r="B131" s="38">
        <v>133</v>
      </c>
      <c r="C131" s="38" t="s">
        <v>257</v>
      </c>
      <c r="D131" s="38">
        <v>133</v>
      </c>
      <c r="E131" s="38">
        <v>138</v>
      </c>
      <c r="F131" s="38">
        <v>134</v>
      </c>
      <c r="G131" s="38">
        <v>133</v>
      </c>
      <c r="H131" s="38">
        <v>1774.5242599999999</v>
      </c>
      <c r="I131" s="38">
        <f t="shared" ref="I131:I160" si="2">H131/1000</f>
        <v>1.77452426</v>
      </c>
      <c r="J131" s="38">
        <v>2548</v>
      </c>
      <c r="K131" s="38">
        <v>2752</v>
      </c>
      <c r="L131" s="38">
        <v>2704</v>
      </c>
      <c r="M131" s="38">
        <v>2.4232E-2</v>
      </c>
      <c r="N131" s="38">
        <v>8.2991999999999996E-2</v>
      </c>
      <c r="O131" s="38">
        <v>159</v>
      </c>
      <c r="P131" s="38">
        <v>116</v>
      </c>
      <c r="Q131" s="38">
        <v>1774.5242599999999</v>
      </c>
      <c r="R131" s="38" t="s">
        <v>119</v>
      </c>
      <c r="S131" s="38" t="s">
        <v>119</v>
      </c>
      <c r="T131" s="38" t="s">
        <v>119</v>
      </c>
      <c r="U131" s="38" t="s">
        <v>119</v>
      </c>
      <c r="V131" s="38" t="s">
        <v>119</v>
      </c>
      <c r="W131" s="38" t="s">
        <v>119</v>
      </c>
      <c r="X131" s="38" t="s">
        <v>258</v>
      </c>
    </row>
    <row r="132" spans="1:24" x14ac:dyDescent="0.45">
      <c r="A132" s="38" t="s">
        <v>388</v>
      </c>
      <c r="B132" s="38">
        <v>137</v>
      </c>
      <c r="C132" s="38" t="s">
        <v>257</v>
      </c>
      <c r="D132" s="38">
        <v>137</v>
      </c>
      <c r="E132" s="38">
        <v>139</v>
      </c>
      <c r="F132" s="38">
        <v>138</v>
      </c>
      <c r="G132" s="38">
        <v>133</v>
      </c>
      <c r="H132" s="38">
        <v>5219.2703819999997</v>
      </c>
      <c r="I132" s="38">
        <f t="shared" si="2"/>
        <v>5.2192703819999995</v>
      </c>
      <c r="J132" s="38">
        <v>2552</v>
      </c>
      <c r="K132" s="38">
        <v>2752</v>
      </c>
      <c r="L132" s="38">
        <v>2705</v>
      </c>
      <c r="M132" s="38">
        <v>7.0889999999999998E-3</v>
      </c>
      <c r="N132" s="38">
        <v>9.9461999999999995E-2</v>
      </c>
      <c r="O132" s="38">
        <v>153</v>
      </c>
      <c r="P132" s="38">
        <v>116</v>
      </c>
      <c r="Q132" s="38">
        <v>5219.2703819999997</v>
      </c>
      <c r="R132" s="38" t="s">
        <v>119</v>
      </c>
      <c r="S132" s="38" t="s">
        <v>119</v>
      </c>
      <c r="T132" s="38" t="s">
        <v>119</v>
      </c>
      <c r="U132" s="38" t="s">
        <v>119</v>
      </c>
      <c r="V132" s="38" t="s">
        <v>119</v>
      </c>
      <c r="W132" s="38" t="s">
        <v>119</v>
      </c>
      <c r="X132" s="38" t="s">
        <v>258</v>
      </c>
    </row>
    <row r="133" spans="1:24" x14ac:dyDescent="0.45">
      <c r="A133" s="38" t="s">
        <v>389</v>
      </c>
      <c r="B133" s="38">
        <v>142</v>
      </c>
      <c r="C133" s="38" t="s">
        <v>257</v>
      </c>
      <c r="D133" s="38">
        <v>142</v>
      </c>
      <c r="E133" s="38">
        <v>140</v>
      </c>
      <c r="F133" s="38">
        <v>140</v>
      </c>
      <c r="G133" s="38">
        <v>145</v>
      </c>
      <c r="H133" s="38">
        <v>10586.790219</v>
      </c>
      <c r="I133" s="38">
        <f t="shared" si="2"/>
        <v>10.586790219000001</v>
      </c>
      <c r="J133" s="38">
        <v>2557</v>
      </c>
      <c r="K133" s="38">
        <v>2561</v>
      </c>
      <c r="L133" s="38">
        <v>2706</v>
      </c>
      <c r="M133" s="38">
        <v>4.0238999999999997E-2</v>
      </c>
      <c r="N133" s="38">
        <v>0.19964199999999999</v>
      </c>
      <c r="O133" s="38">
        <v>646</v>
      </c>
      <c r="P133" s="38">
        <v>220</v>
      </c>
      <c r="Q133" s="38">
        <v>10586.790219</v>
      </c>
      <c r="R133" s="38" t="s">
        <v>119</v>
      </c>
      <c r="S133" s="38" t="s">
        <v>119</v>
      </c>
      <c r="T133" s="38" t="s">
        <v>119</v>
      </c>
      <c r="U133" s="38" t="s">
        <v>119</v>
      </c>
      <c r="V133" s="38" t="s">
        <v>119</v>
      </c>
      <c r="W133" s="38" t="s">
        <v>119</v>
      </c>
      <c r="X133" s="38" t="s">
        <v>258</v>
      </c>
    </row>
    <row r="134" spans="1:24" x14ac:dyDescent="0.45">
      <c r="A134" s="38" t="s">
        <v>390</v>
      </c>
      <c r="B134" s="38">
        <v>139</v>
      </c>
      <c r="C134" s="38" t="s">
        <v>257</v>
      </c>
      <c r="D134" s="38">
        <v>139</v>
      </c>
      <c r="E134" s="38">
        <v>141</v>
      </c>
      <c r="F134" s="38">
        <v>142</v>
      </c>
      <c r="G134" s="38">
        <v>140</v>
      </c>
      <c r="H134" s="38">
        <v>9020.5528460000005</v>
      </c>
      <c r="I134" s="38">
        <f t="shared" si="2"/>
        <v>9.0205528460000011</v>
      </c>
      <c r="J134" s="38">
        <v>2554</v>
      </c>
      <c r="K134" s="38">
        <v>2557</v>
      </c>
      <c r="L134" s="38">
        <v>2707</v>
      </c>
      <c r="M134" s="38">
        <v>8.8797000000000001E-2</v>
      </c>
      <c r="N134" s="38">
        <v>0.34774699999999997</v>
      </c>
      <c r="O134" s="38">
        <v>1447</v>
      </c>
      <c r="P134" s="38">
        <v>646</v>
      </c>
      <c r="Q134" s="38">
        <v>9020.5528460000005</v>
      </c>
      <c r="R134" s="38" t="s">
        <v>119</v>
      </c>
      <c r="S134" s="38" t="s">
        <v>119</v>
      </c>
      <c r="T134" s="38" t="s">
        <v>119</v>
      </c>
      <c r="U134" s="38" t="s">
        <v>119</v>
      </c>
      <c r="V134" s="38" t="s">
        <v>119</v>
      </c>
      <c r="W134" s="38" t="s">
        <v>119</v>
      </c>
      <c r="X134" s="38" t="s">
        <v>258</v>
      </c>
    </row>
    <row r="135" spans="1:24" x14ac:dyDescent="0.45">
      <c r="A135" s="38" t="s">
        <v>391</v>
      </c>
      <c r="B135" s="38">
        <v>144</v>
      </c>
      <c r="C135" s="38" t="s">
        <v>257</v>
      </c>
      <c r="D135" s="38">
        <v>144</v>
      </c>
      <c r="E135" s="38">
        <v>142</v>
      </c>
      <c r="F135" s="38">
        <v>146</v>
      </c>
      <c r="G135" s="38">
        <v>140</v>
      </c>
      <c r="H135" s="38">
        <v>3408.2106779999999</v>
      </c>
      <c r="I135" s="38">
        <f t="shared" si="2"/>
        <v>3.4082106780000001</v>
      </c>
      <c r="J135" s="38">
        <v>2559</v>
      </c>
      <c r="K135" s="38">
        <v>2557</v>
      </c>
      <c r="L135" s="38">
        <v>2708</v>
      </c>
      <c r="M135" s="38">
        <v>6.7191000000000001E-2</v>
      </c>
      <c r="N135" s="38">
        <v>0.30938900000000003</v>
      </c>
      <c r="O135" s="38">
        <v>875</v>
      </c>
      <c r="P135" s="38">
        <v>646</v>
      </c>
      <c r="Q135" s="38">
        <v>3408.2106779999999</v>
      </c>
      <c r="R135" s="38" t="s">
        <v>119</v>
      </c>
      <c r="S135" s="38" t="s">
        <v>119</v>
      </c>
      <c r="T135" s="38" t="s">
        <v>119</v>
      </c>
      <c r="U135" s="38" t="s">
        <v>119</v>
      </c>
      <c r="V135" s="38" t="s">
        <v>119</v>
      </c>
      <c r="W135" s="38" t="s">
        <v>119</v>
      </c>
      <c r="X135" s="38" t="s">
        <v>258</v>
      </c>
    </row>
    <row r="136" spans="1:24" x14ac:dyDescent="0.45">
      <c r="A136" s="38" t="s">
        <v>392</v>
      </c>
      <c r="B136" s="38">
        <v>140</v>
      </c>
      <c r="C136" s="38" t="s">
        <v>257</v>
      </c>
      <c r="D136" s="38">
        <v>140</v>
      </c>
      <c r="E136" s="38">
        <v>143</v>
      </c>
      <c r="F136" s="38">
        <v>141</v>
      </c>
      <c r="G136" s="38">
        <v>143</v>
      </c>
      <c r="H136" s="38">
        <v>496.859217</v>
      </c>
      <c r="I136" s="38">
        <f t="shared" si="2"/>
        <v>0.49685921700000002</v>
      </c>
      <c r="J136" s="38">
        <v>2555</v>
      </c>
      <c r="K136" s="38">
        <v>2558</v>
      </c>
      <c r="L136" s="38">
        <v>2709</v>
      </c>
      <c r="M136" s="38">
        <v>6.6417000000000004E-2</v>
      </c>
      <c r="N136" s="38">
        <v>0.19555700000000001</v>
      </c>
      <c r="O136" s="38">
        <v>332</v>
      </c>
      <c r="P136" s="38">
        <v>299</v>
      </c>
      <c r="Q136" s="38">
        <v>496.859217</v>
      </c>
      <c r="R136" s="38" t="s">
        <v>119</v>
      </c>
      <c r="S136" s="38" t="s">
        <v>119</v>
      </c>
      <c r="T136" s="38" t="s">
        <v>119</v>
      </c>
      <c r="U136" s="38" t="s">
        <v>119</v>
      </c>
      <c r="V136" s="38" t="s">
        <v>119</v>
      </c>
      <c r="W136" s="38" t="s">
        <v>119</v>
      </c>
      <c r="X136" s="38" t="s">
        <v>258</v>
      </c>
    </row>
    <row r="137" spans="1:24" x14ac:dyDescent="0.45">
      <c r="A137" s="38" t="s">
        <v>393</v>
      </c>
      <c r="B137" s="38">
        <v>141</v>
      </c>
      <c r="C137" s="38" t="s">
        <v>257</v>
      </c>
      <c r="D137" s="38">
        <v>141</v>
      </c>
      <c r="E137" s="38">
        <v>144</v>
      </c>
      <c r="F137" s="38">
        <v>144</v>
      </c>
      <c r="G137" s="38">
        <v>143</v>
      </c>
      <c r="H137" s="38">
        <v>1279.105339</v>
      </c>
      <c r="I137" s="38">
        <f t="shared" si="2"/>
        <v>1.279105339</v>
      </c>
      <c r="J137" s="38">
        <v>2556</v>
      </c>
      <c r="K137" s="38">
        <v>2558</v>
      </c>
      <c r="L137" s="38">
        <v>2710</v>
      </c>
      <c r="M137" s="38">
        <v>8.2088999999999995E-2</v>
      </c>
      <c r="N137" s="38">
        <v>0.240867</v>
      </c>
      <c r="O137" s="38">
        <v>404</v>
      </c>
      <c r="P137" s="38">
        <v>299</v>
      </c>
      <c r="Q137" s="38">
        <v>1279.105339</v>
      </c>
      <c r="R137" s="38" t="s">
        <v>119</v>
      </c>
      <c r="S137" s="38" t="s">
        <v>119</v>
      </c>
      <c r="T137" s="38" t="s">
        <v>119</v>
      </c>
      <c r="U137" s="38" t="s">
        <v>119</v>
      </c>
      <c r="V137" s="38" t="s">
        <v>119</v>
      </c>
      <c r="W137" s="38" t="s">
        <v>119</v>
      </c>
      <c r="X137" s="38" t="s">
        <v>258</v>
      </c>
    </row>
    <row r="138" spans="1:24" x14ac:dyDescent="0.45">
      <c r="A138" s="38" t="s">
        <v>394</v>
      </c>
      <c r="B138" s="38">
        <v>143</v>
      </c>
      <c r="C138" s="38" t="s">
        <v>257</v>
      </c>
      <c r="D138" s="38">
        <v>143</v>
      </c>
      <c r="E138" s="38">
        <v>145</v>
      </c>
      <c r="F138" s="38">
        <v>143</v>
      </c>
      <c r="G138" s="38">
        <v>145</v>
      </c>
      <c r="H138" s="38">
        <v>2851.561146</v>
      </c>
      <c r="I138" s="38">
        <f t="shared" si="2"/>
        <v>2.8515611459999999</v>
      </c>
      <c r="J138" s="38">
        <v>2558</v>
      </c>
      <c r="K138" s="38">
        <v>2561</v>
      </c>
      <c r="L138" s="38">
        <v>2711</v>
      </c>
      <c r="M138" s="38">
        <v>2.7703999999999999E-2</v>
      </c>
      <c r="N138" s="38">
        <v>0.145506</v>
      </c>
      <c r="O138" s="38">
        <v>299</v>
      </c>
      <c r="P138" s="38">
        <v>220</v>
      </c>
      <c r="Q138" s="38">
        <v>2851.561146</v>
      </c>
      <c r="R138" s="38" t="s">
        <v>119</v>
      </c>
      <c r="S138" s="38" t="s">
        <v>119</v>
      </c>
      <c r="T138" s="38" t="s">
        <v>119</v>
      </c>
      <c r="U138" s="38" t="s">
        <v>119</v>
      </c>
      <c r="V138" s="38" t="s">
        <v>119</v>
      </c>
      <c r="W138" s="38" t="s">
        <v>119</v>
      </c>
      <c r="X138" s="38" t="s">
        <v>258</v>
      </c>
    </row>
    <row r="139" spans="1:24" x14ac:dyDescent="0.45">
      <c r="A139" s="38" t="s">
        <v>395</v>
      </c>
      <c r="B139" s="38">
        <v>149</v>
      </c>
      <c r="C139" s="38" t="s">
        <v>257</v>
      </c>
      <c r="D139" s="38">
        <v>149</v>
      </c>
      <c r="E139" s="38">
        <v>146</v>
      </c>
      <c r="F139" s="38">
        <v>149</v>
      </c>
      <c r="G139" s="38">
        <v>148</v>
      </c>
      <c r="H139" s="38">
        <v>6254.7781370000002</v>
      </c>
      <c r="I139" s="38">
        <f t="shared" si="2"/>
        <v>6.2547781370000006</v>
      </c>
      <c r="J139" s="38">
        <v>2564</v>
      </c>
      <c r="K139" s="38">
        <v>2562</v>
      </c>
      <c r="L139" s="38">
        <v>2712</v>
      </c>
      <c r="M139" s="38">
        <v>3.1175999999999999E-2</v>
      </c>
      <c r="N139" s="38">
        <v>0.141457</v>
      </c>
      <c r="O139" s="38">
        <v>416</v>
      </c>
      <c r="P139" s="38">
        <v>221</v>
      </c>
      <c r="Q139" s="38">
        <v>6254.7781370000002</v>
      </c>
      <c r="R139" s="38" t="s">
        <v>119</v>
      </c>
      <c r="S139" s="38" t="s">
        <v>119</v>
      </c>
      <c r="T139" s="38" t="s">
        <v>119</v>
      </c>
      <c r="U139" s="38" t="s">
        <v>119</v>
      </c>
      <c r="V139" s="38" t="s">
        <v>119</v>
      </c>
      <c r="W139" s="38" t="s">
        <v>119</v>
      </c>
      <c r="X139" s="38" t="s">
        <v>258</v>
      </c>
    </row>
    <row r="140" spans="1:24" x14ac:dyDescent="0.45">
      <c r="A140" s="38" t="s">
        <v>396</v>
      </c>
      <c r="B140" s="38">
        <v>146</v>
      </c>
      <c r="C140" s="38" t="s">
        <v>257</v>
      </c>
      <c r="D140" s="38">
        <v>146</v>
      </c>
      <c r="E140" s="38">
        <v>147</v>
      </c>
      <c r="F140" s="38">
        <v>145</v>
      </c>
      <c r="G140" s="38">
        <v>148</v>
      </c>
      <c r="H140" s="38">
        <v>292.30970400000001</v>
      </c>
      <c r="I140" s="38">
        <f t="shared" si="2"/>
        <v>0.292309704</v>
      </c>
      <c r="J140" s="38">
        <v>2561</v>
      </c>
      <c r="K140" s="38">
        <v>2562</v>
      </c>
      <c r="L140" s="38">
        <v>2713</v>
      </c>
      <c r="M140" s="38">
        <v>2.0525999999999999E-2</v>
      </c>
      <c r="N140" s="38">
        <v>0.106575</v>
      </c>
      <c r="O140" s="38">
        <v>220</v>
      </c>
      <c r="P140" s="38">
        <v>214</v>
      </c>
      <c r="Q140" s="38">
        <v>292.30970400000001</v>
      </c>
      <c r="R140" s="38" t="s">
        <v>119</v>
      </c>
      <c r="S140" s="38" t="s">
        <v>119</v>
      </c>
      <c r="T140" s="38" t="s">
        <v>119</v>
      </c>
      <c r="U140" s="38" t="s">
        <v>119</v>
      </c>
      <c r="V140" s="38" t="s">
        <v>119</v>
      </c>
      <c r="W140" s="38" t="s">
        <v>119</v>
      </c>
      <c r="X140" s="38" t="s">
        <v>258</v>
      </c>
    </row>
    <row r="141" spans="1:24" x14ac:dyDescent="0.45">
      <c r="A141" s="38" t="s">
        <v>397</v>
      </c>
      <c r="B141" s="38">
        <v>148</v>
      </c>
      <c r="C141" s="38" t="s">
        <v>257</v>
      </c>
      <c r="D141" s="38">
        <v>148</v>
      </c>
      <c r="E141" s="38">
        <v>148</v>
      </c>
      <c r="F141" s="38">
        <v>150</v>
      </c>
      <c r="G141" s="38">
        <v>146</v>
      </c>
      <c r="H141" s="38">
        <v>6951.9106199999997</v>
      </c>
      <c r="I141" s="38">
        <f t="shared" si="2"/>
        <v>6.9519106199999996</v>
      </c>
      <c r="J141" s="38">
        <v>2563</v>
      </c>
      <c r="K141" s="38">
        <v>2559</v>
      </c>
      <c r="L141" s="38">
        <v>2714</v>
      </c>
      <c r="M141" s="38">
        <v>0.13550200000000001</v>
      </c>
      <c r="N141" s="38">
        <v>0.44707599999999997</v>
      </c>
      <c r="O141" s="38">
        <v>1817</v>
      </c>
      <c r="P141" s="38">
        <v>875</v>
      </c>
      <c r="Q141" s="38">
        <v>6951.9106199999997</v>
      </c>
      <c r="R141" s="38" t="s">
        <v>119</v>
      </c>
      <c r="S141" s="38" t="s">
        <v>119</v>
      </c>
      <c r="T141" s="38" t="s">
        <v>119</v>
      </c>
      <c r="U141" s="38" t="s">
        <v>119</v>
      </c>
      <c r="V141" s="38" t="s">
        <v>119</v>
      </c>
      <c r="W141" s="38" t="s">
        <v>119</v>
      </c>
      <c r="X141" s="38" t="s">
        <v>258</v>
      </c>
    </row>
    <row r="142" spans="1:24" x14ac:dyDescent="0.45">
      <c r="A142" s="38" t="s">
        <v>398</v>
      </c>
      <c r="B142" s="38">
        <v>150</v>
      </c>
      <c r="C142" s="38" t="s">
        <v>257</v>
      </c>
      <c r="D142" s="38">
        <v>150</v>
      </c>
      <c r="E142" s="38">
        <v>149</v>
      </c>
      <c r="F142" s="38">
        <v>151</v>
      </c>
      <c r="G142" s="38">
        <v>146</v>
      </c>
      <c r="H142" s="38">
        <v>4610.6286049999999</v>
      </c>
      <c r="I142" s="38">
        <f t="shared" si="2"/>
        <v>4.6106286049999996</v>
      </c>
      <c r="J142" s="38">
        <v>2565</v>
      </c>
      <c r="K142" s="38">
        <v>2559</v>
      </c>
      <c r="L142" s="38">
        <v>2715</v>
      </c>
      <c r="M142" s="38">
        <v>0.144015</v>
      </c>
      <c r="N142" s="38">
        <v>0.48547800000000002</v>
      </c>
      <c r="O142" s="38">
        <v>1539</v>
      </c>
      <c r="P142" s="38">
        <v>875</v>
      </c>
      <c r="Q142" s="38">
        <v>4610.6286049999999</v>
      </c>
      <c r="R142" s="38" t="s">
        <v>119</v>
      </c>
      <c r="S142" s="38" t="s">
        <v>119</v>
      </c>
      <c r="T142" s="38" t="s">
        <v>119</v>
      </c>
      <c r="U142" s="38" t="s">
        <v>119</v>
      </c>
      <c r="V142" s="38" t="s">
        <v>119</v>
      </c>
      <c r="W142" s="38" t="s">
        <v>119</v>
      </c>
      <c r="X142" s="38" t="s">
        <v>258</v>
      </c>
    </row>
    <row r="143" spans="1:24" x14ac:dyDescent="0.45">
      <c r="A143" s="38" t="s">
        <v>399</v>
      </c>
      <c r="B143" s="38">
        <v>147</v>
      </c>
      <c r="C143" s="38" t="s">
        <v>257</v>
      </c>
      <c r="D143" s="38">
        <v>147</v>
      </c>
      <c r="E143" s="38">
        <v>150</v>
      </c>
      <c r="F143" s="38">
        <v>148</v>
      </c>
      <c r="G143" s="38">
        <v>147</v>
      </c>
      <c r="H143" s="38">
        <v>1486.2436869999999</v>
      </c>
      <c r="I143" s="38">
        <f t="shared" si="2"/>
        <v>1.486243687</v>
      </c>
      <c r="J143" s="38">
        <v>2562</v>
      </c>
      <c r="K143" s="38">
        <v>2763</v>
      </c>
      <c r="L143" s="38">
        <v>2716</v>
      </c>
      <c r="M143" s="38">
        <v>1.2784E-2</v>
      </c>
      <c r="N143" s="38">
        <v>8.1402000000000002E-2</v>
      </c>
      <c r="O143" s="38">
        <v>221</v>
      </c>
      <c r="P143" s="38">
        <v>202</v>
      </c>
      <c r="Q143" s="38">
        <v>1486.2436869999999</v>
      </c>
      <c r="R143" s="38" t="s">
        <v>119</v>
      </c>
      <c r="S143" s="38" t="s">
        <v>119</v>
      </c>
      <c r="T143" s="38" t="s">
        <v>119</v>
      </c>
      <c r="U143" s="38" t="s">
        <v>119</v>
      </c>
      <c r="V143" s="38" t="s">
        <v>119</v>
      </c>
      <c r="W143" s="38" t="s">
        <v>119</v>
      </c>
      <c r="X143" s="38" t="s">
        <v>258</v>
      </c>
    </row>
    <row r="144" spans="1:24" x14ac:dyDescent="0.45">
      <c r="A144" s="38" t="s">
        <v>400</v>
      </c>
      <c r="B144" s="38">
        <v>151</v>
      </c>
      <c r="C144" s="38" t="s">
        <v>257</v>
      </c>
      <c r="D144" s="38">
        <v>151</v>
      </c>
      <c r="E144" s="38">
        <v>151</v>
      </c>
      <c r="F144" s="38">
        <v>152</v>
      </c>
      <c r="G144" s="38">
        <v>147</v>
      </c>
      <c r="H144" s="38">
        <v>10865.653858</v>
      </c>
      <c r="I144" s="38">
        <f t="shared" si="2"/>
        <v>10.865653858</v>
      </c>
      <c r="J144" s="38">
        <v>2566</v>
      </c>
      <c r="K144" s="38">
        <v>2763</v>
      </c>
      <c r="L144" s="38">
        <v>2717</v>
      </c>
      <c r="M144" s="38">
        <v>5.2734999999999997E-2</v>
      </c>
      <c r="N144" s="38">
        <v>0.20780299999999999</v>
      </c>
      <c r="O144" s="38">
        <v>775</v>
      </c>
      <c r="P144" s="38">
        <v>202</v>
      </c>
      <c r="Q144" s="38">
        <v>10865.653858</v>
      </c>
      <c r="R144" s="38" t="s">
        <v>119</v>
      </c>
      <c r="S144" s="38" t="s">
        <v>119</v>
      </c>
      <c r="T144" s="38" t="s">
        <v>119</v>
      </c>
      <c r="U144" s="38" t="s">
        <v>119</v>
      </c>
      <c r="V144" s="38" t="s">
        <v>119</v>
      </c>
      <c r="W144" s="38" t="s">
        <v>119</v>
      </c>
      <c r="X144" s="38" t="s">
        <v>258</v>
      </c>
    </row>
    <row r="145" spans="1:24" x14ac:dyDescent="0.45">
      <c r="A145" s="38" t="s">
        <v>401</v>
      </c>
      <c r="B145" s="38">
        <v>153</v>
      </c>
      <c r="C145" s="38" t="s">
        <v>257</v>
      </c>
      <c r="D145" s="38">
        <v>78</v>
      </c>
      <c r="E145" s="38">
        <v>77</v>
      </c>
      <c r="F145" s="38">
        <v>153</v>
      </c>
      <c r="G145" s="38">
        <v>79</v>
      </c>
      <c r="H145" s="38">
        <v>4947.3611080000001</v>
      </c>
      <c r="I145" s="38">
        <f t="shared" si="2"/>
        <v>4.947361108</v>
      </c>
      <c r="J145" s="38">
        <v>2493</v>
      </c>
      <c r="K145" s="38">
        <v>2498</v>
      </c>
      <c r="L145" s="38">
        <v>2719</v>
      </c>
      <c r="M145" s="38">
        <v>6.0599999999999998E-4</v>
      </c>
      <c r="N145" s="38">
        <v>8.4225999999999995E-2</v>
      </c>
      <c r="O145" s="38">
        <v>53</v>
      </c>
      <c r="P145" s="38">
        <v>50</v>
      </c>
      <c r="Q145" s="38">
        <v>4947.3611080000001</v>
      </c>
      <c r="R145" s="38" t="s">
        <v>119</v>
      </c>
      <c r="S145" s="38" t="s">
        <v>119</v>
      </c>
      <c r="T145" s="38" t="s">
        <v>119</v>
      </c>
      <c r="U145" s="38" t="s">
        <v>119</v>
      </c>
      <c r="V145" s="38" t="s">
        <v>119</v>
      </c>
      <c r="W145" s="38" t="s">
        <v>119</v>
      </c>
      <c r="X145" s="38" t="s">
        <v>258</v>
      </c>
    </row>
    <row r="146" spans="1:24" x14ac:dyDescent="0.45">
      <c r="A146" s="38" t="s">
        <v>402</v>
      </c>
      <c r="B146" s="38">
        <v>152</v>
      </c>
      <c r="C146" s="38" t="s">
        <v>257</v>
      </c>
      <c r="D146" s="38">
        <v>78</v>
      </c>
      <c r="E146" s="38">
        <v>77</v>
      </c>
      <c r="F146" s="38">
        <v>73</v>
      </c>
      <c r="G146" s="38">
        <v>153</v>
      </c>
      <c r="H146" s="38">
        <v>3895.5844120000002</v>
      </c>
      <c r="I146" s="38">
        <f t="shared" si="2"/>
        <v>3.8955844120000003</v>
      </c>
      <c r="J146" s="38">
        <v>2721</v>
      </c>
      <c r="K146" s="38">
        <v>2493</v>
      </c>
      <c r="L146" s="38">
        <v>2720</v>
      </c>
      <c r="M146" s="38">
        <v>2.5700000000000001E-4</v>
      </c>
      <c r="N146" s="38">
        <v>9.2657000000000003E-2</v>
      </c>
      <c r="O146" s="38">
        <v>54</v>
      </c>
      <c r="P146" s="38">
        <v>53</v>
      </c>
      <c r="Q146" s="38">
        <v>3895.5844120000002</v>
      </c>
      <c r="R146" s="38" t="s">
        <v>119</v>
      </c>
      <c r="S146" s="38" t="s">
        <v>119</v>
      </c>
      <c r="T146" s="38" t="s">
        <v>119</v>
      </c>
      <c r="U146" s="38" t="s">
        <v>119</v>
      </c>
      <c r="V146" s="38" t="s">
        <v>119</v>
      </c>
      <c r="W146" s="38" t="s">
        <v>119</v>
      </c>
      <c r="X146" s="38" t="s">
        <v>258</v>
      </c>
    </row>
    <row r="147" spans="1:24" x14ac:dyDescent="0.45">
      <c r="A147" s="38" t="s">
        <v>403</v>
      </c>
      <c r="B147" s="38">
        <v>154</v>
      </c>
      <c r="C147" s="38" t="s">
        <v>257</v>
      </c>
      <c r="D147" s="38">
        <v>64</v>
      </c>
      <c r="E147" s="38">
        <v>74</v>
      </c>
      <c r="F147" s="38">
        <v>154</v>
      </c>
      <c r="G147" s="38">
        <v>51</v>
      </c>
      <c r="H147" s="38">
        <v>1421.751442</v>
      </c>
      <c r="I147" s="38">
        <f t="shared" si="2"/>
        <v>1.4217514419999999</v>
      </c>
      <c r="J147" s="38">
        <v>2479</v>
      </c>
      <c r="K147" s="38">
        <v>2463</v>
      </c>
      <c r="L147" s="38">
        <v>2724</v>
      </c>
      <c r="M147" s="38">
        <v>4.2199999999999998E-3</v>
      </c>
      <c r="N147" s="38">
        <v>9.3252000000000002E-2</v>
      </c>
      <c r="O147" s="38">
        <v>111</v>
      </c>
      <c r="P147" s="38">
        <v>105</v>
      </c>
      <c r="Q147" s="38">
        <v>1421.751442</v>
      </c>
      <c r="R147" s="38" t="s">
        <v>119</v>
      </c>
      <c r="S147" s="38" t="s">
        <v>119</v>
      </c>
      <c r="T147" s="38" t="s">
        <v>119</v>
      </c>
      <c r="U147" s="38" t="s">
        <v>119</v>
      </c>
      <c r="V147" s="38" t="s">
        <v>119</v>
      </c>
      <c r="W147" s="38" t="s">
        <v>119</v>
      </c>
      <c r="X147" s="38" t="s">
        <v>258</v>
      </c>
    </row>
    <row r="148" spans="1:24" x14ac:dyDescent="0.45">
      <c r="A148" s="38" t="s">
        <v>404</v>
      </c>
      <c r="B148" s="38">
        <v>155</v>
      </c>
      <c r="C148" s="38" t="s">
        <v>257</v>
      </c>
      <c r="D148" s="38">
        <v>64</v>
      </c>
      <c r="E148" s="38">
        <v>74</v>
      </c>
      <c r="F148" s="38">
        <v>68</v>
      </c>
      <c r="G148" s="38">
        <v>154</v>
      </c>
      <c r="H148" s="38">
        <v>5429.5310220000001</v>
      </c>
      <c r="I148" s="38">
        <f t="shared" si="2"/>
        <v>5.4295310219999999</v>
      </c>
      <c r="J148" s="38">
        <v>2727</v>
      </c>
      <c r="K148" s="38">
        <v>2479</v>
      </c>
      <c r="L148" s="38">
        <v>2725</v>
      </c>
      <c r="M148" s="38">
        <v>3.4989999999999999E-3</v>
      </c>
      <c r="N148" s="38">
        <v>9.0984999999999996E-2</v>
      </c>
      <c r="O148" s="38">
        <v>130</v>
      </c>
      <c r="P148" s="38">
        <v>111</v>
      </c>
      <c r="Q148" s="38">
        <v>5429.5310220000001</v>
      </c>
      <c r="R148" s="38" t="s">
        <v>119</v>
      </c>
      <c r="S148" s="38" t="s">
        <v>119</v>
      </c>
      <c r="T148" s="38" t="s">
        <v>119</v>
      </c>
      <c r="U148" s="38" t="s">
        <v>119</v>
      </c>
      <c r="V148" s="38" t="s">
        <v>119</v>
      </c>
      <c r="W148" s="38" t="s">
        <v>119</v>
      </c>
      <c r="X148" s="38" t="s">
        <v>258</v>
      </c>
    </row>
    <row r="149" spans="1:24" x14ac:dyDescent="0.45">
      <c r="A149" s="38" t="s">
        <v>405</v>
      </c>
      <c r="B149" s="38">
        <v>157</v>
      </c>
      <c r="C149" s="38" t="s">
        <v>257</v>
      </c>
      <c r="D149" s="38">
        <v>94</v>
      </c>
      <c r="E149" s="38">
        <v>95</v>
      </c>
      <c r="F149" s="38">
        <v>155</v>
      </c>
      <c r="G149" s="38">
        <v>85</v>
      </c>
      <c r="H149" s="38">
        <v>11510.560056</v>
      </c>
      <c r="I149" s="38">
        <f t="shared" si="2"/>
        <v>11.510560056000001</v>
      </c>
      <c r="J149" s="38">
        <v>2509</v>
      </c>
      <c r="K149" s="38">
        <v>2504</v>
      </c>
      <c r="L149" s="38">
        <v>2729</v>
      </c>
      <c r="M149" s="38">
        <v>3.0409999999999999E-3</v>
      </c>
      <c r="N149" s="38">
        <v>7.3366000000000001E-2</v>
      </c>
      <c r="O149" s="38">
        <v>115</v>
      </c>
      <c r="P149" s="38">
        <v>80</v>
      </c>
      <c r="Q149" s="38">
        <v>11510.560056</v>
      </c>
      <c r="R149" s="38" t="s">
        <v>119</v>
      </c>
      <c r="S149" s="38" t="s">
        <v>119</v>
      </c>
      <c r="T149" s="38" t="s">
        <v>119</v>
      </c>
      <c r="U149" s="38" t="s">
        <v>119</v>
      </c>
      <c r="V149" s="38" t="s">
        <v>119</v>
      </c>
      <c r="W149" s="38" t="s">
        <v>119</v>
      </c>
      <c r="X149" s="38" t="s">
        <v>258</v>
      </c>
    </row>
    <row r="150" spans="1:24" x14ac:dyDescent="0.45">
      <c r="A150" s="38" t="s">
        <v>406</v>
      </c>
      <c r="B150" s="38">
        <v>156</v>
      </c>
      <c r="C150" s="38" t="s">
        <v>257</v>
      </c>
      <c r="D150" s="38">
        <v>94</v>
      </c>
      <c r="E150" s="38">
        <v>95</v>
      </c>
      <c r="F150" s="38">
        <v>94</v>
      </c>
      <c r="G150" s="38">
        <v>155</v>
      </c>
      <c r="H150" s="38">
        <v>3109.0358930000002</v>
      </c>
      <c r="I150" s="38">
        <f t="shared" si="2"/>
        <v>3.1090358930000002</v>
      </c>
      <c r="J150" s="38">
        <v>2731</v>
      </c>
      <c r="K150" s="38">
        <v>2509</v>
      </c>
      <c r="L150" s="38">
        <v>2730</v>
      </c>
      <c r="M150" s="38">
        <v>7.0759999999999998E-3</v>
      </c>
      <c r="N150" s="38">
        <v>7.3002999999999998E-2</v>
      </c>
      <c r="O150" s="38">
        <v>137</v>
      </c>
      <c r="P150" s="38">
        <v>115</v>
      </c>
      <c r="Q150" s="38">
        <v>3109.0358930000002</v>
      </c>
      <c r="R150" s="38" t="s">
        <v>119</v>
      </c>
      <c r="S150" s="38" t="s">
        <v>119</v>
      </c>
      <c r="T150" s="38" t="s">
        <v>119</v>
      </c>
      <c r="U150" s="38" t="s">
        <v>119</v>
      </c>
      <c r="V150" s="38" t="s">
        <v>119</v>
      </c>
      <c r="W150" s="38" t="s">
        <v>119</v>
      </c>
      <c r="X150" s="38" t="s">
        <v>258</v>
      </c>
    </row>
    <row r="151" spans="1:24" x14ac:dyDescent="0.45">
      <c r="A151" s="38" t="s">
        <v>407</v>
      </c>
      <c r="B151" s="38">
        <v>159</v>
      </c>
      <c r="C151" s="38" t="s">
        <v>257</v>
      </c>
      <c r="D151" s="38">
        <v>103</v>
      </c>
      <c r="E151" s="38">
        <v>107</v>
      </c>
      <c r="F151" s="38">
        <v>156</v>
      </c>
      <c r="G151" s="38">
        <v>108</v>
      </c>
      <c r="H151" s="38">
        <v>1291.5737730000001</v>
      </c>
      <c r="I151" s="38">
        <f t="shared" si="2"/>
        <v>1.2915737730000001</v>
      </c>
      <c r="J151" s="38">
        <v>2518</v>
      </c>
      <c r="K151" s="38">
        <v>2523</v>
      </c>
      <c r="L151" s="38">
        <v>2734</v>
      </c>
      <c r="M151" s="38">
        <v>1E-3</v>
      </c>
      <c r="N151" s="38">
        <v>6.2644000000000005E-2</v>
      </c>
      <c r="O151" s="38">
        <v>115</v>
      </c>
      <c r="P151" s="38">
        <v>117</v>
      </c>
      <c r="Q151" s="38">
        <v>1291.5737730000001</v>
      </c>
      <c r="R151" s="38" t="s">
        <v>119</v>
      </c>
      <c r="S151" s="38" t="s">
        <v>119</v>
      </c>
      <c r="T151" s="38" t="s">
        <v>119</v>
      </c>
      <c r="U151" s="38" t="s">
        <v>119</v>
      </c>
      <c r="V151" s="38" t="s">
        <v>119</v>
      </c>
      <c r="W151" s="38" t="s">
        <v>119</v>
      </c>
      <c r="X151" s="38" t="s">
        <v>258</v>
      </c>
    </row>
    <row r="152" spans="1:24" x14ac:dyDescent="0.45">
      <c r="A152" s="38" t="s">
        <v>408</v>
      </c>
      <c r="B152" s="38">
        <v>158</v>
      </c>
      <c r="C152" s="38" t="s">
        <v>257</v>
      </c>
      <c r="D152" s="38">
        <v>103</v>
      </c>
      <c r="E152" s="38">
        <v>107</v>
      </c>
      <c r="F152" s="38">
        <v>105</v>
      </c>
      <c r="G152" s="38">
        <v>156</v>
      </c>
      <c r="H152" s="38">
        <v>1150.7043650000001</v>
      </c>
      <c r="I152" s="38">
        <f t="shared" si="2"/>
        <v>1.150704365</v>
      </c>
      <c r="J152" s="38">
        <v>2736</v>
      </c>
      <c r="K152" s="38">
        <v>2518</v>
      </c>
      <c r="L152" s="38">
        <v>2735</v>
      </c>
      <c r="M152" s="38">
        <v>2.6069999999999999E-3</v>
      </c>
      <c r="N152" s="38">
        <v>8.6064000000000002E-2</v>
      </c>
      <c r="O152" s="38">
        <v>118</v>
      </c>
      <c r="P152" s="38">
        <v>115</v>
      </c>
      <c r="Q152" s="38">
        <v>1150.7043650000001</v>
      </c>
      <c r="R152" s="38" t="s">
        <v>119</v>
      </c>
      <c r="S152" s="38" t="s">
        <v>119</v>
      </c>
      <c r="T152" s="38" t="s">
        <v>119</v>
      </c>
      <c r="U152" s="38" t="s">
        <v>119</v>
      </c>
      <c r="V152" s="38" t="s">
        <v>119</v>
      </c>
      <c r="W152" s="38" t="s">
        <v>119</v>
      </c>
      <c r="X152" s="38" t="s">
        <v>258</v>
      </c>
    </row>
    <row r="153" spans="1:24" x14ac:dyDescent="0.45">
      <c r="A153" s="38" t="s">
        <v>409</v>
      </c>
      <c r="B153" s="38">
        <v>160</v>
      </c>
      <c r="C153" s="38" t="s">
        <v>257</v>
      </c>
      <c r="D153" s="38">
        <v>110</v>
      </c>
      <c r="E153" s="38">
        <v>114</v>
      </c>
      <c r="F153" s="38">
        <v>157</v>
      </c>
      <c r="G153" s="38">
        <v>108</v>
      </c>
      <c r="H153" s="38">
        <v>1354.594155</v>
      </c>
      <c r="I153" s="38">
        <f t="shared" si="2"/>
        <v>1.354594155</v>
      </c>
      <c r="J153" s="38">
        <v>2525</v>
      </c>
      <c r="K153" s="38">
        <v>2523</v>
      </c>
      <c r="L153" s="38">
        <v>2739</v>
      </c>
      <c r="M153" s="38">
        <v>1E-3</v>
      </c>
      <c r="N153" s="38">
        <v>9.3229999999999993E-2</v>
      </c>
      <c r="O153" s="38">
        <v>113</v>
      </c>
      <c r="P153" s="38">
        <v>117</v>
      </c>
      <c r="Q153" s="38">
        <v>1354.594155</v>
      </c>
      <c r="R153" s="38" t="s">
        <v>119</v>
      </c>
      <c r="S153" s="38" t="s">
        <v>119</v>
      </c>
      <c r="T153" s="38" t="s">
        <v>119</v>
      </c>
      <c r="U153" s="38" t="s">
        <v>119</v>
      </c>
      <c r="V153" s="38" t="s">
        <v>119</v>
      </c>
      <c r="W153" s="38" t="s">
        <v>119</v>
      </c>
      <c r="X153" s="38" t="s">
        <v>258</v>
      </c>
    </row>
    <row r="154" spans="1:24" x14ac:dyDescent="0.45">
      <c r="A154" s="38" t="s">
        <v>410</v>
      </c>
      <c r="B154" s="38">
        <v>161</v>
      </c>
      <c r="C154" s="38" t="s">
        <v>257</v>
      </c>
      <c r="D154" s="38">
        <v>110</v>
      </c>
      <c r="E154" s="38">
        <v>114</v>
      </c>
      <c r="F154" s="38">
        <v>112</v>
      </c>
      <c r="G154" s="38">
        <v>157</v>
      </c>
      <c r="H154" s="38">
        <v>3906.1868669999999</v>
      </c>
      <c r="I154" s="38">
        <f t="shared" si="2"/>
        <v>3.9061868669999997</v>
      </c>
      <c r="J154" s="38">
        <v>2742</v>
      </c>
      <c r="K154" s="38">
        <v>2525</v>
      </c>
      <c r="L154" s="38">
        <v>2740</v>
      </c>
      <c r="M154" s="38">
        <v>4.8640000000000003E-3</v>
      </c>
      <c r="N154" s="38">
        <v>7.4922000000000002E-2</v>
      </c>
      <c r="O154" s="38">
        <v>132</v>
      </c>
      <c r="P154" s="38">
        <v>113</v>
      </c>
      <c r="Q154" s="38">
        <v>3906.1868669999999</v>
      </c>
      <c r="R154" s="38" t="s">
        <v>119</v>
      </c>
      <c r="S154" s="38" t="s">
        <v>119</v>
      </c>
      <c r="T154" s="38" t="s">
        <v>119</v>
      </c>
      <c r="U154" s="38" t="s">
        <v>119</v>
      </c>
      <c r="V154" s="38" t="s">
        <v>119</v>
      </c>
      <c r="W154" s="38" t="s">
        <v>119</v>
      </c>
      <c r="X154" s="38" t="s">
        <v>258</v>
      </c>
    </row>
    <row r="155" spans="1:24" x14ac:dyDescent="0.45">
      <c r="A155" s="38" t="s">
        <v>411</v>
      </c>
      <c r="B155" s="38">
        <v>162</v>
      </c>
      <c r="C155" s="38" t="s">
        <v>257</v>
      </c>
      <c r="D155" s="38">
        <v>125</v>
      </c>
      <c r="E155" s="38">
        <v>120</v>
      </c>
      <c r="F155" s="38">
        <v>158</v>
      </c>
      <c r="G155" s="38">
        <v>127</v>
      </c>
      <c r="H155" s="38">
        <v>3999.7213179999999</v>
      </c>
      <c r="I155" s="38">
        <f t="shared" si="2"/>
        <v>3.9997213179999997</v>
      </c>
      <c r="J155" s="38">
        <v>2540</v>
      </c>
      <c r="K155" s="38">
        <v>2539</v>
      </c>
      <c r="L155" s="38">
        <v>2744</v>
      </c>
      <c r="M155" s="38">
        <v>2.2499999999999998E-3</v>
      </c>
      <c r="N155" s="38">
        <v>8.0012E-2</v>
      </c>
      <c r="O155" s="38">
        <v>114</v>
      </c>
      <c r="P155" s="38">
        <v>105</v>
      </c>
      <c r="Q155" s="38">
        <v>3999.7213179999999</v>
      </c>
      <c r="R155" s="38" t="s">
        <v>119</v>
      </c>
      <c r="S155" s="38" t="s">
        <v>119</v>
      </c>
      <c r="T155" s="38" t="s">
        <v>119</v>
      </c>
      <c r="U155" s="38" t="s">
        <v>119</v>
      </c>
      <c r="V155" s="38" t="s">
        <v>119</v>
      </c>
      <c r="W155" s="38" t="s">
        <v>119</v>
      </c>
      <c r="X155" s="38" t="s">
        <v>258</v>
      </c>
    </row>
    <row r="156" spans="1:24" x14ac:dyDescent="0.45">
      <c r="A156" s="38" t="s">
        <v>412</v>
      </c>
      <c r="B156" s="38">
        <v>163</v>
      </c>
      <c r="C156" s="38" t="s">
        <v>257</v>
      </c>
      <c r="D156" s="38">
        <v>125</v>
      </c>
      <c r="E156" s="38">
        <v>120</v>
      </c>
      <c r="F156" s="38">
        <v>121</v>
      </c>
      <c r="G156" s="38">
        <v>158</v>
      </c>
      <c r="H156" s="38">
        <v>6895.7999620000001</v>
      </c>
      <c r="I156" s="38">
        <f t="shared" si="2"/>
        <v>6.8957999619999999</v>
      </c>
      <c r="J156" s="38">
        <v>2747</v>
      </c>
      <c r="K156" s="38">
        <v>2540</v>
      </c>
      <c r="L156" s="38">
        <v>2745</v>
      </c>
      <c r="M156" s="38">
        <v>3.6250000000000002E-3</v>
      </c>
      <c r="N156" s="38">
        <v>9.6289E-2</v>
      </c>
      <c r="O156" s="38">
        <v>139</v>
      </c>
      <c r="P156" s="38">
        <v>114</v>
      </c>
      <c r="Q156" s="38">
        <v>6895.7999620000001</v>
      </c>
      <c r="R156" s="38" t="s">
        <v>119</v>
      </c>
      <c r="S156" s="38" t="s">
        <v>119</v>
      </c>
      <c r="T156" s="38" t="s">
        <v>119</v>
      </c>
      <c r="U156" s="38" t="s">
        <v>119</v>
      </c>
      <c r="V156" s="38" t="s">
        <v>119</v>
      </c>
      <c r="W156" s="38" t="s">
        <v>119</v>
      </c>
      <c r="X156" s="38" t="s">
        <v>258</v>
      </c>
    </row>
    <row r="157" spans="1:24" x14ac:dyDescent="0.45">
      <c r="A157" s="38" t="s">
        <v>413</v>
      </c>
      <c r="B157" s="38">
        <v>164</v>
      </c>
      <c r="C157" s="38" t="s">
        <v>257</v>
      </c>
      <c r="D157" s="38">
        <v>132</v>
      </c>
      <c r="E157" s="38">
        <v>137</v>
      </c>
      <c r="F157" s="38">
        <v>159</v>
      </c>
      <c r="G157" s="38">
        <v>128</v>
      </c>
      <c r="H157" s="38">
        <v>1254.0737730000001</v>
      </c>
      <c r="I157" s="38">
        <f t="shared" si="2"/>
        <v>1.254073773</v>
      </c>
      <c r="J157" s="38">
        <v>2547</v>
      </c>
      <c r="K157" s="38">
        <v>2541</v>
      </c>
      <c r="L157" s="38">
        <v>2749</v>
      </c>
      <c r="M157" s="38">
        <v>4.7840000000000001E-3</v>
      </c>
      <c r="N157" s="38">
        <v>9.5158000000000006E-2</v>
      </c>
      <c r="O157" s="38">
        <v>115</v>
      </c>
      <c r="P157" s="38">
        <v>109</v>
      </c>
      <c r="Q157" s="38">
        <v>1254.0737730000001</v>
      </c>
      <c r="R157" s="38" t="s">
        <v>119</v>
      </c>
      <c r="S157" s="38" t="s">
        <v>119</v>
      </c>
      <c r="T157" s="38" t="s">
        <v>119</v>
      </c>
      <c r="U157" s="38" t="s">
        <v>119</v>
      </c>
      <c r="V157" s="38" t="s">
        <v>119</v>
      </c>
      <c r="W157" s="38" t="s">
        <v>119</v>
      </c>
      <c r="X157" s="38" t="s">
        <v>258</v>
      </c>
    </row>
    <row r="158" spans="1:24" x14ac:dyDescent="0.45">
      <c r="A158" s="38" t="s">
        <v>414</v>
      </c>
      <c r="B158" s="38">
        <v>165</v>
      </c>
      <c r="C158" s="38" t="s">
        <v>257</v>
      </c>
      <c r="D158" s="38">
        <v>132</v>
      </c>
      <c r="E158" s="38">
        <v>137</v>
      </c>
      <c r="F158" s="38">
        <v>133</v>
      </c>
      <c r="G158" s="38">
        <v>159</v>
      </c>
      <c r="H158" s="38">
        <v>1287.132034</v>
      </c>
      <c r="I158" s="38">
        <f t="shared" si="2"/>
        <v>1.2871320339999999</v>
      </c>
      <c r="J158" s="38">
        <v>2752</v>
      </c>
      <c r="K158" s="38">
        <v>2547</v>
      </c>
      <c r="L158" s="38">
        <v>2750</v>
      </c>
      <c r="M158" s="38">
        <v>7.7700000000000002E-4</v>
      </c>
      <c r="N158" s="38">
        <v>0.111077</v>
      </c>
      <c r="O158" s="38">
        <v>116</v>
      </c>
      <c r="P158" s="38">
        <v>115</v>
      </c>
      <c r="Q158" s="38">
        <v>1287.132034</v>
      </c>
      <c r="R158" s="38" t="s">
        <v>119</v>
      </c>
      <c r="S158" s="38" t="s">
        <v>119</v>
      </c>
      <c r="T158" s="38" t="s">
        <v>119</v>
      </c>
      <c r="U158" s="38" t="s">
        <v>119</v>
      </c>
      <c r="V158" s="38" t="s">
        <v>119</v>
      </c>
      <c r="W158" s="38" t="s">
        <v>119</v>
      </c>
      <c r="X158" s="38" t="s">
        <v>258</v>
      </c>
    </row>
    <row r="159" spans="1:24" x14ac:dyDescent="0.45">
      <c r="A159" s="38" t="s">
        <v>415</v>
      </c>
      <c r="B159" s="38">
        <v>169</v>
      </c>
      <c r="C159" s="38" t="s">
        <v>257</v>
      </c>
      <c r="D159" s="38">
        <v>145</v>
      </c>
      <c r="E159" s="38">
        <v>136</v>
      </c>
      <c r="F159" s="38">
        <v>160</v>
      </c>
      <c r="G159" s="38">
        <v>128</v>
      </c>
      <c r="H159" s="38">
        <v>1408.363094</v>
      </c>
      <c r="I159" s="38">
        <f t="shared" si="2"/>
        <v>1.408363094</v>
      </c>
      <c r="J159" s="38">
        <v>2560</v>
      </c>
      <c r="K159" s="38">
        <v>2541</v>
      </c>
      <c r="L159" s="38">
        <v>2760</v>
      </c>
      <c r="M159" s="38">
        <v>2.1299999999999999E-3</v>
      </c>
      <c r="N159" s="38">
        <v>8.5833999999999994E-2</v>
      </c>
      <c r="O159" s="38">
        <v>112</v>
      </c>
      <c r="P159" s="38">
        <v>109</v>
      </c>
      <c r="Q159" s="38">
        <v>1408.363094</v>
      </c>
      <c r="R159" s="38" t="s">
        <v>119</v>
      </c>
      <c r="S159" s="38" t="s">
        <v>119</v>
      </c>
      <c r="T159" s="38" t="s">
        <v>119</v>
      </c>
      <c r="U159" s="38" t="s">
        <v>119</v>
      </c>
      <c r="V159" s="38" t="s">
        <v>119</v>
      </c>
      <c r="W159" s="38" t="s">
        <v>119</v>
      </c>
      <c r="X159" s="38" t="s">
        <v>258</v>
      </c>
    </row>
    <row r="160" spans="1:24" x14ac:dyDescent="0.45">
      <c r="A160" s="38" t="s">
        <v>416</v>
      </c>
      <c r="B160" s="38">
        <v>170</v>
      </c>
      <c r="C160" s="38" t="s">
        <v>257</v>
      </c>
      <c r="D160" s="38">
        <v>145</v>
      </c>
      <c r="E160" s="38">
        <v>136</v>
      </c>
      <c r="F160" s="38">
        <v>147</v>
      </c>
      <c r="G160" s="38">
        <v>160</v>
      </c>
      <c r="H160" s="38">
        <v>9542.3097039999993</v>
      </c>
      <c r="I160" s="38">
        <f t="shared" si="2"/>
        <v>9.5423097039999991</v>
      </c>
      <c r="J160" s="38">
        <v>2763</v>
      </c>
      <c r="K160" s="38">
        <v>2560</v>
      </c>
      <c r="L160" s="38">
        <v>2761</v>
      </c>
      <c r="M160" s="38">
        <v>9.4319999999999994E-3</v>
      </c>
      <c r="N160" s="38">
        <v>9.1278999999999999E-2</v>
      </c>
      <c r="O160" s="38">
        <v>202</v>
      </c>
      <c r="P160" s="38">
        <v>112</v>
      </c>
      <c r="Q160" s="38">
        <v>9542.3097039999993</v>
      </c>
      <c r="R160" s="38" t="s">
        <v>119</v>
      </c>
      <c r="S160" s="38" t="s">
        <v>119</v>
      </c>
      <c r="T160" s="38" t="s">
        <v>119</v>
      </c>
      <c r="U160" s="38" t="s">
        <v>119</v>
      </c>
      <c r="V160" s="38" t="s">
        <v>119</v>
      </c>
      <c r="W160" s="38" t="s">
        <v>119</v>
      </c>
      <c r="X160" s="38" t="s">
        <v>258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0EB4BA-31D4-4232-8944-7B54ED3D7720}">
  <dimension ref="A1:W160"/>
  <sheetViews>
    <sheetView showGridLines="0" zoomScale="115" zoomScaleNormal="115" workbookViewId="0">
      <pane ySplit="1" topLeftCell="A2" activePane="bottomLeft" state="frozen"/>
      <selection pane="bottomLeft" activeCell="A2" sqref="A2"/>
    </sheetView>
  </sheetViews>
  <sheetFormatPr defaultColWidth="11.3984375" defaultRowHeight="15.4" x14ac:dyDescent="0.45"/>
  <cols>
    <col min="1" max="1" width="10.1328125" style="38" bestFit="1" customWidth="1"/>
    <col min="2" max="2" width="7.59765625" style="38" bestFit="1" customWidth="1"/>
    <col min="3" max="3" width="12" style="38" bestFit="1" customWidth="1"/>
    <col min="4" max="4" width="6.86328125" style="38" bestFit="1" customWidth="1"/>
    <col min="5" max="5" width="9.73046875" style="38" bestFit="1" customWidth="1"/>
    <col min="6" max="7" width="6.3984375" style="38" bestFit="1" customWidth="1"/>
    <col min="8" max="8" width="9.73046875" style="38" bestFit="1" customWidth="1"/>
    <col min="9" max="9" width="6" style="38" bestFit="1" customWidth="1"/>
    <col min="10" max="10" width="6.265625" style="38" bestFit="1" customWidth="1"/>
    <col min="11" max="11" width="8.3984375" style="38" bestFit="1" customWidth="1"/>
    <col min="12" max="13" width="12" style="38" bestFit="1" customWidth="1"/>
    <col min="14" max="14" width="9.59765625" style="38" bestFit="1" customWidth="1"/>
    <col min="15" max="15" width="12.73046875" style="38" bestFit="1" customWidth="1"/>
    <col min="16" max="16" width="9.86328125" style="38" bestFit="1" customWidth="1"/>
    <col min="17" max="17" width="9.73046875" style="38" bestFit="1" customWidth="1"/>
    <col min="18" max="18" width="12.86328125" style="38" bestFit="1" customWidth="1"/>
    <col min="19" max="19" width="10" style="38" bestFit="1" customWidth="1"/>
    <col min="20" max="20" width="8.73046875" style="38" bestFit="1" customWidth="1"/>
    <col min="21" max="21" width="11.3984375" style="38"/>
    <col min="22" max="22" width="6.86328125" style="38" bestFit="1" customWidth="1"/>
    <col min="23" max="23" width="3.3984375" style="38" bestFit="1" customWidth="1"/>
    <col min="24" max="16384" width="11.3984375" style="38"/>
  </cols>
  <sheetData>
    <row r="1" spans="1:23" x14ac:dyDescent="0.45">
      <c r="A1" s="38" t="s">
        <v>70</v>
      </c>
      <c r="B1" s="38" t="s">
        <v>71</v>
      </c>
      <c r="C1" s="38" t="s">
        <v>73</v>
      </c>
      <c r="D1" s="38" t="s">
        <v>76</v>
      </c>
      <c r="E1" s="38" t="s">
        <v>245</v>
      </c>
      <c r="F1" s="38" t="s">
        <v>247</v>
      </c>
      <c r="G1" s="38" t="s">
        <v>248</v>
      </c>
      <c r="H1" s="38" t="s">
        <v>418</v>
      </c>
      <c r="I1" s="38" t="s">
        <v>419</v>
      </c>
      <c r="J1" s="38" t="s">
        <v>420</v>
      </c>
      <c r="K1" s="38" t="s">
        <v>421</v>
      </c>
      <c r="L1" s="38" t="s">
        <v>422</v>
      </c>
      <c r="M1" s="38" t="s">
        <v>423</v>
      </c>
      <c r="N1" s="38" t="s">
        <v>424</v>
      </c>
      <c r="O1" s="38" t="s">
        <v>425</v>
      </c>
      <c r="P1" s="38" t="s">
        <v>426</v>
      </c>
      <c r="Q1" s="38" t="s">
        <v>427</v>
      </c>
      <c r="R1" s="38" t="s">
        <v>428</v>
      </c>
      <c r="S1" s="38" t="s">
        <v>429</v>
      </c>
      <c r="T1" s="38" t="s">
        <v>430</v>
      </c>
      <c r="V1" s="38" t="s">
        <v>76</v>
      </c>
      <c r="W1" s="38" t="s">
        <v>462</v>
      </c>
    </row>
    <row r="2" spans="1:23" x14ac:dyDescent="0.45">
      <c r="A2" s="38">
        <v>1</v>
      </c>
      <c r="B2" s="38" t="s">
        <v>257</v>
      </c>
      <c r="C2" s="38">
        <v>7671.8091590000004</v>
      </c>
      <c r="D2" s="38">
        <v>2567</v>
      </c>
      <c r="E2" s="38">
        <v>0.17896699999999999</v>
      </c>
      <c r="F2" s="38">
        <v>2850</v>
      </c>
      <c r="G2" s="38">
        <v>1477</v>
      </c>
      <c r="H2" s="38">
        <v>0.18839500000000001</v>
      </c>
      <c r="I2" s="38">
        <v>1588</v>
      </c>
      <c r="J2" s="38">
        <v>2672</v>
      </c>
      <c r="K2" s="38" t="s">
        <v>119</v>
      </c>
      <c r="L2" s="38">
        <v>137824.612999</v>
      </c>
      <c r="M2" s="38">
        <v>7671.8091590000004</v>
      </c>
      <c r="N2" s="38" t="s">
        <v>119</v>
      </c>
      <c r="O2" s="38" t="s">
        <v>119</v>
      </c>
      <c r="P2" s="38" t="s">
        <v>119</v>
      </c>
      <c r="Q2" s="38" t="s">
        <v>119</v>
      </c>
      <c r="R2" s="38" t="s">
        <v>119</v>
      </c>
      <c r="S2" s="38" t="s">
        <v>119</v>
      </c>
      <c r="T2" s="38">
        <v>2765</v>
      </c>
      <c r="V2" s="81">
        <v>2567</v>
      </c>
      <c r="W2" s="38">
        <f>IF(V2=D2,1,0)</f>
        <v>1</v>
      </c>
    </row>
    <row r="3" spans="1:23" x14ac:dyDescent="0.45">
      <c r="A3" s="38">
        <v>2</v>
      </c>
      <c r="B3" s="38" t="s">
        <v>257</v>
      </c>
      <c r="C3" s="38">
        <v>7877.5834189999996</v>
      </c>
      <c r="D3" s="38">
        <v>2568</v>
      </c>
      <c r="E3" s="38">
        <v>0.163248</v>
      </c>
      <c r="F3" s="38">
        <v>2766</v>
      </c>
      <c r="G3" s="38">
        <v>1480</v>
      </c>
      <c r="H3" s="38">
        <v>0.17721200000000001</v>
      </c>
      <c r="I3" s="38">
        <v>1553</v>
      </c>
      <c r="J3" s="38">
        <v>2600</v>
      </c>
      <c r="K3" s="38" t="s">
        <v>119</v>
      </c>
      <c r="L3" s="38">
        <v>138032.976093</v>
      </c>
      <c r="M3" s="38">
        <v>7877.5834189999996</v>
      </c>
      <c r="N3" s="38" t="s">
        <v>119</v>
      </c>
      <c r="O3" s="38" t="s">
        <v>119</v>
      </c>
      <c r="P3" s="38" t="s">
        <v>119</v>
      </c>
      <c r="Q3" s="38" t="s">
        <v>119</v>
      </c>
      <c r="R3" s="38" t="s">
        <v>119</v>
      </c>
      <c r="S3" s="38" t="s">
        <v>119</v>
      </c>
      <c r="T3" s="38">
        <v>2766</v>
      </c>
      <c r="V3" s="81">
        <v>2568</v>
      </c>
      <c r="W3" s="38">
        <f t="shared" ref="W3:W66" si="0">IF(V3=D3,1,0)</f>
        <v>1</v>
      </c>
    </row>
    <row r="4" spans="1:23" x14ac:dyDescent="0.45">
      <c r="A4" s="38">
        <v>3</v>
      </c>
      <c r="B4" s="38" t="s">
        <v>257</v>
      </c>
      <c r="C4" s="38">
        <v>6490.0834189999996</v>
      </c>
      <c r="D4" s="38">
        <v>2569</v>
      </c>
      <c r="E4" s="38">
        <v>0.12865799999999999</v>
      </c>
      <c r="F4" s="38">
        <v>2064</v>
      </c>
      <c r="G4" s="38">
        <v>1229</v>
      </c>
      <c r="H4" s="38">
        <v>0.108473</v>
      </c>
      <c r="I4" s="38">
        <v>1269</v>
      </c>
      <c r="J4" s="38">
        <v>1797</v>
      </c>
      <c r="K4" s="38" t="s">
        <v>119</v>
      </c>
      <c r="L4" s="38">
        <v>131331.173247</v>
      </c>
      <c r="M4" s="38">
        <v>6490.0834189999996</v>
      </c>
      <c r="N4" s="38" t="s">
        <v>119</v>
      </c>
      <c r="O4" s="38" t="s">
        <v>119</v>
      </c>
      <c r="P4" s="38" t="s">
        <v>119</v>
      </c>
      <c r="Q4" s="38" t="s">
        <v>119</v>
      </c>
      <c r="R4" s="38" t="s">
        <v>119</v>
      </c>
      <c r="S4" s="38" t="s">
        <v>119</v>
      </c>
      <c r="T4" s="38">
        <v>2767</v>
      </c>
      <c r="V4" s="81">
        <v>2569</v>
      </c>
      <c r="W4" s="38">
        <f t="shared" si="0"/>
        <v>1</v>
      </c>
    </row>
    <row r="5" spans="1:23" x14ac:dyDescent="0.45">
      <c r="A5" s="38">
        <v>5</v>
      </c>
      <c r="B5" s="38" t="s">
        <v>257</v>
      </c>
      <c r="C5" s="38">
        <v>8311.6824450000004</v>
      </c>
      <c r="D5" s="38">
        <v>2570</v>
      </c>
      <c r="E5" s="38">
        <v>0.159053</v>
      </c>
      <c r="F5" s="38">
        <v>2550</v>
      </c>
      <c r="G5" s="38">
        <v>1228</v>
      </c>
      <c r="H5" s="38">
        <v>0.14068600000000001</v>
      </c>
      <c r="I5" s="38">
        <v>1314</v>
      </c>
      <c r="J5" s="38">
        <v>2191</v>
      </c>
      <c r="K5" s="38" t="s">
        <v>119</v>
      </c>
      <c r="L5" s="38">
        <v>133152.77227300001</v>
      </c>
      <c r="M5" s="38">
        <v>8311.6824450000004</v>
      </c>
      <c r="N5" s="38" t="s">
        <v>119</v>
      </c>
      <c r="O5" s="38" t="s">
        <v>119</v>
      </c>
      <c r="P5" s="38" t="s">
        <v>119</v>
      </c>
      <c r="Q5" s="38" t="s">
        <v>119</v>
      </c>
      <c r="R5" s="38" t="s">
        <v>119</v>
      </c>
      <c r="S5" s="38" t="s">
        <v>119</v>
      </c>
      <c r="T5" s="38">
        <v>2769</v>
      </c>
      <c r="V5" s="81">
        <v>2570</v>
      </c>
      <c r="W5" s="38">
        <f t="shared" si="0"/>
        <v>1</v>
      </c>
    </row>
    <row r="6" spans="1:23" x14ac:dyDescent="0.45">
      <c r="A6" s="38">
        <v>6</v>
      </c>
      <c r="B6" s="38" t="s">
        <v>257</v>
      </c>
      <c r="C6" s="38">
        <v>6664.5630369999999</v>
      </c>
      <c r="D6" s="38">
        <v>2571</v>
      </c>
      <c r="E6" s="38">
        <v>0.175705</v>
      </c>
      <c r="F6" s="38">
        <v>2511</v>
      </c>
      <c r="G6" s="38">
        <v>1340</v>
      </c>
      <c r="H6" s="38">
        <v>0.12884100000000001</v>
      </c>
      <c r="I6" s="38">
        <v>1386</v>
      </c>
      <c r="J6" s="38">
        <v>2030</v>
      </c>
      <c r="K6" s="38" t="s">
        <v>119</v>
      </c>
      <c r="L6" s="38">
        <v>134459.51108900001</v>
      </c>
      <c r="M6" s="38">
        <v>6664.5630369999999</v>
      </c>
      <c r="N6" s="38" t="s">
        <v>119</v>
      </c>
      <c r="O6" s="38" t="s">
        <v>119</v>
      </c>
      <c r="P6" s="38" t="s">
        <v>119</v>
      </c>
      <c r="Q6" s="38" t="s">
        <v>119</v>
      </c>
      <c r="R6" s="38" t="s">
        <v>119</v>
      </c>
      <c r="S6" s="38" t="s">
        <v>119</v>
      </c>
      <c r="T6" s="38">
        <v>2770</v>
      </c>
      <c r="V6" s="81">
        <v>2571</v>
      </c>
      <c r="W6" s="38">
        <f t="shared" si="0"/>
        <v>1</v>
      </c>
    </row>
    <row r="7" spans="1:23" x14ac:dyDescent="0.45">
      <c r="A7" s="38">
        <v>7</v>
      </c>
      <c r="B7" s="38" t="s">
        <v>257</v>
      </c>
      <c r="C7" s="38">
        <v>4513.890238</v>
      </c>
      <c r="D7" s="38">
        <v>2572</v>
      </c>
      <c r="E7" s="38">
        <v>0.202265</v>
      </c>
      <c r="F7" s="38">
        <v>2102</v>
      </c>
      <c r="G7" s="38">
        <v>1189</v>
      </c>
      <c r="H7" s="38">
        <v>0.16777800000000001</v>
      </c>
      <c r="I7" s="38">
        <v>1273</v>
      </c>
      <c r="J7" s="38">
        <v>1841</v>
      </c>
      <c r="K7" s="38" t="s">
        <v>119</v>
      </c>
      <c r="L7" s="38">
        <v>128056.083964</v>
      </c>
      <c r="M7" s="38">
        <v>4513.890238</v>
      </c>
      <c r="N7" s="38" t="s">
        <v>119</v>
      </c>
      <c r="O7" s="38" t="s">
        <v>119</v>
      </c>
      <c r="P7" s="38" t="s">
        <v>119</v>
      </c>
      <c r="Q7" s="38" t="s">
        <v>119</v>
      </c>
      <c r="R7" s="38" t="s">
        <v>119</v>
      </c>
      <c r="S7" s="38" t="s">
        <v>119</v>
      </c>
      <c r="T7" s="38">
        <v>2771</v>
      </c>
      <c r="V7" s="81">
        <v>2572</v>
      </c>
      <c r="W7" s="38">
        <f t="shared" si="0"/>
        <v>1</v>
      </c>
    </row>
    <row r="8" spans="1:23" x14ac:dyDescent="0.45">
      <c r="A8" s="38">
        <v>10</v>
      </c>
      <c r="B8" s="38" t="s">
        <v>257</v>
      </c>
      <c r="C8" s="38">
        <v>1808.699494</v>
      </c>
      <c r="D8" s="38">
        <v>2573</v>
      </c>
      <c r="E8" s="38">
        <v>0.20677799999999999</v>
      </c>
      <c r="F8" s="38">
        <v>1563</v>
      </c>
      <c r="G8" s="38">
        <v>1189</v>
      </c>
      <c r="H8" s="38">
        <v>0.168077</v>
      </c>
      <c r="I8" s="38">
        <v>1187</v>
      </c>
      <c r="J8" s="38">
        <v>1415</v>
      </c>
      <c r="K8" s="38" t="s">
        <v>119</v>
      </c>
      <c r="L8" s="38">
        <v>125348.304384</v>
      </c>
      <c r="M8" s="38">
        <v>1808.699494</v>
      </c>
      <c r="N8" s="38" t="s">
        <v>119</v>
      </c>
      <c r="O8" s="38" t="s">
        <v>119</v>
      </c>
      <c r="P8" s="38" t="s">
        <v>119</v>
      </c>
      <c r="Q8" s="38" t="s">
        <v>119</v>
      </c>
      <c r="R8" s="38" t="s">
        <v>119</v>
      </c>
      <c r="S8" s="38" t="s">
        <v>119</v>
      </c>
      <c r="T8" s="38">
        <v>2774</v>
      </c>
      <c r="V8" s="81">
        <v>2573</v>
      </c>
      <c r="W8" s="38">
        <f t="shared" si="0"/>
        <v>1</v>
      </c>
    </row>
    <row r="9" spans="1:23" x14ac:dyDescent="0.45">
      <c r="A9" s="38">
        <v>8</v>
      </c>
      <c r="B9" s="38" t="s">
        <v>257</v>
      </c>
      <c r="C9" s="38">
        <v>6953.5479750000004</v>
      </c>
      <c r="D9" s="38">
        <v>2574</v>
      </c>
      <c r="E9" s="38">
        <v>0.161356</v>
      </c>
      <c r="F9" s="38">
        <v>2139</v>
      </c>
      <c r="G9" s="38">
        <v>1017</v>
      </c>
      <c r="H9" s="38">
        <v>0.12828000000000001</v>
      </c>
      <c r="I9" s="38">
        <v>1063</v>
      </c>
      <c r="J9" s="38">
        <v>1732</v>
      </c>
      <c r="K9" s="38" t="s">
        <v>119</v>
      </c>
      <c r="L9" s="38">
        <v>126240.76650500001</v>
      </c>
      <c r="M9" s="38">
        <v>6953.5479750000004</v>
      </c>
      <c r="N9" s="38" t="s">
        <v>119</v>
      </c>
      <c r="O9" s="38" t="s">
        <v>119</v>
      </c>
      <c r="P9" s="38" t="s">
        <v>119</v>
      </c>
      <c r="Q9" s="38" t="s">
        <v>119</v>
      </c>
      <c r="R9" s="38" t="s">
        <v>119</v>
      </c>
      <c r="S9" s="38" t="s">
        <v>119</v>
      </c>
      <c r="T9" s="38">
        <v>2772</v>
      </c>
      <c r="V9" s="81">
        <v>2574</v>
      </c>
      <c r="W9" s="38">
        <f t="shared" si="0"/>
        <v>1</v>
      </c>
    </row>
    <row r="10" spans="1:23" x14ac:dyDescent="0.45">
      <c r="A10" s="38">
        <v>15</v>
      </c>
      <c r="B10" s="38" t="s">
        <v>257</v>
      </c>
      <c r="C10" s="38">
        <v>8220.1217469999992</v>
      </c>
      <c r="D10" s="38">
        <v>2575</v>
      </c>
      <c r="E10" s="38">
        <v>0.128465</v>
      </c>
      <c r="F10" s="38">
        <v>2397</v>
      </c>
      <c r="G10" s="38">
        <v>1341</v>
      </c>
      <c r="H10" s="38">
        <v>9.7159999999999996E-2</v>
      </c>
      <c r="I10" s="38">
        <v>1380</v>
      </c>
      <c r="J10" s="38">
        <v>1979</v>
      </c>
      <c r="K10" s="38" t="s">
        <v>119</v>
      </c>
      <c r="L10" s="38">
        <v>136012.48096399999</v>
      </c>
      <c r="M10" s="38">
        <v>8220.1217469999992</v>
      </c>
      <c r="N10" s="38" t="s">
        <v>119</v>
      </c>
      <c r="O10" s="38" t="s">
        <v>119</v>
      </c>
      <c r="P10" s="38" t="s">
        <v>119</v>
      </c>
      <c r="Q10" s="38" t="s">
        <v>119</v>
      </c>
      <c r="R10" s="38" t="s">
        <v>119</v>
      </c>
      <c r="S10" s="38" t="s">
        <v>119</v>
      </c>
      <c r="T10" s="38">
        <v>2779</v>
      </c>
      <c r="V10" s="81">
        <v>2575</v>
      </c>
      <c r="W10" s="38">
        <f t="shared" si="0"/>
        <v>1</v>
      </c>
    </row>
    <row r="11" spans="1:23" x14ac:dyDescent="0.45">
      <c r="A11" s="38">
        <v>9</v>
      </c>
      <c r="B11" s="38" t="s">
        <v>257</v>
      </c>
      <c r="C11" s="38">
        <v>6060.2737150000003</v>
      </c>
      <c r="D11" s="38">
        <v>2576</v>
      </c>
      <c r="E11" s="38">
        <v>0.221937</v>
      </c>
      <c r="F11" s="38">
        <v>2248</v>
      </c>
      <c r="G11" s="38">
        <v>903</v>
      </c>
      <c r="H11" s="38">
        <v>0.18129000000000001</v>
      </c>
      <c r="I11" s="38">
        <v>1054</v>
      </c>
      <c r="J11" s="38">
        <v>1878</v>
      </c>
      <c r="K11" s="38" t="s">
        <v>119</v>
      </c>
      <c r="L11" s="38">
        <v>121301.984041</v>
      </c>
      <c r="M11" s="38">
        <v>6060.2737150000003</v>
      </c>
      <c r="N11" s="38" t="s">
        <v>119</v>
      </c>
      <c r="O11" s="38" t="s">
        <v>119</v>
      </c>
      <c r="P11" s="38" t="s">
        <v>119</v>
      </c>
      <c r="Q11" s="38" t="s">
        <v>119</v>
      </c>
      <c r="R11" s="38" t="s">
        <v>119</v>
      </c>
      <c r="S11" s="38" t="s">
        <v>119</v>
      </c>
      <c r="T11" s="38">
        <v>2773</v>
      </c>
      <c r="V11" s="81">
        <v>2576</v>
      </c>
      <c r="W11" s="38">
        <f t="shared" si="0"/>
        <v>1</v>
      </c>
    </row>
    <row r="12" spans="1:23" x14ac:dyDescent="0.45">
      <c r="A12" s="38">
        <v>11</v>
      </c>
      <c r="B12" s="38" t="s">
        <v>257</v>
      </c>
      <c r="C12" s="38">
        <v>4208.1921869999996</v>
      </c>
      <c r="D12" s="38">
        <v>2577</v>
      </c>
      <c r="E12" s="38">
        <v>0.24903800000000001</v>
      </c>
      <c r="F12" s="38">
        <v>2281</v>
      </c>
      <c r="G12" s="38">
        <v>1233</v>
      </c>
      <c r="H12" s="38">
        <v>0.26329599999999997</v>
      </c>
      <c r="I12" s="38">
        <v>1252</v>
      </c>
      <c r="J12" s="38">
        <v>2083</v>
      </c>
      <c r="K12" s="38" t="s">
        <v>119</v>
      </c>
      <c r="L12" s="38">
        <v>129896.76938899999</v>
      </c>
      <c r="M12" s="38">
        <v>4208.1921869999996</v>
      </c>
      <c r="N12" s="38" t="s">
        <v>119</v>
      </c>
      <c r="O12" s="38" t="s">
        <v>119</v>
      </c>
      <c r="P12" s="38" t="s">
        <v>119</v>
      </c>
      <c r="Q12" s="38" t="s">
        <v>119</v>
      </c>
      <c r="R12" s="38" t="s">
        <v>119</v>
      </c>
      <c r="S12" s="38" t="s">
        <v>119</v>
      </c>
      <c r="T12" s="38">
        <v>2775</v>
      </c>
      <c r="V12" s="81">
        <v>2577</v>
      </c>
      <c r="W12" s="38">
        <f t="shared" si="0"/>
        <v>1</v>
      </c>
    </row>
    <row r="13" spans="1:23" x14ac:dyDescent="0.45">
      <c r="A13" s="38">
        <v>23</v>
      </c>
      <c r="B13" s="38" t="s">
        <v>257</v>
      </c>
      <c r="C13" s="38">
        <v>6866.7839059999997</v>
      </c>
      <c r="D13" s="38">
        <v>2578</v>
      </c>
      <c r="E13" s="38">
        <v>0.15349299999999999</v>
      </c>
      <c r="F13" s="38">
        <v>2282</v>
      </c>
      <c r="G13" s="38">
        <v>1228</v>
      </c>
      <c r="H13" s="38">
        <v>9.8251000000000005E-2</v>
      </c>
      <c r="I13" s="38">
        <v>1351</v>
      </c>
      <c r="J13" s="38">
        <v>1857</v>
      </c>
      <c r="K13" s="38" t="s">
        <v>119</v>
      </c>
      <c r="L13" s="38">
        <v>132552.77227300001</v>
      </c>
      <c r="M13" s="38">
        <v>6866.7839059999997</v>
      </c>
      <c r="N13" s="38" t="s">
        <v>119</v>
      </c>
      <c r="O13" s="38" t="s">
        <v>119</v>
      </c>
      <c r="P13" s="38" t="s">
        <v>119</v>
      </c>
      <c r="Q13" s="38" t="s">
        <v>119</v>
      </c>
      <c r="R13" s="38" t="s">
        <v>119</v>
      </c>
      <c r="S13" s="38" t="s">
        <v>119</v>
      </c>
      <c r="T13" s="38">
        <v>2787</v>
      </c>
      <c r="V13" s="81">
        <v>2578</v>
      </c>
      <c r="W13" s="38">
        <f t="shared" si="0"/>
        <v>1</v>
      </c>
    </row>
    <row r="14" spans="1:23" x14ac:dyDescent="0.45">
      <c r="A14" s="38">
        <v>13</v>
      </c>
      <c r="B14" s="38" t="s">
        <v>257</v>
      </c>
      <c r="C14" s="38">
        <v>7361.5300280000001</v>
      </c>
      <c r="D14" s="38">
        <v>2579</v>
      </c>
      <c r="E14" s="38">
        <v>0.14154700000000001</v>
      </c>
      <c r="F14" s="38">
        <v>2061</v>
      </c>
      <c r="G14" s="38">
        <v>1019</v>
      </c>
      <c r="H14" s="38">
        <v>9.7987000000000005E-2</v>
      </c>
      <c r="I14" s="38">
        <v>1043</v>
      </c>
      <c r="J14" s="38">
        <v>1584</v>
      </c>
      <c r="K14" s="38" t="s">
        <v>119</v>
      </c>
      <c r="L14" s="38">
        <v>126651.33739299999</v>
      </c>
      <c r="M14" s="38">
        <v>7361.5300280000001</v>
      </c>
      <c r="N14" s="38" t="s">
        <v>119</v>
      </c>
      <c r="O14" s="38" t="s">
        <v>119</v>
      </c>
      <c r="P14" s="38" t="s">
        <v>119</v>
      </c>
      <c r="Q14" s="38" t="s">
        <v>119</v>
      </c>
      <c r="R14" s="38" t="s">
        <v>119</v>
      </c>
      <c r="S14" s="38" t="s">
        <v>119</v>
      </c>
      <c r="T14" s="38">
        <v>2777</v>
      </c>
      <c r="V14" s="81">
        <v>2579</v>
      </c>
      <c r="W14" s="38">
        <f t="shared" si="0"/>
        <v>1</v>
      </c>
    </row>
    <row r="15" spans="1:23" x14ac:dyDescent="0.45">
      <c r="A15" s="38">
        <v>17</v>
      </c>
      <c r="B15" s="38" t="s">
        <v>257</v>
      </c>
      <c r="C15" s="38">
        <v>4493.1795599999996</v>
      </c>
      <c r="D15" s="38">
        <v>2580</v>
      </c>
      <c r="E15" s="38">
        <v>8.2347000000000004E-2</v>
      </c>
      <c r="F15" s="38">
        <v>1270</v>
      </c>
      <c r="G15" s="38">
        <v>900</v>
      </c>
      <c r="H15" s="38">
        <v>1.7211000000000001E-2</v>
      </c>
      <c r="I15" s="38">
        <v>950</v>
      </c>
      <c r="J15" s="38">
        <v>1008</v>
      </c>
      <c r="K15" s="38" t="s">
        <v>119</v>
      </c>
      <c r="L15" s="38">
        <v>119734.889886</v>
      </c>
      <c r="M15" s="38">
        <v>4493.1795599999996</v>
      </c>
      <c r="N15" s="38" t="s">
        <v>119</v>
      </c>
      <c r="O15" s="38" t="s">
        <v>119</v>
      </c>
      <c r="P15" s="38" t="s">
        <v>119</v>
      </c>
      <c r="Q15" s="38" t="s">
        <v>119</v>
      </c>
      <c r="R15" s="38" t="s">
        <v>119</v>
      </c>
      <c r="S15" s="38" t="s">
        <v>119</v>
      </c>
      <c r="T15" s="38">
        <v>2781</v>
      </c>
      <c r="V15" s="81">
        <v>2580</v>
      </c>
      <c r="W15" s="38">
        <f t="shared" si="0"/>
        <v>1</v>
      </c>
    </row>
    <row r="16" spans="1:23" x14ac:dyDescent="0.45">
      <c r="A16" s="38">
        <v>12</v>
      </c>
      <c r="B16" s="38" t="s">
        <v>257</v>
      </c>
      <c r="C16" s="38">
        <v>6961.6824450000004</v>
      </c>
      <c r="D16" s="38">
        <v>2581</v>
      </c>
      <c r="E16" s="38">
        <v>0.18573100000000001</v>
      </c>
      <c r="F16" s="38">
        <v>2080</v>
      </c>
      <c r="G16" s="38">
        <v>787</v>
      </c>
      <c r="H16" s="38">
        <v>0.20933599999999999</v>
      </c>
      <c r="I16" s="38">
        <v>799</v>
      </c>
      <c r="J16" s="38">
        <v>1892</v>
      </c>
      <c r="K16" s="38" t="s">
        <v>119</v>
      </c>
      <c r="L16" s="38">
        <v>118285.105436</v>
      </c>
      <c r="M16" s="38">
        <v>6961.6824450000004</v>
      </c>
      <c r="N16" s="38" t="s">
        <v>119</v>
      </c>
      <c r="O16" s="38" t="s">
        <v>119</v>
      </c>
      <c r="P16" s="38" t="s">
        <v>119</v>
      </c>
      <c r="Q16" s="38" t="s">
        <v>119</v>
      </c>
      <c r="R16" s="38" t="s">
        <v>119</v>
      </c>
      <c r="S16" s="38" t="s">
        <v>119</v>
      </c>
      <c r="T16" s="38">
        <v>2776</v>
      </c>
      <c r="V16" s="81">
        <v>2581</v>
      </c>
      <c r="W16" s="38">
        <f t="shared" si="0"/>
        <v>1</v>
      </c>
    </row>
    <row r="17" spans="1:23" x14ac:dyDescent="0.45">
      <c r="A17" s="38">
        <v>14</v>
      </c>
      <c r="B17" s="38" t="s">
        <v>257</v>
      </c>
      <c r="C17" s="38">
        <v>4653.8266569999996</v>
      </c>
      <c r="D17" s="38">
        <v>2582</v>
      </c>
      <c r="E17" s="38">
        <v>0.25377</v>
      </c>
      <c r="F17" s="38">
        <v>1970</v>
      </c>
      <c r="G17" s="38">
        <v>789</v>
      </c>
      <c r="H17" s="38">
        <v>0.24954399999999999</v>
      </c>
      <c r="I17" s="38">
        <v>991</v>
      </c>
      <c r="J17" s="38">
        <v>1862</v>
      </c>
      <c r="K17" s="38" t="s">
        <v>119</v>
      </c>
      <c r="L17" s="38">
        <v>115974.66081299999</v>
      </c>
      <c r="M17" s="38">
        <v>4653.8266569999996</v>
      </c>
      <c r="N17" s="38" t="s">
        <v>119</v>
      </c>
      <c r="O17" s="38" t="s">
        <v>119</v>
      </c>
      <c r="P17" s="38" t="s">
        <v>119</v>
      </c>
      <c r="Q17" s="38" t="s">
        <v>119</v>
      </c>
      <c r="R17" s="38" t="s">
        <v>119</v>
      </c>
      <c r="S17" s="38" t="s">
        <v>119</v>
      </c>
      <c r="T17" s="38">
        <v>2778</v>
      </c>
      <c r="V17" s="81">
        <v>2582</v>
      </c>
      <c r="W17" s="38">
        <f t="shared" si="0"/>
        <v>1</v>
      </c>
    </row>
    <row r="18" spans="1:23" x14ac:dyDescent="0.45">
      <c r="A18" s="38">
        <v>20</v>
      </c>
      <c r="B18" s="38" t="s">
        <v>257</v>
      </c>
      <c r="C18" s="38">
        <v>2105.222311</v>
      </c>
      <c r="D18" s="38">
        <v>2583</v>
      </c>
      <c r="E18" s="38">
        <v>0.26125500000000001</v>
      </c>
      <c r="F18" s="38">
        <v>1281</v>
      </c>
      <c r="G18" s="38">
        <v>731</v>
      </c>
      <c r="H18" s="38">
        <v>0.30210599999999999</v>
      </c>
      <c r="I18" s="38">
        <v>743</v>
      </c>
      <c r="J18" s="38">
        <v>1220</v>
      </c>
      <c r="K18" s="38" t="s">
        <v>119</v>
      </c>
      <c r="L18" s="38">
        <v>111937.439495</v>
      </c>
      <c r="M18" s="38">
        <v>2105.222311</v>
      </c>
      <c r="N18" s="38" t="s">
        <v>119</v>
      </c>
      <c r="O18" s="38" t="s">
        <v>119</v>
      </c>
      <c r="P18" s="38" t="s">
        <v>119</v>
      </c>
      <c r="Q18" s="38" t="s">
        <v>119</v>
      </c>
      <c r="R18" s="38" t="s">
        <v>119</v>
      </c>
      <c r="S18" s="38" t="s">
        <v>119</v>
      </c>
      <c r="T18" s="38">
        <v>2784</v>
      </c>
      <c r="V18" s="81">
        <v>2583</v>
      </c>
      <c r="W18" s="38">
        <f t="shared" si="0"/>
        <v>1</v>
      </c>
    </row>
    <row r="19" spans="1:23" x14ac:dyDescent="0.45">
      <c r="A19" s="38">
        <v>18</v>
      </c>
      <c r="B19" s="38" t="s">
        <v>257</v>
      </c>
      <c r="C19" s="38">
        <v>6732.0882899999997</v>
      </c>
      <c r="D19" s="38">
        <v>2584</v>
      </c>
      <c r="E19" s="38">
        <v>0.17305200000000001</v>
      </c>
      <c r="F19" s="38">
        <v>1631</v>
      </c>
      <c r="G19" s="38">
        <v>466</v>
      </c>
      <c r="H19" s="38">
        <v>0.16359499999999999</v>
      </c>
      <c r="I19" s="38">
        <v>562</v>
      </c>
      <c r="J19" s="38">
        <v>1388</v>
      </c>
      <c r="K19" s="38" t="s">
        <v>119</v>
      </c>
      <c r="L19" s="38">
        <v>107593.999744</v>
      </c>
      <c r="M19" s="38">
        <v>6732.0882899999997</v>
      </c>
      <c r="N19" s="38" t="s">
        <v>119</v>
      </c>
      <c r="O19" s="38" t="s">
        <v>119</v>
      </c>
      <c r="P19" s="38" t="s">
        <v>119</v>
      </c>
      <c r="Q19" s="38" t="s">
        <v>119</v>
      </c>
      <c r="R19" s="38" t="s">
        <v>119</v>
      </c>
      <c r="S19" s="38" t="s">
        <v>119</v>
      </c>
      <c r="T19" s="38">
        <v>2782</v>
      </c>
      <c r="V19" s="81">
        <v>2584</v>
      </c>
      <c r="W19" s="38">
        <f t="shared" si="0"/>
        <v>1</v>
      </c>
    </row>
    <row r="20" spans="1:23" x14ac:dyDescent="0.45">
      <c r="A20" s="38">
        <v>24</v>
      </c>
      <c r="B20" s="38" t="s">
        <v>257</v>
      </c>
      <c r="C20" s="38">
        <v>8204.9567040000002</v>
      </c>
      <c r="D20" s="38">
        <v>2585</v>
      </c>
      <c r="E20" s="38">
        <v>0.138819</v>
      </c>
      <c r="F20" s="38">
        <v>1717</v>
      </c>
      <c r="G20" s="38">
        <v>578</v>
      </c>
      <c r="H20" s="38">
        <v>0.113265</v>
      </c>
      <c r="I20" s="38">
        <v>592</v>
      </c>
      <c r="J20" s="38">
        <v>1289</v>
      </c>
      <c r="K20" s="38" t="s">
        <v>119</v>
      </c>
      <c r="L20" s="38">
        <v>113126.13267599999</v>
      </c>
      <c r="M20" s="38">
        <v>8204.9567040000002</v>
      </c>
      <c r="N20" s="38" t="s">
        <v>119</v>
      </c>
      <c r="O20" s="38" t="s">
        <v>119</v>
      </c>
      <c r="P20" s="38" t="s">
        <v>119</v>
      </c>
      <c r="Q20" s="38" t="s">
        <v>119</v>
      </c>
      <c r="R20" s="38" t="s">
        <v>119</v>
      </c>
      <c r="S20" s="38" t="s">
        <v>119</v>
      </c>
      <c r="T20" s="38">
        <v>2788</v>
      </c>
      <c r="V20" s="81">
        <v>2585</v>
      </c>
      <c r="W20" s="38">
        <f t="shared" si="0"/>
        <v>1</v>
      </c>
    </row>
    <row r="21" spans="1:23" x14ac:dyDescent="0.45">
      <c r="A21" s="38">
        <v>16</v>
      </c>
      <c r="B21" s="38" t="s">
        <v>257</v>
      </c>
      <c r="C21" s="38">
        <v>5494.067908</v>
      </c>
      <c r="D21" s="38">
        <v>2586</v>
      </c>
      <c r="E21" s="38">
        <v>0.214777</v>
      </c>
      <c r="F21" s="38">
        <v>1759</v>
      </c>
      <c r="G21" s="38">
        <v>579</v>
      </c>
      <c r="H21" s="38">
        <v>0.23855999999999999</v>
      </c>
      <c r="I21" s="38">
        <v>680</v>
      </c>
      <c r="J21" s="38">
        <v>1663</v>
      </c>
      <c r="K21" s="38" t="s">
        <v>119</v>
      </c>
      <c r="L21" s="38">
        <v>110417.832714</v>
      </c>
      <c r="M21" s="38">
        <v>5494.067908</v>
      </c>
      <c r="N21" s="38" t="s">
        <v>119</v>
      </c>
      <c r="O21" s="38" t="s">
        <v>119</v>
      </c>
      <c r="P21" s="38" t="s">
        <v>119</v>
      </c>
      <c r="Q21" s="38" t="s">
        <v>119</v>
      </c>
      <c r="R21" s="38" t="s">
        <v>119</v>
      </c>
      <c r="S21" s="38" t="s">
        <v>119</v>
      </c>
      <c r="T21" s="38">
        <v>2780</v>
      </c>
      <c r="V21" s="81">
        <v>2586</v>
      </c>
      <c r="W21" s="38">
        <f t="shared" si="0"/>
        <v>1</v>
      </c>
    </row>
    <row r="22" spans="1:23" x14ac:dyDescent="0.45">
      <c r="A22" s="38">
        <v>27</v>
      </c>
      <c r="B22" s="38" t="s">
        <v>257</v>
      </c>
      <c r="C22" s="38">
        <v>6173.2178889999996</v>
      </c>
      <c r="D22" s="38">
        <v>2587</v>
      </c>
      <c r="E22" s="38">
        <v>0.155834</v>
      </c>
      <c r="F22" s="38">
        <v>1424</v>
      </c>
      <c r="G22" s="38">
        <v>462</v>
      </c>
      <c r="H22" s="38">
        <v>0.15723799999999999</v>
      </c>
      <c r="I22" s="38">
        <v>503</v>
      </c>
      <c r="J22" s="38">
        <v>1231</v>
      </c>
      <c r="K22" s="38" t="s">
        <v>119</v>
      </c>
      <c r="L22" s="38">
        <v>107032.54050800001</v>
      </c>
      <c r="M22" s="38">
        <v>6173.2178889999996</v>
      </c>
      <c r="N22" s="38" t="s">
        <v>119</v>
      </c>
      <c r="O22" s="38" t="s">
        <v>119</v>
      </c>
      <c r="P22" s="38" t="s">
        <v>119</v>
      </c>
      <c r="Q22" s="38" t="s">
        <v>119</v>
      </c>
      <c r="R22" s="38" t="s">
        <v>119</v>
      </c>
      <c r="S22" s="38" t="s">
        <v>119</v>
      </c>
      <c r="T22" s="38">
        <v>2791</v>
      </c>
      <c r="V22" s="81">
        <v>2587</v>
      </c>
      <c r="W22" s="38">
        <f t="shared" si="0"/>
        <v>1</v>
      </c>
    </row>
    <row r="23" spans="1:23" x14ac:dyDescent="0.45">
      <c r="A23" s="38">
        <v>19</v>
      </c>
      <c r="B23" s="38" t="s">
        <v>257</v>
      </c>
      <c r="C23" s="38">
        <v>5880.9081850000002</v>
      </c>
      <c r="D23" s="38">
        <v>2588</v>
      </c>
      <c r="E23" s="38">
        <v>0.103215</v>
      </c>
      <c r="F23" s="38">
        <v>1961</v>
      </c>
      <c r="G23" s="38">
        <v>1354</v>
      </c>
      <c r="H23" s="38">
        <v>7.7538999999999997E-2</v>
      </c>
      <c r="I23" s="38">
        <v>1497</v>
      </c>
      <c r="J23" s="38">
        <v>1839</v>
      </c>
      <c r="K23" s="38" t="s">
        <v>119</v>
      </c>
      <c r="L23" s="38">
        <v>122950.14421300001</v>
      </c>
      <c r="M23" s="38">
        <v>5880.9081850000002</v>
      </c>
      <c r="N23" s="38" t="s">
        <v>119</v>
      </c>
      <c r="O23" s="38" t="s">
        <v>119</v>
      </c>
      <c r="P23" s="38" t="s">
        <v>119</v>
      </c>
      <c r="Q23" s="38" t="s">
        <v>119</v>
      </c>
      <c r="R23" s="38" t="s">
        <v>119</v>
      </c>
      <c r="S23" s="38" t="s">
        <v>119</v>
      </c>
      <c r="T23" s="38">
        <v>2783</v>
      </c>
      <c r="V23" s="81">
        <v>2588</v>
      </c>
      <c r="W23" s="38">
        <f t="shared" si="0"/>
        <v>1</v>
      </c>
    </row>
    <row r="24" spans="1:23" x14ac:dyDescent="0.45">
      <c r="A24" s="38">
        <v>25</v>
      </c>
      <c r="B24" s="38" t="s">
        <v>257</v>
      </c>
      <c r="C24" s="38">
        <v>7542.7484619999996</v>
      </c>
      <c r="D24" s="38">
        <v>2589</v>
      </c>
      <c r="E24" s="38">
        <v>0.125418</v>
      </c>
      <c r="F24" s="38">
        <v>2300</v>
      </c>
      <c r="G24" s="38">
        <v>1354</v>
      </c>
      <c r="H24" s="38">
        <v>8.7148000000000003E-2</v>
      </c>
      <c r="I24" s="38">
        <v>1404</v>
      </c>
      <c r="J24" s="38">
        <v>1897</v>
      </c>
      <c r="K24" s="38" t="s">
        <v>119</v>
      </c>
      <c r="L24" s="38">
        <v>124614.573324</v>
      </c>
      <c r="M24" s="38">
        <v>7542.7484619999996</v>
      </c>
      <c r="N24" s="38" t="s">
        <v>119</v>
      </c>
      <c r="O24" s="38" t="s">
        <v>119</v>
      </c>
      <c r="P24" s="38" t="s">
        <v>119</v>
      </c>
      <c r="Q24" s="38" t="s">
        <v>119</v>
      </c>
      <c r="R24" s="38" t="s">
        <v>119</v>
      </c>
      <c r="S24" s="38" t="s">
        <v>119</v>
      </c>
      <c r="T24" s="38">
        <v>2789</v>
      </c>
      <c r="V24" s="81">
        <v>2589</v>
      </c>
      <c r="W24" s="38">
        <f t="shared" si="0"/>
        <v>1</v>
      </c>
    </row>
    <row r="25" spans="1:23" x14ac:dyDescent="0.45">
      <c r="A25" s="38">
        <v>30</v>
      </c>
      <c r="B25" s="38" t="s">
        <v>257</v>
      </c>
      <c r="C25" s="38">
        <v>2960.6286049999999</v>
      </c>
      <c r="D25" s="38">
        <v>2590</v>
      </c>
      <c r="E25" s="38">
        <v>0.237787</v>
      </c>
      <c r="F25" s="38">
        <v>1081</v>
      </c>
      <c r="G25" s="38">
        <v>377</v>
      </c>
      <c r="H25" s="38">
        <v>0.16708200000000001</v>
      </c>
      <c r="I25" s="38">
        <v>412</v>
      </c>
      <c r="J25" s="38">
        <v>783</v>
      </c>
      <c r="K25" s="38" t="s">
        <v>119</v>
      </c>
      <c r="L25" s="38">
        <v>101455.369697</v>
      </c>
      <c r="M25" s="38">
        <v>2960.6286049999999</v>
      </c>
      <c r="N25" s="38" t="s">
        <v>119</v>
      </c>
      <c r="O25" s="38" t="s">
        <v>119</v>
      </c>
      <c r="P25" s="38" t="s">
        <v>119</v>
      </c>
      <c r="Q25" s="38" t="s">
        <v>119</v>
      </c>
      <c r="R25" s="38" t="s">
        <v>119</v>
      </c>
      <c r="S25" s="38" t="s">
        <v>119</v>
      </c>
      <c r="T25" s="38">
        <v>2794</v>
      </c>
      <c r="V25" s="81">
        <v>2590</v>
      </c>
      <c r="W25" s="38">
        <f t="shared" si="0"/>
        <v>1</v>
      </c>
    </row>
    <row r="26" spans="1:23" x14ac:dyDescent="0.45">
      <c r="A26" s="38">
        <v>21</v>
      </c>
      <c r="B26" s="38" t="s">
        <v>257</v>
      </c>
      <c r="C26" s="38">
        <v>9618.8023009999997</v>
      </c>
      <c r="D26" s="38">
        <v>2591</v>
      </c>
      <c r="E26" s="38">
        <v>0.119246</v>
      </c>
      <c r="F26" s="38">
        <v>1877</v>
      </c>
      <c r="G26" s="38">
        <v>730</v>
      </c>
      <c r="H26" s="38">
        <v>0.12156699999999999</v>
      </c>
      <c r="I26" s="38">
        <v>859</v>
      </c>
      <c r="J26" s="38">
        <v>1736</v>
      </c>
      <c r="K26" s="38" t="s">
        <v>119</v>
      </c>
      <c r="L26" s="38">
        <v>119448.43064999999</v>
      </c>
      <c r="M26" s="38">
        <v>9618.8023009999997</v>
      </c>
      <c r="N26" s="38" t="s">
        <v>119</v>
      </c>
      <c r="O26" s="38" t="s">
        <v>119</v>
      </c>
      <c r="P26" s="38" t="s">
        <v>119</v>
      </c>
      <c r="Q26" s="38" t="s">
        <v>119</v>
      </c>
      <c r="R26" s="38" t="s">
        <v>119</v>
      </c>
      <c r="S26" s="38" t="s">
        <v>119</v>
      </c>
      <c r="T26" s="38">
        <v>2785</v>
      </c>
      <c r="V26" s="81">
        <v>2591</v>
      </c>
      <c r="W26" s="38">
        <f t="shared" si="0"/>
        <v>1</v>
      </c>
    </row>
    <row r="27" spans="1:23" x14ac:dyDescent="0.45">
      <c r="A27" s="38">
        <v>22</v>
      </c>
      <c r="B27" s="38" t="s">
        <v>257</v>
      </c>
      <c r="C27" s="38">
        <v>4252.1261699999995</v>
      </c>
      <c r="D27" s="38">
        <v>2592</v>
      </c>
      <c r="E27" s="38">
        <v>0.192139</v>
      </c>
      <c r="F27" s="38">
        <v>1196</v>
      </c>
      <c r="G27" s="38">
        <v>379</v>
      </c>
      <c r="H27" s="38">
        <v>0.18092900000000001</v>
      </c>
      <c r="I27" s="38">
        <v>439</v>
      </c>
      <c r="J27" s="38">
        <v>1016</v>
      </c>
      <c r="K27" s="38" t="s">
        <v>119</v>
      </c>
      <c r="L27" s="38">
        <v>102749.45609599999</v>
      </c>
      <c r="M27" s="38">
        <v>4252.1261699999995</v>
      </c>
      <c r="N27" s="38" t="s">
        <v>119</v>
      </c>
      <c r="O27" s="38" t="s">
        <v>119</v>
      </c>
      <c r="P27" s="38" t="s">
        <v>119</v>
      </c>
      <c r="Q27" s="38" t="s">
        <v>119</v>
      </c>
      <c r="R27" s="38" t="s">
        <v>119</v>
      </c>
      <c r="S27" s="38" t="s">
        <v>119</v>
      </c>
      <c r="T27" s="38">
        <v>2786</v>
      </c>
      <c r="V27" s="81">
        <v>2592</v>
      </c>
      <c r="W27" s="38">
        <f t="shared" si="0"/>
        <v>1</v>
      </c>
    </row>
    <row r="28" spans="1:23" x14ac:dyDescent="0.45">
      <c r="A28" s="38">
        <v>32</v>
      </c>
      <c r="B28" s="38" t="s">
        <v>257</v>
      </c>
      <c r="C28" s="38">
        <v>6208.129054</v>
      </c>
      <c r="D28" s="38">
        <v>2593</v>
      </c>
      <c r="E28" s="38">
        <v>0.12983</v>
      </c>
      <c r="F28" s="38">
        <v>1099</v>
      </c>
      <c r="G28" s="38">
        <v>293</v>
      </c>
      <c r="H28" s="38">
        <v>0.14432700000000001</v>
      </c>
      <c r="I28" s="38">
        <v>313</v>
      </c>
      <c r="J28" s="38">
        <v>985</v>
      </c>
      <c r="K28" s="38" t="s">
        <v>119</v>
      </c>
      <c r="L28" s="38">
        <v>100104.328933</v>
      </c>
      <c r="M28" s="38">
        <v>6208.129054</v>
      </c>
      <c r="N28" s="38" t="s">
        <v>119</v>
      </c>
      <c r="O28" s="38" t="s">
        <v>119</v>
      </c>
      <c r="P28" s="38" t="s">
        <v>119</v>
      </c>
      <c r="Q28" s="38" t="s">
        <v>119</v>
      </c>
      <c r="R28" s="38" t="s">
        <v>119</v>
      </c>
      <c r="S28" s="38" t="s">
        <v>119</v>
      </c>
      <c r="T28" s="38">
        <v>2796</v>
      </c>
      <c r="V28" s="81">
        <v>2593</v>
      </c>
      <c r="W28" s="38">
        <f t="shared" si="0"/>
        <v>1</v>
      </c>
    </row>
    <row r="29" spans="1:23" x14ac:dyDescent="0.45">
      <c r="A29" s="38">
        <v>29</v>
      </c>
      <c r="B29" s="38" t="s">
        <v>257</v>
      </c>
      <c r="C29" s="38">
        <v>7056.2130180000004</v>
      </c>
      <c r="D29" s="38">
        <v>2594</v>
      </c>
      <c r="E29" s="38">
        <v>0.117627</v>
      </c>
      <c r="F29" s="38">
        <v>1697</v>
      </c>
      <c r="G29" s="38">
        <v>867</v>
      </c>
      <c r="H29" s="38">
        <v>0.119989</v>
      </c>
      <c r="I29" s="38">
        <v>973</v>
      </c>
      <c r="J29" s="38">
        <v>1608</v>
      </c>
      <c r="K29" s="38" t="s">
        <v>119</v>
      </c>
      <c r="L29" s="38">
        <v>110016.728817</v>
      </c>
      <c r="M29" s="38">
        <v>7056.2130180000004</v>
      </c>
      <c r="N29" s="38" t="s">
        <v>119</v>
      </c>
      <c r="O29" s="38" t="s">
        <v>119</v>
      </c>
      <c r="P29" s="38" t="s">
        <v>119</v>
      </c>
      <c r="Q29" s="38" t="s">
        <v>119</v>
      </c>
      <c r="R29" s="38" t="s">
        <v>119</v>
      </c>
      <c r="S29" s="38" t="s">
        <v>119</v>
      </c>
      <c r="T29" s="38">
        <v>2793</v>
      </c>
      <c r="V29" s="81">
        <v>2594</v>
      </c>
      <c r="W29" s="38">
        <f t="shared" si="0"/>
        <v>1</v>
      </c>
    </row>
    <row r="30" spans="1:23" x14ac:dyDescent="0.45">
      <c r="A30" s="38">
        <v>26</v>
      </c>
      <c r="B30" s="38" t="s">
        <v>257</v>
      </c>
      <c r="C30" s="38">
        <v>6674.6266180000002</v>
      </c>
      <c r="D30" s="38">
        <v>2595</v>
      </c>
      <c r="E30" s="38">
        <v>0.13678699999999999</v>
      </c>
      <c r="F30" s="38">
        <v>1551</v>
      </c>
      <c r="G30" s="38">
        <v>638</v>
      </c>
      <c r="H30" s="38">
        <v>0.13064400000000001</v>
      </c>
      <c r="I30" s="38">
        <v>754</v>
      </c>
      <c r="J30" s="38">
        <v>1408</v>
      </c>
      <c r="K30" s="38" t="s">
        <v>119</v>
      </c>
      <c r="L30" s="38">
        <v>105632.38809199999</v>
      </c>
      <c r="M30" s="38">
        <v>6674.6266180000002</v>
      </c>
      <c r="N30" s="38" t="s">
        <v>119</v>
      </c>
      <c r="O30" s="38" t="s">
        <v>119</v>
      </c>
      <c r="P30" s="38" t="s">
        <v>119</v>
      </c>
      <c r="Q30" s="38" t="s">
        <v>119</v>
      </c>
      <c r="R30" s="38" t="s">
        <v>119</v>
      </c>
      <c r="S30" s="38" t="s">
        <v>119</v>
      </c>
      <c r="T30" s="38">
        <v>2790</v>
      </c>
      <c r="V30" s="81">
        <v>2595</v>
      </c>
      <c r="W30" s="38">
        <f t="shared" si="0"/>
        <v>1</v>
      </c>
    </row>
    <row r="31" spans="1:23" x14ac:dyDescent="0.45">
      <c r="A31" s="38">
        <v>37</v>
      </c>
      <c r="B31" s="38" t="s">
        <v>257</v>
      </c>
      <c r="C31" s="38">
        <v>5313.0780990000003</v>
      </c>
      <c r="D31" s="38">
        <v>2596</v>
      </c>
      <c r="E31" s="38">
        <v>0.21701200000000001</v>
      </c>
      <c r="F31" s="38">
        <v>2469</v>
      </c>
      <c r="G31" s="38">
        <v>1316</v>
      </c>
      <c r="H31" s="38">
        <v>0.202017</v>
      </c>
      <c r="I31" s="38">
        <v>1357</v>
      </c>
      <c r="J31" s="38">
        <v>2162</v>
      </c>
      <c r="K31" s="38" t="s">
        <v>119</v>
      </c>
      <c r="L31" s="38">
        <v>118137.83361099999</v>
      </c>
      <c r="M31" s="38">
        <v>5313.0780990000003</v>
      </c>
      <c r="N31" s="38" t="s">
        <v>119</v>
      </c>
      <c r="O31" s="38" t="s">
        <v>119</v>
      </c>
      <c r="P31" s="38" t="s">
        <v>119</v>
      </c>
      <c r="Q31" s="38" t="s">
        <v>119</v>
      </c>
      <c r="R31" s="38" t="s">
        <v>119</v>
      </c>
      <c r="S31" s="38" t="s">
        <v>119</v>
      </c>
      <c r="T31" s="38">
        <v>2801</v>
      </c>
      <c r="V31" s="81">
        <v>2596</v>
      </c>
      <c r="W31" s="38">
        <f t="shared" si="0"/>
        <v>1</v>
      </c>
    </row>
    <row r="32" spans="1:23" x14ac:dyDescent="0.45">
      <c r="A32" s="38">
        <v>38</v>
      </c>
      <c r="B32" s="38" t="s">
        <v>257</v>
      </c>
      <c r="C32" s="38">
        <v>4956.0475260000003</v>
      </c>
      <c r="D32" s="38">
        <v>2597</v>
      </c>
      <c r="E32" s="38">
        <v>0.237488</v>
      </c>
      <c r="F32" s="38">
        <v>2495</v>
      </c>
      <c r="G32" s="38">
        <v>1318</v>
      </c>
      <c r="H32" s="38">
        <v>0.20661599999999999</v>
      </c>
      <c r="I32" s="38">
        <v>1357</v>
      </c>
      <c r="J32" s="38">
        <v>2125</v>
      </c>
      <c r="K32" s="38" t="s">
        <v>119</v>
      </c>
      <c r="L32" s="38">
        <v>117783.391873</v>
      </c>
      <c r="M32" s="38">
        <v>4956.0475260000003</v>
      </c>
      <c r="N32" s="38" t="s">
        <v>119</v>
      </c>
      <c r="O32" s="38" t="s">
        <v>119</v>
      </c>
      <c r="P32" s="38" t="s">
        <v>119</v>
      </c>
      <c r="Q32" s="38" t="s">
        <v>119</v>
      </c>
      <c r="R32" s="38" t="s">
        <v>119</v>
      </c>
      <c r="S32" s="38" t="s">
        <v>119</v>
      </c>
      <c r="T32" s="38">
        <v>2802</v>
      </c>
      <c r="V32" s="81">
        <v>2597</v>
      </c>
      <c r="W32" s="38">
        <f t="shared" si="0"/>
        <v>1</v>
      </c>
    </row>
    <row r="33" spans="1:23" x14ac:dyDescent="0.45">
      <c r="A33" s="38">
        <v>41</v>
      </c>
      <c r="B33" s="38" t="s">
        <v>257</v>
      </c>
      <c r="C33" s="38">
        <v>3476.2378220000001</v>
      </c>
      <c r="D33" s="38">
        <v>2598</v>
      </c>
      <c r="E33" s="38">
        <v>0.262928</v>
      </c>
      <c r="F33" s="38">
        <v>2161</v>
      </c>
      <c r="G33" s="38">
        <v>1247</v>
      </c>
      <c r="H33" s="38">
        <v>0.239339</v>
      </c>
      <c r="I33" s="38">
        <v>1254</v>
      </c>
      <c r="J33" s="38">
        <v>1878</v>
      </c>
      <c r="K33" s="38" t="s">
        <v>119</v>
      </c>
      <c r="L33" s="38">
        <v>115053.79771899999</v>
      </c>
      <c r="M33" s="38">
        <v>3476.2378220000001</v>
      </c>
      <c r="N33" s="38" t="s">
        <v>119</v>
      </c>
      <c r="O33" s="38" t="s">
        <v>119</v>
      </c>
      <c r="P33" s="38" t="s">
        <v>119</v>
      </c>
      <c r="Q33" s="38" t="s">
        <v>119</v>
      </c>
      <c r="R33" s="38" t="s">
        <v>119</v>
      </c>
      <c r="S33" s="38" t="s">
        <v>119</v>
      </c>
      <c r="T33" s="38">
        <v>2805</v>
      </c>
      <c r="V33" s="81">
        <v>2598</v>
      </c>
      <c r="W33" s="38">
        <f t="shared" si="0"/>
        <v>1</v>
      </c>
    </row>
    <row r="34" spans="1:23" x14ac:dyDescent="0.45">
      <c r="A34" s="38">
        <v>28</v>
      </c>
      <c r="B34" s="38" t="s">
        <v>257</v>
      </c>
      <c r="C34" s="38">
        <v>6495.1848799999998</v>
      </c>
      <c r="D34" s="38">
        <v>2599</v>
      </c>
      <c r="E34" s="38">
        <v>0.15534600000000001</v>
      </c>
      <c r="F34" s="38">
        <v>1448</v>
      </c>
      <c r="G34" s="38">
        <v>439</v>
      </c>
      <c r="H34" s="38">
        <v>0.12378400000000001</v>
      </c>
      <c r="I34" s="38">
        <v>675</v>
      </c>
      <c r="J34" s="38">
        <v>1278</v>
      </c>
      <c r="K34" s="38" t="s">
        <v>119</v>
      </c>
      <c r="L34" s="38">
        <v>103076.232791</v>
      </c>
      <c r="M34" s="38">
        <v>6495.1848799999998</v>
      </c>
      <c r="N34" s="38" t="s">
        <v>119</v>
      </c>
      <c r="O34" s="38" t="s">
        <v>119</v>
      </c>
      <c r="P34" s="38" t="s">
        <v>119</v>
      </c>
      <c r="Q34" s="38" t="s">
        <v>119</v>
      </c>
      <c r="R34" s="38" t="s">
        <v>119</v>
      </c>
      <c r="S34" s="38" t="s">
        <v>119</v>
      </c>
      <c r="T34" s="38">
        <v>2792</v>
      </c>
      <c r="V34" s="81">
        <v>2599</v>
      </c>
      <c r="W34" s="38">
        <f t="shared" si="0"/>
        <v>1</v>
      </c>
    </row>
    <row r="35" spans="1:23" x14ac:dyDescent="0.45">
      <c r="A35" s="38">
        <v>35</v>
      </c>
      <c r="B35" s="38" t="s">
        <v>257</v>
      </c>
      <c r="C35" s="38">
        <v>4321.1363609999999</v>
      </c>
      <c r="D35" s="38">
        <v>2600</v>
      </c>
      <c r="E35" s="38">
        <v>0.14857200000000001</v>
      </c>
      <c r="F35" s="38">
        <v>936</v>
      </c>
      <c r="G35" s="38">
        <v>294</v>
      </c>
      <c r="H35" s="38">
        <v>0.12681799999999999</v>
      </c>
      <c r="I35" s="38">
        <v>379</v>
      </c>
      <c r="J35" s="38">
        <v>790</v>
      </c>
      <c r="K35" s="38" t="s">
        <v>119</v>
      </c>
      <c r="L35" s="38">
        <v>98214.747405000002</v>
      </c>
      <c r="M35" s="38">
        <v>4321.1363609999999</v>
      </c>
      <c r="N35" s="38" t="s">
        <v>119</v>
      </c>
      <c r="O35" s="38" t="s">
        <v>119</v>
      </c>
      <c r="P35" s="38" t="s">
        <v>119</v>
      </c>
      <c r="Q35" s="38" t="s">
        <v>119</v>
      </c>
      <c r="R35" s="38" t="s">
        <v>119</v>
      </c>
      <c r="S35" s="38" t="s">
        <v>119</v>
      </c>
      <c r="T35" s="38">
        <v>2799</v>
      </c>
      <c r="V35" s="81">
        <v>2600</v>
      </c>
      <c r="W35" s="38">
        <f t="shared" si="0"/>
        <v>1</v>
      </c>
    </row>
    <row r="36" spans="1:23" x14ac:dyDescent="0.45">
      <c r="A36" s="38">
        <v>31</v>
      </c>
      <c r="B36" s="38" t="s">
        <v>257</v>
      </c>
      <c r="C36" s="38">
        <v>4953.2431420000003</v>
      </c>
      <c r="D36" s="38">
        <v>2601</v>
      </c>
      <c r="E36" s="38">
        <v>0.122142</v>
      </c>
      <c r="F36" s="38">
        <v>1723</v>
      </c>
      <c r="G36" s="38">
        <v>1118</v>
      </c>
      <c r="H36" s="38">
        <v>0.11225</v>
      </c>
      <c r="I36" s="38">
        <v>1212</v>
      </c>
      <c r="J36" s="38">
        <v>1629</v>
      </c>
      <c r="K36" s="38" t="s">
        <v>119</v>
      </c>
      <c r="L36" s="38">
        <v>113595.955006</v>
      </c>
      <c r="M36" s="38">
        <v>4953.2431420000003</v>
      </c>
      <c r="N36" s="38" t="s">
        <v>119</v>
      </c>
      <c r="O36" s="38" t="s">
        <v>119</v>
      </c>
      <c r="P36" s="38" t="s">
        <v>119</v>
      </c>
      <c r="Q36" s="38" t="s">
        <v>119</v>
      </c>
      <c r="R36" s="38" t="s">
        <v>119</v>
      </c>
      <c r="S36" s="38" t="s">
        <v>119</v>
      </c>
      <c r="T36" s="38">
        <v>2795</v>
      </c>
      <c r="V36" s="81">
        <v>2601</v>
      </c>
      <c r="W36" s="38">
        <f t="shared" si="0"/>
        <v>1</v>
      </c>
    </row>
    <row r="37" spans="1:23" x14ac:dyDescent="0.45">
      <c r="A37" s="38">
        <v>44</v>
      </c>
      <c r="B37" s="38" t="s">
        <v>257</v>
      </c>
      <c r="C37" s="38">
        <v>6324.9183759999996</v>
      </c>
      <c r="D37" s="38">
        <v>2602</v>
      </c>
      <c r="E37" s="38">
        <v>0.15557499999999999</v>
      </c>
      <c r="F37" s="38">
        <v>2100</v>
      </c>
      <c r="G37" s="38">
        <v>1116</v>
      </c>
      <c r="H37" s="38">
        <v>0.127749</v>
      </c>
      <c r="I37" s="38">
        <v>1142</v>
      </c>
      <c r="J37" s="38">
        <v>1748</v>
      </c>
      <c r="K37" s="38" t="s">
        <v>119</v>
      </c>
      <c r="L37" s="38">
        <v>114970.219075</v>
      </c>
      <c r="M37" s="38">
        <v>6324.9183759999996</v>
      </c>
      <c r="N37" s="38" t="s">
        <v>119</v>
      </c>
      <c r="O37" s="38" t="s">
        <v>119</v>
      </c>
      <c r="P37" s="38" t="s">
        <v>119</v>
      </c>
      <c r="Q37" s="38" t="s">
        <v>119</v>
      </c>
      <c r="R37" s="38" t="s">
        <v>119</v>
      </c>
      <c r="S37" s="38" t="s">
        <v>119</v>
      </c>
      <c r="T37" s="38">
        <v>2808</v>
      </c>
      <c r="V37" s="81">
        <v>2602</v>
      </c>
      <c r="W37" s="38">
        <f t="shared" si="0"/>
        <v>1</v>
      </c>
    </row>
    <row r="38" spans="1:23" x14ac:dyDescent="0.45">
      <c r="A38" s="38">
        <v>39</v>
      </c>
      <c r="B38" s="38" t="s">
        <v>257</v>
      </c>
      <c r="C38" s="38">
        <v>12648.396456</v>
      </c>
      <c r="D38" s="38">
        <v>2603</v>
      </c>
      <c r="E38" s="38">
        <v>5.2180999999999998E-2</v>
      </c>
      <c r="F38" s="38">
        <v>816</v>
      </c>
      <c r="G38" s="38">
        <v>156</v>
      </c>
      <c r="H38" s="38">
        <v>4.2166000000000002E-2</v>
      </c>
      <c r="I38" s="38">
        <v>177</v>
      </c>
      <c r="J38" s="38">
        <v>577</v>
      </c>
      <c r="K38" s="38" t="s">
        <v>119</v>
      </c>
      <c r="L38" s="38">
        <v>96934.264901999995</v>
      </c>
      <c r="M38" s="38">
        <v>12648.396456</v>
      </c>
      <c r="N38" s="38" t="s">
        <v>119</v>
      </c>
      <c r="O38" s="38" t="s">
        <v>119</v>
      </c>
      <c r="P38" s="38" t="s">
        <v>119</v>
      </c>
      <c r="Q38" s="38" t="s">
        <v>119</v>
      </c>
      <c r="R38" s="38" t="s">
        <v>119</v>
      </c>
      <c r="S38" s="38" t="s">
        <v>119</v>
      </c>
      <c r="T38" s="38">
        <v>2803</v>
      </c>
      <c r="V38" s="81">
        <v>2603</v>
      </c>
      <c r="W38" s="38">
        <f t="shared" si="0"/>
        <v>1</v>
      </c>
    </row>
    <row r="39" spans="1:23" x14ac:dyDescent="0.45">
      <c r="A39" s="38">
        <v>34</v>
      </c>
      <c r="B39" s="38" t="s">
        <v>257</v>
      </c>
      <c r="C39" s="38">
        <v>5130.464011</v>
      </c>
      <c r="D39" s="38">
        <v>2604</v>
      </c>
      <c r="E39" s="38">
        <v>0.176787</v>
      </c>
      <c r="F39" s="38">
        <v>1346</v>
      </c>
      <c r="G39" s="38">
        <v>439</v>
      </c>
      <c r="H39" s="38">
        <v>0.17932100000000001</v>
      </c>
      <c r="I39" s="38">
        <v>486</v>
      </c>
      <c r="J39" s="38">
        <v>1176</v>
      </c>
      <c r="K39" s="38" t="s">
        <v>119</v>
      </c>
      <c r="L39" s="38">
        <v>101714.10075699999</v>
      </c>
      <c r="M39" s="38">
        <v>5130.464011</v>
      </c>
      <c r="N39" s="38" t="s">
        <v>119</v>
      </c>
      <c r="O39" s="38" t="s">
        <v>119</v>
      </c>
      <c r="P39" s="38" t="s">
        <v>119</v>
      </c>
      <c r="Q39" s="38" t="s">
        <v>119</v>
      </c>
      <c r="R39" s="38" t="s">
        <v>119</v>
      </c>
      <c r="S39" s="38" t="s">
        <v>119</v>
      </c>
      <c r="T39" s="38">
        <v>2798</v>
      </c>
      <c r="V39" s="81">
        <v>2604</v>
      </c>
      <c r="W39" s="38">
        <f t="shared" si="0"/>
        <v>1</v>
      </c>
    </row>
    <row r="40" spans="1:23" x14ac:dyDescent="0.45">
      <c r="A40" s="38">
        <v>36</v>
      </c>
      <c r="B40" s="38" t="s">
        <v>257</v>
      </c>
      <c r="C40" s="38">
        <v>5330.3115950000001</v>
      </c>
      <c r="D40" s="38">
        <v>2605</v>
      </c>
      <c r="E40" s="38">
        <v>0.129636</v>
      </c>
      <c r="F40" s="38">
        <v>1329</v>
      </c>
      <c r="G40" s="38">
        <v>638</v>
      </c>
      <c r="H40" s="38">
        <v>0.121069</v>
      </c>
      <c r="I40" s="38">
        <v>670</v>
      </c>
      <c r="J40" s="38">
        <v>1154</v>
      </c>
      <c r="K40" s="38" t="s">
        <v>119</v>
      </c>
      <c r="L40" s="38">
        <v>104290.661903</v>
      </c>
      <c r="M40" s="38">
        <v>5330.3115950000001</v>
      </c>
      <c r="N40" s="38" t="s">
        <v>119</v>
      </c>
      <c r="O40" s="38" t="s">
        <v>119</v>
      </c>
      <c r="P40" s="38" t="s">
        <v>119</v>
      </c>
      <c r="Q40" s="38" t="s">
        <v>119</v>
      </c>
      <c r="R40" s="38" t="s">
        <v>119</v>
      </c>
      <c r="S40" s="38" t="s">
        <v>119</v>
      </c>
      <c r="T40" s="38">
        <v>2800</v>
      </c>
      <c r="V40" s="81">
        <v>2605</v>
      </c>
      <c r="W40" s="38">
        <f t="shared" si="0"/>
        <v>1</v>
      </c>
    </row>
    <row r="41" spans="1:23" x14ac:dyDescent="0.45">
      <c r="A41" s="38">
        <v>46</v>
      </c>
      <c r="B41" s="38" t="s">
        <v>257</v>
      </c>
      <c r="C41" s="38">
        <v>4446.9485000000004</v>
      </c>
      <c r="D41" s="38">
        <v>2606</v>
      </c>
      <c r="E41" s="38">
        <v>0.218802</v>
      </c>
      <c r="F41" s="38">
        <v>2218</v>
      </c>
      <c r="G41" s="38">
        <v>1245</v>
      </c>
      <c r="H41" s="38">
        <v>0.22367400000000001</v>
      </c>
      <c r="I41" s="38">
        <v>1302</v>
      </c>
      <c r="J41" s="38">
        <v>2048</v>
      </c>
      <c r="K41" s="38" t="s">
        <v>119</v>
      </c>
      <c r="L41" s="38">
        <v>116024.508397</v>
      </c>
      <c r="M41" s="38">
        <v>4446.9485000000004</v>
      </c>
      <c r="N41" s="38" t="s">
        <v>119</v>
      </c>
      <c r="O41" s="38" t="s">
        <v>119</v>
      </c>
      <c r="P41" s="38" t="s">
        <v>119</v>
      </c>
      <c r="Q41" s="38" t="s">
        <v>119</v>
      </c>
      <c r="R41" s="38" t="s">
        <v>119</v>
      </c>
      <c r="S41" s="38" t="s">
        <v>119</v>
      </c>
      <c r="T41" s="38">
        <v>2810</v>
      </c>
      <c r="V41" s="81">
        <v>2606</v>
      </c>
      <c r="W41" s="38">
        <f t="shared" si="0"/>
        <v>1</v>
      </c>
    </row>
    <row r="42" spans="1:23" x14ac:dyDescent="0.45">
      <c r="A42" s="38">
        <v>33</v>
      </c>
      <c r="B42" s="38" t="s">
        <v>257</v>
      </c>
      <c r="C42" s="38">
        <v>9115.6038009999993</v>
      </c>
      <c r="D42" s="38">
        <v>2607</v>
      </c>
      <c r="E42" s="38">
        <v>8.7541999999999995E-2</v>
      </c>
      <c r="F42" s="38">
        <v>1665</v>
      </c>
      <c r="G42" s="38">
        <v>867</v>
      </c>
      <c r="H42" s="38">
        <v>8.6444999999999994E-2</v>
      </c>
      <c r="I42" s="38">
        <v>898</v>
      </c>
      <c r="J42" s="38">
        <v>1489</v>
      </c>
      <c r="K42" s="38" t="s">
        <v>119</v>
      </c>
      <c r="L42" s="38">
        <v>112078.70843499999</v>
      </c>
      <c r="M42" s="38">
        <v>9115.6038009999993</v>
      </c>
      <c r="N42" s="38" t="s">
        <v>119</v>
      </c>
      <c r="O42" s="38" t="s">
        <v>119</v>
      </c>
      <c r="P42" s="38" t="s">
        <v>119</v>
      </c>
      <c r="Q42" s="38" t="s">
        <v>119</v>
      </c>
      <c r="R42" s="38" t="s">
        <v>119</v>
      </c>
      <c r="S42" s="38" t="s">
        <v>119</v>
      </c>
      <c r="T42" s="38">
        <v>2797</v>
      </c>
      <c r="V42" s="81">
        <v>2607</v>
      </c>
      <c r="W42" s="38">
        <f t="shared" si="0"/>
        <v>1</v>
      </c>
    </row>
    <row r="43" spans="1:23" x14ac:dyDescent="0.45">
      <c r="A43" s="38">
        <v>48</v>
      </c>
      <c r="B43" s="38" t="s">
        <v>257</v>
      </c>
      <c r="C43" s="38">
        <v>10692.761537</v>
      </c>
      <c r="D43" s="38">
        <v>2608</v>
      </c>
      <c r="E43" s="38">
        <v>0.13841100000000001</v>
      </c>
      <c r="F43" s="38">
        <v>2191</v>
      </c>
      <c r="G43" s="38">
        <v>711</v>
      </c>
      <c r="H43" s="38">
        <v>0.11197600000000001</v>
      </c>
      <c r="I43" s="38">
        <v>777</v>
      </c>
      <c r="J43" s="38">
        <v>1675</v>
      </c>
      <c r="K43" s="38" t="s">
        <v>119</v>
      </c>
      <c r="L43" s="38">
        <v>112062.287079</v>
      </c>
      <c r="M43" s="38">
        <v>10692.761537</v>
      </c>
      <c r="N43" s="38" t="s">
        <v>119</v>
      </c>
      <c r="O43" s="38" t="s">
        <v>119</v>
      </c>
      <c r="P43" s="38" t="s">
        <v>119</v>
      </c>
      <c r="Q43" s="38" t="s">
        <v>119</v>
      </c>
      <c r="R43" s="38" t="s">
        <v>119</v>
      </c>
      <c r="S43" s="38" t="s">
        <v>119</v>
      </c>
      <c r="T43" s="38">
        <v>2812</v>
      </c>
      <c r="V43" s="81">
        <v>2608</v>
      </c>
      <c r="W43" s="38">
        <f t="shared" si="0"/>
        <v>1</v>
      </c>
    </row>
    <row r="44" spans="1:23" x14ac:dyDescent="0.45">
      <c r="A44" s="38">
        <v>40</v>
      </c>
      <c r="B44" s="38" t="s">
        <v>257</v>
      </c>
      <c r="C44" s="38">
        <v>5143.6999420000002</v>
      </c>
      <c r="D44" s="38">
        <v>2609</v>
      </c>
      <c r="E44" s="38">
        <v>0.12384100000000001</v>
      </c>
      <c r="F44" s="38">
        <v>996</v>
      </c>
      <c r="G44" s="38">
        <v>359</v>
      </c>
      <c r="H44" s="38">
        <v>0.104724</v>
      </c>
      <c r="I44" s="38">
        <v>517</v>
      </c>
      <c r="J44" s="38">
        <v>921</v>
      </c>
      <c r="K44" s="38" t="s">
        <v>119</v>
      </c>
      <c r="L44" s="38">
        <v>98998.326048000003</v>
      </c>
      <c r="M44" s="38">
        <v>5143.6999420000002</v>
      </c>
      <c r="N44" s="38" t="s">
        <v>119</v>
      </c>
      <c r="O44" s="38" t="s">
        <v>119</v>
      </c>
      <c r="P44" s="38" t="s">
        <v>119</v>
      </c>
      <c r="Q44" s="38" t="s">
        <v>119</v>
      </c>
      <c r="R44" s="38" t="s">
        <v>119</v>
      </c>
      <c r="S44" s="38" t="s">
        <v>119</v>
      </c>
      <c r="T44" s="38">
        <v>2804</v>
      </c>
      <c r="V44" s="81">
        <v>2609</v>
      </c>
      <c r="W44" s="38">
        <f t="shared" si="0"/>
        <v>1</v>
      </c>
    </row>
    <row r="45" spans="1:23" x14ac:dyDescent="0.45">
      <c r="A45" s="38">
        <v>43</v>
      </c>
      <c r="B45" s="38" t="s">
        <v>257</v>
      </c>
      <c r="C45" s="38">
        <v>6879.1314899999998</v>
      </c>
      <c r="D45" s="38">
        <v>2610</v>
      </c>
      <c r="E45" s="38">
        <v>0.11164200000000001</v>
      </c>
      <c r="F45" s="38">
        <v>1202</v>
      </c>
      <c r="G45" s="38">
        <v>434</v>
      </c>
      <c r="H45" s="38">
        <v>8.8771000000000003E-2</v>
      </c>
      <c r="I45" s="38">
        <v>624</v>
      </c>
      <c r="J45" s="38">
        <v>1082</v>
      </c>
      <c r="K45" s="38" t="s">
        <v>119</v>
      </c>
      <c r="L45" s="38">
        <v>101973.998847</v>
      </c>
      <c r="M45" s="38">
        <v>6879.1314899999998</v>
      </c>
      <c r="N45" s="38" t="s">
        <v>119</v>
      </c>
      <c r="O45" s="38" t="s">
        <v>119</v>
      </c>
      <c r="P45" s="38" t="s">
        <v>119</v>
      </c>
      <c r="Q45" s="38" t="s">
        <v>119</v>
      </c>
      <c r="R45" s="38" t="s">
        <v>119</v>
      </c>
      <c r="S45" s="38" t="s">
        <v>119</v>
      </c>
      <c r="T45" s="38">
        <v>2807</v>
      </c>
      <c r="V45" s="81">
        <v>2610</v>
      </c>
      <c r="W45" s="38">
        <f t="shared" si="0"/>
        <v>1</v>
      </c>
    </row>
    <row r="46" spans="1:23" x14ac:dyDescent="0.45">
      <c r="A46" s="38">
        <v>50</v>
      </c>
      <c r="B46" s="38" t="s">
        <v>257</v>
      </c>
      <c r="C46" s="38">
        <v>18347.534258</v>
      </c>
      <c r="D46" s="38">
        <v>2611</v>
      </c>
      <c r="E46" s="38">
        <v>1.526E-3</v>
      </c>
      <c r="F46" s="38">
        <v>111</v>
      </c>
      <c r="G46" s="38">
        <v>83</v>
      </c>
      <c r="H46" s="38">
        <v>1.3079999999999999E-3</v>
      </c>
      <c r="I46" s="38">
        <v>80</v>
      </c>
      <c r="J46" s="38">
        <v>98</v>
      </c>
      <c r="K46" s="38" t="s">
        <v>119</v>
      </c>
      <c r="L46" s="38">
        <v>73322.916614000002</v>
      </c>
      <c r="M46" s="38">
        <v>18347.534258</v>
      </c>
      <c r="N46" s="38" t="s">
        <v>119</v>
      </c>
      <c r="O46" s="38" t="s">
        <v>119</v>
      </c>
      <c r="P46" s="38" t="s">
        <v>119</v>
      </c>
      <c r="Q46" s="38" t="s">
        <v>119</v>
      </c>
      <c r="R46" s="38" t="s">
        <v>119</v>
      </c>
      <c r="S46" s="38" t="s">
        <v>119</v>
      </c>
      <c r="T46" s="38">
        <v>2814</v>
      </c>
      <c r="V46" s="81">
        <v>2611</v>
      </c>
      <c r="W46" s="38">
        <f t="shared" si="0"/>
        <v>1</v>
      </c>
    </row>
    <row r="47" spans="1:23" x14ac:dyDescent="0.45">
      <c r="A47" s="38">
        <v>52</v>
      </c>
      <c r="B47" s="38" t="s">
        <v>257</v>
      </c>
      <c r="C47" s="38">
        <v>6980.7688440000002</v>
      </c>
      <c r="D47" s="38">
        <v>2612</v>
      </c>
      <c r="E47" s="38">
        <v>6.3746999999999998E-2</v>
      </c>
      <c r="F47" s="38">
        <v>660</v>
      </c>
      <c r="G47" s="38">
        <v>215</v>
      </c>
      <c r="H47" s="38">
        <v>6.4558000000000004E-2</v>
      </c>
      <c r="I47" s="38">
        <v>224</v>
      </c>
      <c r="J47" s="38">
        <v>562</v>
      </c>
      <c r="K47" s="38" t="s">
        <v>119</v>
      </c>
      <c r="L47" s="38">
        <v>95321.460070000001</v>
      </c>
      <c r="M47" s="38">
        <v>6980.7688440000002</v>
      </c>
      <c r="N47" s="38" t="s">
        <v>119</v>
      </c>
      <c r="O47" s="38" t="s">
        <v>119</v>
      </c>
      <c r="P47" s="38" t="s">
        <v>119</v>
      </c>
      <c r="Q47" s="38" t="s">
        <v>119</v>
      </c>
      <c r="R47" s="38" t="s">
        <v>119</v>
      </c>
      <c r="S47" s="38" t="s">
        <v>119</v>
      </c>
      <c r="T47" s="38">
        <v>2816</v>
      </c>
      <c r="V47" s="81">
        <v>2612</v>
      </c>
      <c r="W47" s="38">
        <f t="shared" si="0"/>
        <v>1</v>
      </c>
    </row>
    <row r="48" spans="1:23" x14ac:dyDescent="0.45">
      <c r="A48" s="38">
        <v>45</v>
      </c>
      <c r="B48" s="38" t="s">
        <v>257</v>
      </c>
      <c r="C48" s="38">
        <v>2315.6538580000001</v>
      </c>
      <c r="D48" s="38">
        <v>2613</v>
      </c>
      <c r="E48" s="38">
        <v>0.17532800000000001</v>
      </c>
      <c r="F48" s="38">
        <v>764</v>
      </c>
      <c r="G48" s="38">
        <v>358</v>
      </c>
      <c r="H48" s="38">
        <v>0.18195</v>
      </c>
      <c r="I48" s="38">
        <v>371</v>
      </c>
      <c r="J48" s="38">
        <v>687</v>
      </c>
      <c r="K48" s="38" t="s">
        <v>119</v>
      </c>
      <c r="L48" s="38">
        <v>96167.691130000007</v>
      </c>
      <c r="M48" s="38">
        <v>2315.6538580000001</v>
      </c>
      <c r="N48" s="38" t="s">
        <v>119</v>
      </c>
      <c r="O48" s="38" t="s">
        <v>119</v>
      </c>
      <c r="P48" s="38" t="s">
        <v>119</v>
      </c>
      <c r="Q48" s="38" t="s">
        <v>119</v>
      </c>
      <c r="R48" s="38" t="s">
        <v>119</v>
      </c>
      <c r="S48" s="38" t="s">
        <v>119</v>
      </c>
      <c r="T48" s="38">
        <v>2809</v>
      </c>
      <c r="V48" s="81">
        <v>2613</v>
      </c>
      <c r="W48" s="38">
        <f t="shared" si="0"/>
        <v>1</v>
      </c>
    </row>
    <row r="49" spans="1:23" x14ac:dyDescent="0.45">
      <c r="A49" s="38">
        <v>47</v>
      </c>
      <c r="B49" s="38" t="s">
        <v>257</v>
      </c>
      <c r="C49" s="38">
        <v>7396.7460259999998</v>
      </c>
      <c r="D49" s="38">
        <v>2614</v>
      </c>
      <c r="E49" s="38">
        <v>8.1099999999999998E-4</v>
      </c>
      <c r="F49" s="38">
        <v>82</v>
      </c>
      <c r="G49" s="38">
        <v>76</v>
      </c>
      <c r="H49" s="38">
        <v>1.8000000000000001E-4</v>
      </c>
      <c r="I49" s="38">
        <v>71</v>
      </c>
      <c r="J49" s="38">
        <v>72</v>
      </c>
      <c r="K49" s="38" t="s">
        <v>119</v>
      </c>
      <c r="L49" s="38">
        <v>57711.899308</v>
      </c>
      <c r="M49" s="38">
        <v>7396.7460259999998</v>
      </c>
      <c r="N49" s="38" t="s">
        <v>119</v>
      </c>
      <c r="O49" s="38" t="s">
        <v>119</v>
      </c>
      <c r="P49" s="38" t="s">
        <v>119</v>
      </c>
      <c r="Q49" s="38" t="s">
        <v>119</v>
      </c>
      <c r="R49" s="38" t="s">
        <v>119</v>
      </c>
      <c r="S49" s="38" t="s">
        <v>119</v>
      </c>
      <c r="T49" s="38">
        <v>2811</v>
      </c>
      <c r="V49" s="81">
        <v>2614</v>
      </c>
      <c r="W49" s="38">
        <f t="shared" si="0"/>
        <v>1</v>
      </c>
    </row>
    <row r="50" spans="1:23" x14ac:dyDescent="0.45">
      <c r="A50" s="38">
        <v>42</v>
      </c>
      <c r="B50" s="38" t="s">
        <v>257</v>
      </c>
      <c r="C50" s="38">
        <v>9405.5532939999994</v>
      </c>
      <c r="D50" s="38">
        <v>2615</v>
      </c>
      <c r="E50" s="38">
        <v>8.5800000000000001E-2</v>
      </c>
      <c r="F50" s="38">
        <v>1241</v>
      </c>
      <c r="G50" s="38">
        <v>434</v>
      </c>
      <c r="H50" s="38">
        <v>8.6047999999999999E-2</v>
      </c>
      <c r="I50" s="38">
        <v>497</v>
      </c>
      <c r="J50" s="38">
        <v>1104</v>
      </c>
      <c r="K50" s="38" t="s">
        <v>119</v>
      </c>
      <c r="L50" s="38">
        <v>104503.009486</v>
      </c>
      <c r="M50" s="38">
        <v>9405.5532939999994</v>
      </c>
      <c r="N50" s="38" t="s">
        <v>119</v>
      </c>
      <c r="O50" s="38" t="s">
        <v>119</v>
      </c>
      <c r="P50" s="38" t="s">
        <v>119</v>
      </c>
      <c r="Q50" s="38" t="s">
        <v>119</v>
      </c>
      <c r="R50" s="38" t="s">
        <v>119</v>
      </c>
      <c r="S50" s="38" t="s">
        <v>119</v>
      </c>
      <c r="T50" s="38">
        <v>2806</v>
      </c>
      <c r="V50" s="81">
        <v>2615</v>
      </c>
      <c r="W50" s="38">
        <f t="shared" si="0"/>
        <v>1</v>
      </c>
    </row>
    <row r="51" spans="1:23" x14ac:dyDescent="0.45">
      <c r="A51" s="38">
        <v>60</v>
      </c>
      <c r="B51" s="38" t="s">
        <v>257</v>
      </c>
      <c r="C51" s="38">
        <v>15129.107582000001</v>
      </c>
      <c r="D51" s="38">
        <v>2616</v>
      </c>
      <c r="E51" s="38">
        <v>5.0229999999999997E-3</v>
      </c>
      <c r="F51" s="38">
        <v>155</v>
      </c>
      <c r="G51" s="38">
        <v>79</v>
      </c>
      <c r="H51" s="38">
        <v>4.7590000000000002E-3</v>
      </c>
      <c r="I51" s="38">
        <v>71</v>
      </c>
      <c r="J51" s="38">
        <v>125</v>
      </c>
      <c r="K51" s="38" t="s">
        <v>119</v>
      </c>
      <c r="L51" s="38">
        <v>71155.086528</v>
      </c>
      <c r="M51" s="38">
        <v>15129.107582000001</v>
      </c>
      <c r="N51" s="38" t="s">
        <v>119</v>
      </c>
      <c r="O51" s="38" t="s">
        <v>119</v>
      </c>
      <c r="P51" s="38" t="s">
        <v>119</v>
      </c>
      <c r="Q51" s="38" t="s">
        <v>119</v>
      </c>
      <c r="R51" s="38" t="s">
        <v>119</v>
      </c>
      <c r="S51" s="38" t="s">
        <v>119</v>
      </c>
      <c r="T51" s="38">
        <v>2824</v>
      </c>
      <c r="V51" s="81">
        <v>2616</v>
      </c>
      <c r="W51" s="38">
        <f t="shared" si="0"/>
        <v>1</v>
      </c>
    </row>
    <row r="52" spans="1:23" x14ac:dyDescent="0.45">
      <c r="A52" s="38">
        <v>59</v>
      </c>
      <c r="B52" s="38" t="s">
        <v>257</v>
      </c>
      <c r="C52" s="38">
        <v>7052.3547939999999</v>
      </c>
      <c r="D52" s="38">
        <v>2617</v>
      </c>
      <c r="E52" s="38">
        <v>0.198515</v>
      </c>
      <c r="F52" s="38">
        <v>2197</v>
      </c>
      <c r="G52" s="38">
        <v>797</v>
      </c>
      <c r="H52" s="38">
        <v>0.16864299999999999</v>
      </c>
      <c r="I52" s="38">
        <v>842</v>
      </c>
      <c r="J52" s="38">
        <v>1734</v>
      </c>
      <c r="K52" s="38" t="s">
        <v>119</v>
      </c>
      <c r="L52" s="38">
        <v>109970.408474</v>
      </c>
      <c r="M52" s="38">
        <v>7052.3547939999999</v>
      </c>
      <c r="N52" s="38" t="s">
        <v>119</v>
      </c>
      <c r="O52" s="38" t="s">
        <v>119</v>
      </c>
      <c r="P52" s="38" t="s">
        <v>119</v>
      </c>
      <c r="Q52" s="38" t="s">
        <v>119</v>
      </c>
      <c r="R52" s="38" t="s">
        <v>119</v>
      </c>
      <c r="S52" s="38" t="s">
        <v>119</v>
      </c>
      <c r="T52" s="38">
        <v>2823</v>
      </c>
      <c r="V52" s="81">
        <v>2617</v>
      </c>
      <c r="W52" s="38">
        <f t="shared" si="0"/>
        <v>1</v>
      </c>
    </row>
    <row r="53" spans="1:23" x14ac:dyDescent="0.45">
      <c r="A53" s="38">
        <v>56</v>
      </c>
      <c r="B53" s="38" t="s">
        <v>257</v>
      </c>
      <c r="C53" s="38">
        <v>9496.1625110000004</v>
      </c>
      <c r="D53" s="38">
        <v>2618</v>
      </c>
      <c r="E53" s="38">
        <v>7.3700000000000002E-4</v>
      </c>
      <c r="F53" s="38">
        <v>71</v>
      </c>
      <c r="G53" s="38">
        <v>64</v>
      </c>
      <c r="H53" s="38">
        <v>8.4199999999999998E-4</v>
      </c>
      <c r="I53" s="38">
        <v>65</v>
      </c>
      <c r="J53" s="38">
        <v>71</v>
      </c>
      <c r="K53" s="38" t="s">
        <v>119</v>
      </c>
      <c r="L53" s="38">
        <v>48585.743110000003</v>
      </c>
      <c r="M53" s="38">
        <v>9496.1625110000004</v>
      </c>
      <c r="N53" s="38" t="s">
        <v>119</v>
      </c>
      <c r="O53" s="38" t="s">
        <v>119</v>
      </c>
      <c r="P53" s="38" t="s">
        <v>119</v>
      </c>
      <c r="Q53" s="38" t="s">
        <v>119</v>
      </c>
      <c r="R53" s="38" t="s">
        <v>119</v>
      </c>
      <c r="S53" s="38" t="s">
        <v>119</v>
      </c>
      <c r="T53" s="38">
        <v>2820</v>
      </c>
      <c r="V53" s="81">
        <v>2618</v>
      </c>
      <c r="W53" s="38">
        <f t="shared" si="0"/>
        <v>1</v>
      </c>
    </row>
    <row r="54" spans="1:23" x14ac:dyDescent="0.45">
      <c r="A54" s="38">
        <v>58</v>
      </c>
      <c r="B54" s="38" t="s">
        <v>257</v>
      </c>
      <c r="C54" s="38">
        <v>2381.1868669999999</v>
      </c>
      <c r="D54" s="38">
        <v>2619</v>
      </c>
      <c r="E54" s="38">
        <v>0.123888</v>
      </c>
      <c r="F54" s="38">
        <v>1007</v>
      </c>
      <c r="G54" s="38">
        <v>712</v>
      </c>
      <c r="H54" s="38">
        <v>0.14838499999999999</v>
      </c>
      <c r="I54" s="38">
        <v>723</v>
      </c>
      <c r="J54" s="38">
        <v>988</v>
      </c>
      <c r="K54" s="38" t="s">
        <v>119</v>
      </c>
      <c r="L54" s="38">
        <v>103750.712409</v>
      </c>
      <c r="M54" s="38">
        <v>2381.1868669999999</v>
      </c>
      <c r="N54" s="38" t="s">
        <v>119</v>
      </c>
      <c r="O54" s="38" t="s">
        <v>119</v>
      </c>
      <c r="P54" s="38" t="s">
        <v>119</v>
      </c>
      <c r="Q54" s="38" t="s">
        <v>119</v>
      </c>
      <c r="R54" s="38" t="s">
        <v>119</v>
      </c>
      <c r="S54" s="38" t="s">
        <v>119</v>
      </c>
      <c r="T54" s="38">
        <v>2822</v>
      </c>
      <c r="V54" s="81">
        <v>2619</v>
      </c>
      <c r="W54" s="38">
        <f t="shared" si="0"/>
        <v>1</v>
      </c>
    </row>
    <row r="55" spans="1:23" x14ac:dyDescent="0.45">
      <c r="A55" s="38">
        <v>63</v>
      </c>
      <c r="B55" s="38" t="s">
        <v>257</v>
      </c>
      <c r="C55" s="38">
        <v>5862.7101329999996</v>
      </c>
      <c r="D55" s="38">
        <v>2620</v>
      </c>
      <c r="E55" s="38">
        <v>6.6519999999999999E-3</v>
      </c>
      <c r="F55" s="38">
        <v>144</v>
      </c>
      <c r="G55" s="38">
        <v>105</v>
      </c>
      <c r="H55" s="38">
        <v>4.7759999999999999E-3</v>
      </c>
      <c r="I55" s="38">
        <v>107</v>
      </c>
      <c r="J55" s="38">
        <v>128</v>
      </c>
      <c r="K55" s="38" t="s">
        <v>119</v>
      </c>
      <c r="L55" s="38">
        <v>78385.290347999995</v>
      </c>
      <c r="M55" s="38">
        <v>5862.7101329999996</v>
      </c>
      <c r="N55" s="38" t="s">
        <v>119</v>
      </c>
      <c r="O55" s="38" t="s">
        <v>119</v>
      </c>
      <c r="P55" s="38" t="s">
        <v>119</v>
      </c>
      <c r="Q55" s="38" t="s">
        <v>119</v>
      </c>
      <c r="R55" s="38" t="s">
        <v>119</v>
      </c>
      <c r="S55" s="38" t="s">
        <v>119</v>
      </c>
      <c r="T55" s="38">
        <v>2827</v>
      </c>
      <c r="V55" s="81">
        <v>2620</v>
      </c>
      <c r="W55" s="38">
        <f t="shared" si="0"/>
        <v>1</v>
      </c>
    </row>
    <row r="56" spans="1:23" x14ac:dyDescent="0.45">
      <c r="A56" s="38">
        <v>54</v>
      </c>
      <c r="B56" s="38" t="s">
        <v>257</v>
      </c>
      <c r="C56" s="38">
        <v>5472.9892639999998</v>
      </c>
      <c r="D56" s="38">
        <v>2621</v>
      </c>
      <c r="E56" s="38">
        <v>1.83E-4</v>
      </c>
      <c r="F56" s="38">
        <v>77</v>
      </c>
      <c r="G56" s="38">
        <v>76</v>
      </c>
      <c r="H56" s="38">
        <v>-4.8700000000000002E-4</v>
      </c>
      <c r="I56" s="38">
        <v>72</v>
      </c>
      <c r="J56" s="38">
        <v>70</v>
      </c>
      <c r="K56" s="38" t="s">
        <v>119</v>
      </c>
      <c r="L56" s="38">
        <v>55790.731380999998</v>
      </c>
      <c r="M56" s="38">
        <v>5472.9892639999998</v>
      </c>
      <c r="N56" s="38" t="s">
        <v>119</v>
      </c>
      <c r="O56" s="38" t="s">
        <v>119</v>
      </c>
      <c r="P56" s="38" t="s">
        <v>119</v>
      </c>
      <c r="Q56" s="38" t="s">
        <v>119</v>
      </c>
      <c r="R56" s="38" t="s">
        <v>119</v>
      </c>
      <c r="S56" s="38" t="s">
        <v>119</v>
      </c>
      <c r="T56" s="38">
        <v>2818</v>
      </c>
      <c r="V56" s="81">
        <v>2621</v>
      </c>
      <c r="W56" s="38">
        <f t="shared" si="0"/>
        <v>1</v>
      </c>
    </row>
    <row r="57" spans="1:23" x14ac:dyDescent="0.45">
      <c r="A57" s="38">
        <v>55</v>
      </c>
      <c r="B57" s="38" t="s">
        <v>257</v>
      </c>
      <c r="C57" s="38">
        <v>1147.3795990000001</v>
      </c>
      <c r="D57" s="38">
        <v>2622</v>
      </c>
      <c r="E57" s="38">
        <v>-6.1009999999999997E-3</v>
      </c>
      <c r="F57" s="38">
        <v>76</v>
      </c>
      <c r="G57" s="38">
        <v>83</v>
      </c>
      <c r="H57" s="38">
        <v>-5.8100000000000001E-3</v>
      </c>
      <c r="I57" s="38">
        <v>84</v>
      </c>
      <c r="J57" s="38">
        <v>79</v>
      </c>
      <c r="K57" s="38" t="s">
        <v>119</v>
      </c>
      <c r="L57" s="38">
        <v>56125.350788999996</v>
      </c>
      <c r="M57" s="38">
        <v>1147.3795990000001</v>
      </c>
      <c r="N57" s="38" t="s">
        <v>119</v>
      </c>
      <c r="O57" s="38" t="s">
        <v>119</v>
      </c>
      <c r="P57" s="38" t="s">
        <v>119</v>
      </c>
      <c r="Q57" s="38" t="s">
        <v>119</v>
      </c>
      <c r="R57" s="38" t="s">
        <v>119</v>
      </c>
      <c r="S57" s="38" t="s">
        <v>119</v>
      </c>
      <c r="T57" s="38">
        <v>2819</v>
      </c>
      <c r="V57" s="81">
        <v>2622</v>
      </c>
      <c r="W57" s="38">
        <f t="shared" si="0"/>
        <v>1</v>
      </c>
    </row>
    <row r="58" spans="1:23" x14ac:dyDescent="0.45">
      <c r="A58" s="38">
        <v>57</v>
      </c>
      <c r="B58" s="38" t="s">
        <v>257</v>
      </c>
      <c r="C58" s="38">
        <v>1942.7985189999999</v>
      </c>
      <c r="D58" s="38">
        <v>2623</v>
      </c>
      <c r="E58" s="38">
        <v>4.6319999999999998E-3</v>
      </c>
      <c r="F58" s="38">
        <v>79</v>
      </c>
      <c r="G58" s="38">
        <v>70</v>
      </c>
      <c r="H58" s="38">
        <v>-6.8599999999999998E-4</v>
      </c>
      <c r="I58" s="38">
        <v>73</v>
      </c>
      <c r="J58" s="38">
        <v>72</v>
      </c>
      <c r="K58" s="38" t="s">
        <v>119</v>
      </c>
      <c r="L58" s="38">
        <v>50411.936289999998</v>
      </c>
      <c r="M58" s="38">
        <v>1942.7985189999999</v>
      </c>
      <c r="N58" s="38" t="s">
        <v>119</v>
      </c>
      <c r="O58" s="38" t="s">
        <v>119</v>
      </c>
      <c r="P58" s="38" t="s">
        <v>119</v>
      </c>
      <c r="Q58" s="38" t="s">
        <v>119</v>
      </c>
      <c r="R58" s="38" t="s">
        <v>119</v>
      </c>
      <c r="S58" s="38" t="s">
        <v>119</v>
      </c>
      <c r="T58" s="38">
        <v>2821</v>
      </c>
      <c r="V58" s="81">
        <v>2623</v>
      </c>
      <c r="W58" s="38">
        <f t="shared" si="0"/>
        <v>1</v>
      </c>
    </row>
    <row r="59" spans="1:23" x14ac:dyDescent="0.45">
      <c r="A59" s="38">
        <v>69</v>
      </c>
      <c r="B59" s="38" t="s">
        <v>257</v>
      </c>
      <c r="C59" s="38">
        <v>15077.914402</v>
      </c>
      <c r="D59" s="38">
        <v>2624</v>
      </c>
      <c r="E59" s="38">
        <v>1.3259999999999999E-3</v>
      </c>
      <c r="F59" s="38">
        <v>90</v>
      </c>
      <c r="G59" s="38">
        <v>70</v>
      </c>
      <c r="H59" s="38">
        <v>1.0610000000000001E-3</v>
      </c>
      <c r="I59" s="38">
        <v>66</v>
      </c>
      <c r="J59" s="38">
        <v>78</v>
      </c>
      <c r="K59" s="38" t="s">
        <v>119</v>
      </c>
      <c r="L59" s="38">
        <v>63549.641007999999</v>
      </c>
      <c r="M59" s="38">
        <v>15077.914402</v>
      </c>
      <c r="N59" s="38" t="s">
        <v>119</v>
      </c>
      <c r="O59" s="38" t="s">
        <v>119</v>
      </c>
      <c r="P59" s="38" t="s">
        <v>119</v>
      </c>
      <c r="Q59" s="38" t="s">
        <v>119</v>
      </c>
      <c r="R59" s="38" t="s">
        <v>119</v>
      </c>
      <c r="S59" s="38" t="s">
        <v>119</v>
      </c>
      <c r="T59" s="38">
        <v>2833</v>
      </c>
      <c r="V59" s="81">
        <v>2624</v>
      </c>
      <c r="W59" s="38">
        <f t="shared" si="0"/>
        <v>1</v>
      </c>
    </row>
    <row r="60" spans="1:23" x14ac:dyDescent="0.45">
      <c r="A60" s="38">
        <v>53</v>
      </c>
      <c r="B60" s="38" t="s">
        <v>257</v>
      </c>
      <c r="C60" s="38">
        <v>6708.6494359999997</v>
      </c>
      <c r="D60" s="38">
        <v>2625</v>
      </c>
      <c r="E60" s="38">
        <v>1.0430000000000001E-3</v>
      </c>
      <c r="F60" s="38">
        <v>65</v>
      </c>
      <c r="G60" s="38">
        <v>58</v>
      </c>
      <c r="H60" s="38">
        <v>0</v>
      </c>
      <c r="I60" s="38">
        <v>60</v>
      </c>
      <c r="J60" s="38">
        <v>60</v>
      </c>
      <c r="K60" s="38" t="s">
        <v>119</v>
      </c>
      <c r="L60" s="38">
        <v>39227.784963999999</v>
      </c>
      <c r="M60" s="38">
        <v>6708.6494359999997</v>
      </c>
      <c r="N60" s="38" t="s">
        <v>119</v>
      </c>
      <c r="O60" s="38" t="s">
        <v>119</v>
      </c>
      <c r="P60" s="38" t="s">
        <v>119</v>
      </c>
      <c r="Q60" s="38" t="s">
        <v>119</v>
      </c>
      <c r="R60" s="38" t="s">
        <v>119</v>
      </c>
      <c r="S60" s="38" t="s">
        <v>119</v>
      </c>
      <c r="T60" s="38">
        <v>2817</v>
      </c>
      <c r="V60" s="81">
        <v>2625</v>
      </c>
      <c r="W60" s="38">
        <f t="shared" si="0"/>
        <v>1</v>
      </c>
    </row>
    <row r="61" spans="1:23" x14ac:dyDescent="0.45">
      <c r="A61" s="38">
        <v>51</v>
      </c>
      <c r="B61" s="38" t="s">
        <v>257</v>
      </c>
      <c r="C61" s="38">
        <v>5138.0018909999999</v>
      </c>
      <c r="D61" s="38">
        <v>2626</v>
      </c>
      <c r="E61" s="38">
        <v>5.0019000000000001E-2</v>
      </c>
      <c r="F61" s="38">
        <v>413</v>
      </c>
      <c r="G61" s="38">
        <v>156</v>
      </c>
      <c r="H61" s="38">
        <v>2.5172E-2</v>
      </c>
      <c r="I61" s="38">
        <v>171</v>
      </c>
      <c r="J61" s="38">
        <v>268</v>
      </c>
      <c r="K61" s="38" t="s">
        <v>119</v>
      </c>
      <c r="L61" s="38">
        <v>89426.459172000003</v>
      </c>
      <c r="M61" s="38">
        <v>5138.0018909999999</v>
      </c>
      <c r="N61" s="38" t="s">
        <v>119</v>
      </c>
      <c r="O61" s="38" t="s">
        <v>119</v>
      </c>
      <c r="P61" s="38" t="s">
        <v>119</v>
      </c>
      <c r="Q61" s="38" t="s">
        <v>119</v>
      </c>
      <c r="R61" s="38" t="s">
        <v>119</v>
      </c>
      <c r="S61" s="38" t="s">
        <v>119</v>
      </c>
      <c r="T61" s="38">
        <v>2815</v>
      </c>
      <c r="V61" s="81">
        <v>2626</v>
      </c>
      <c r="W61" s="38">
        <f t="shared" si="0"/>
        <v>1</v>
      </c>
    </row>
    <row r="62" spans="1:23" x14ac:dyDescent="0.45">
      <c r="A62" s="38">
        <v>49</v>
      </c>
      <c r="B62" s="38" t="s">
        <v>257</v>
      </c>
      <c r="C62" s="38">
        <v>6310.794097</v>
      </c>
      <c r="D62" s="38">
        <v>2627</v>
      </c>
      <c r="E62" s="38">
        <v>1.1251000000000001E-2</v>
      </c>
      <c r="F62" s="38">
        <v>197</v>
      </c>
      <c r="G62" s="38">
        <v>126</v>
      </c>
      <c r="H62" s="38">
        <v>4.0140000000000002E-3</v>
      </c>
      <c r="I62" s="38">
        <v>137</v>
      </c>
      <c r="J62" s="38">
        <v>156</v>
      </c>
      <c r="K62" s="38" t="s">
        <v>119</v>
      </c>
      <c r="L62" s="38">
        <v>85903.666966000004</v>
      </c>
      <c r="M62" s="38">
        <v>6310.794097</v>
      </c>
      <c r="N62" s="38" t="s">
        <v>119</v>
      </c>
      <c r="O62" s="38" t="s">
        <v>119</v>
      </c>
      <c r="P62" s="38" t="s">
        <v>119</v>
      </c>
      <c r="Q62" s="38" t="s">
        <v>119</v>
      </c>
      <c r="R62" s="38" t="s">
        <v>119</v>
      </c>
      <c r="S62" s="38" t="s">
        <v>119</v>
      </c>
      <c r="T62" s="38">
        <v>2813</v>
      </c>
      <c r="V62" s="81">
        <v>2627</v>
      </c>
      <c r="W62" s="38">
        <f t="shared" si="0"/>
        <v>1</v>
      </c>
    </row>
    <row r="63" spans="1:23" x14ac:dyDescent="0.45">
      <c r="A63" s="38">
        <v>64</v>
      </c>
      <c r="B63" s="38" t="s">
        <v>257</v>
      </c>
      <c r="C63" s="38">
        <v>5504.2076980000002</v>
      </c>
      <c r="D63" s="38">
        <v>2628</v>
      </c>
      <c r="E63" s="38">
        <v>1.817E-3</v>
      </c>
      <c r="F63" s="38">
        <v>74</v>
      </c>
      <c r="G63" s="38">
        <v>64</v>
      </c>
      <c r="H63" s="38">
        <v>-2.42E-4</v>
      </c>
      <c r="I63" s="38">
        <v>64</v>
      </c>
      <c r="J63" s="38">
        <v>63</v>
      </c>
      <c r="K63" s="38" t="s">
        <v>119</v>
      </c>
      <c r="L63" s="38">
        <v>44596.377131000001</v>
      </c>
      <c r="M63" s="38">
        <v>5504.2076980000002</v>
      </c>
      <c r="N63" s="38" t="s">
        <v>119</v>
      </c>
      <c r="O63" s="38" t="s">
        <v>119</v>
      </c>
      <c r="P63" s="38" t="s">
        <v>119</v>
      </c>
      <c r="Q63" s="38" t="s">
        <v>119</v>
      </c>
      <c r="R63" s="38" t="s">
        <v>119</v>
      </c>
      <c r="S63" s="38" t="s">
        <v>119</v>
      </c>
      <c r="T63" s="38">
        <v>2828</v>
      </c>
      <c r="V63" s="81">
        <v>2628</v>
      </c>
      <c r="W63" s="38">
        <f t="shared" si="0"/>
        <v>1</v>
      </c>
    </row>
    <row r="64" spans="1:23" x14ac:dyDescent="0.45">
      <c r="A64" s="38">
        <v>98</v>
      </c>
      <c r="B64" s="38" t="s">
        <v>257</v>
      </c>
      <c r="C64" s="38">
        <v>16639.754679000001</v>
      </c>
      <c r="D64" s="38">
        <v>2629</v>
      </c>
      <c r="E64" s="38">
        <v>8.9123999999999995E-2</v>
      </c>
      <c r="F64" s="38">
        <v>1697</v>
      </c>
      <c r="G64" s="38">
        <v>214</v>
      </c>
      <c r="H64" s="38">
        <v>5.1123000000000002E-2</v>
      </c>
      <c r="I64" s="38">
        <v>257</v>
      </c>
      <c r="J64" s="38">
        <v>895</v>
      </c>
      <c r="K64" s="38" t="s">
        <v>119</v>
      </c>
      <c r="L64" s="38">
        <v>104977.85707</v>
      </c>
      <c r="M64" s="38">
        <v>16639.754679000001</v>
      </c>
      <c r="N64" s="38" t="s">
        <v>119</v>
      </c>
      <c r="O64" s="38" t="s">
        <v>119</v>
      </c>
      <c r="P64" s="38" t="s">
        <v>119</v>
      </c>
      <c r="Q64" s="38" t="s">
        <v>119</v>
      </c>
      <c r="R64" s="38" t="s">
        <v>119</v>
      </c>
      <c r="S64" s="38" t="s">
        <v>119</v>
      </c>
      <c r="T64" s="38">
        <v>2862</v>
      </c>
      <c r="V64" s="81">
        <v>2629</v>
      </c>
      <c r="W64" s="38">
        <f t="shared" si="0"/>
        <v>1</v>
      </c>
    </row>
    <row r="65" spans="1:23" x14ac:dyDescent="0.45">
      <c r="A65" s="38">
        <v>67</v>
      </c>
      <c r="B65" s="38" t="s">
        <v>257</v>
      </c>
      <c r="C65" s="38">
        <v>6529.6518720000004</v>
      </c>
      <c r="D65" s="38">
        <v>2630</v>
      </c>
      <c r="E65" s="38">
        <v>1.5300000000000001E-4</v>
      </c>
      <c r="F65" s="38">
        <v>71</v>
      </c>
      <c r="G65" s="38">
        <v>70</v>
      </c>
      <c r="H65" s="38">
        <v>-2.04E-4</v>
      </c>
      <c r="I65" s="38">
        <v>71</v>
      </c>
      <c r="J65" s="38">
        <v>70</v>
      </c>
      <c r="K65" s="38" t="s">
        <v>119</v>
      </c>
      <c r="L65" s="38">
        <v>51071.923664000002</v>
      </c>
      <c r="M65" s="38">
        <v>6529.6518720000004</v>
      </c>
      <c r="N65" s="38" t="s">
        <v>119</v>
      </c>
      <c r="O65" s="38" t="s">
        <v>119</v>
      </c>
      <c r="P65" s="38" t="s">
        <v>119</v>
      </c>
      <c r="Q65" s="38" t="s">
        <v>119</v>
      </c>
      <c r="R65" s="38" t="s">
        <v>119</v>
      </c>
      <c r="S65" s="38" t="s">
        <v>119</v>
      </c>
      <c r="T65" s="38">
        <v>2831</v>
      </c>
      <c r="V65" s="81">
        <v>2630</v>
      </c>
      <c r="W65" s="38">
        <f t="shared" si="0"/>
        <v>1</v>
      </c>
    </row>
    <row r="66" spans="1:23" x14ac:dyDescent="0.45">
      <c r="A66" s="38">
        <v>61</v>
      </c>
      <c r="B66" s="38" t="s">
        <v>257</v>
      </c>
      <c r="C66" s="38">
        <v>7245.4135050000004</v>
      </c>
      <c r="D66" s="38">
        <v>2631</v>
      </c>
      <c r="E66" s="38">
        <v>0.20330100000000001</v>
      </c>
      <c r="F66" s="38">
        <v>2270</v>
      </c>
      <c r="G66" s="38">
        <v>797</v>
      </c>
      <c r="H66" s="38">
        <v>0.161021</v>
      </c>
      <c r="I66" s="38">
        <v>879</v>
      </c>
      <c r="J66" s="38">
        <v>1754</v>
      </c>
      <c r="K66" s="38" t="s">
        <v>119</v>
      </c>
      <c r="L66" s="38">
        <v>110166.056019</v>
      </c>
      <c r="M66" s="38">
        <v>7245.4135050000004</v>
      </c>
      <c r="N66" s="38" t="s">
        <v>119</v>
      </c>
      <c r="O66" s="38" t="s">
        <v>119</v>
      </c>
      <c r="P66" s="38" t="s">
        <v>119</v>
      </c>
      <c r="Q66" s="38" t="s">
        <v>119</v>
      </c>
      <c r="R66" s="38" t="s">
        <v>119</v>
      </c>
      <c r="S66" s="38" t="s">
        <v>119</v>
      </c>
      <c r="T66" s="38">
        <v>2825</v>
      </c>
      <c r="V66" s="81">
        <v>2631</v>
      </c>
      <c r="W66" s="38">
        <f t="shared" si="0"/>
        <v>1</v>
      </c>
    </row>
    <row r="67" spans="1:23" x14ac:dyDescent="0.45">
      <c r="A67" s="38">
        <v>90</v>
      </c>
      <c r="B67" s="38" t="s">
        <v>257</v>
      </c>
      <c r="C67" s="38">
        <v>21627.585662000001</v>
      </c>
      <c r="D67" s="38">
        <v>2632</v>
      </c>
      <c r="E67" s="38">
        <v>3.699E-3</v>
      </c>
      <c r="F67" s="38">
        <v>159</v>
      </c>
      <c r="G67" s="38">
        <v>79</v>
      </c>
      <c r="H67" s="38">
        <v>2.898E-3</v>
      </c>
      <c r="I67" s="38">
        <v>78</v>
      </c>
      <c r="J67" s="38">
        <v>125</v>
      </c>
      <c r="K67" s="38" t="s">
        <v>119</v>
      </c>
      <c r="L67" s="38">
        <v>77650.975772999998</v>
      </c>
      <c r="M67" s="38">
        <v>21627.585662000001</v>
      </c>
      <c r="N67" s="38" t="s">
        <v>119</v>
      </c>
      <c r="O67" s="38" t="s">
        <v>119</v>
      </c>
      <c r="P67" s="38" t="s">
        <v>119</v>
      </c>
      <c r="Q67" s="38" t="s">
        <v>119</v>
      </c>
      <c r="R67" s="38" t="s">
        <v>119</v>
      </c>
      <c r="S67" s="38" t="s">
        <v>119</v>
      </c>
      <c r="T67" s="38">
        <v>2854</v>
      </c>
      <c r="V67" s="81">
        <v>2632</v>
      </c>
      <c r="W67" s="38">
        <f t="shared" ref="W67:W130" si="1">IF(V67=D67,1,0)</f>
        <v>1</v>
      </c>
    </row>
    <row r="68" spans="1:23" x14ac:dyDescent="0.45">
      <c r="A68" s="38">
        <v>93</v>
      </c>
      <c r="B68" s="38" t="s">
        <v>257</v>
      </c>
      <c r="C68" s="38">
        <v>7503.4717659999997</v>
      </c>
      <c r="D68" s="38">
        <v>2633</v>
      </c>
      <c r="E68" s="38">
        <v>1.0660000000000001E-3</v>
      </c>
      <c r="F68" s="38">
        <v>78</v>
      </c>
      <c r="G68" s="38">
        <v>70</v>
      </c>
      <c r="H68" s="38">
        <v>1.4220000000000001E-3</v>
      </c>
      <c r="I68" s="38">
        <v>62</v>
      </c>
      <c r="J68" s="38">
        <v>70</v>
      </c>
      <c r="K68" s="38" t="s">
        <v>119</v>
      </c>
      <c r="L68" s="38">
        <v>52048.332392999997</v>
      </c>
      <c r="M68" s="38">
        <v>7503.4717659999997</v>
      </c>
      <c r="N68" s="38" t="s">
        <v>119</v>
      </c>
      <c r="O68" s="38" t="s">
        <v>119</v>
      </c>
      <c r="P68" s="38" t="s">
        <v>119</v>
      </c>
      <c r="Q68" s="38" t="s">
        <v>119</v>
      </c>
      <c r="R68" s="38" t="s">
        <v>119</v>
      </c>
      <c r="S68" s="38" t="s">
        <v>119</v>
      </c>
      <c r="T68" s="38">
        <v>2857</v>
      </c>
      <c r="V68" s="81">
        <v>2633</v>
      </c>
      <c r="W68" s="38">
        <f t="shared" si="1"/>
        <v>1</v>
      </c>
    </row>
    <row r="69" spans="1:23" x14ac:dyDescent="0.45">
      <c r="A69" s="38">
        <v>62</v>
      </c>
      <c r="B69" s="38" t="s">
        <v>257</v>
      </c>
      <c r="C69" s="38">
        <v>3505.006762</v>
      </c>
      <c r="D69" s="38">
        <v>2634</v>
      </c>
      <c r="E69" s="38">
        <v>2.2820000000000002E-3</v>
      </c>
      <c r="F69" s="38">
        <v>62</v>
      </c>
      <c r="G69" s="38">
        <v>54</v>
      </c>
      <c r="H69" s="38">
        <v>0</v>
      </c>
      <c r="I69" s="38">
        <v>54</v>
      </c>
      <c r="J69" s="38">
        <v>54</v>
      </c>
      <c r="K69" s="38" t="s">
        <v>119</v>
      </c>
      <c r="L69" s="38">
        <v>32603.342327999999</v>
      </c>
      <c r="M69" s="38">
        <v>3505.006762</v>
      </c>
      <c r="N69" s="38" t="s">
        <v>119</v>
      </c>
      <c r="O69" s="38" t="s">
        <v>119</v>
      </c>
      <c r="P69" s="38" t="s">
        <v>119</v>
      </c>
      <c r="Q69" s="38" t="s">
        <v>119</v>
      </c>
      <c r="R69" s="38" t="s">
        <v>119</v>
      </c>
      <c r="S69" s="38" t="s">
        <v>119</v>
      </c>
      <c r="T69" s="38">
        <v>2826</v>
      </c>
      <c r="V69" s="81">
        <v>2634</v>
      </c>
      <c r="W69" s="38">
        <f t="shared" si="1"/>
        <v>1</v>
      </c>
    </row>
    <row r="70" spans="1:23" x14ac:dyDescent="0.45">
      <c r="A70" s="38">
        <v>66</v>
      </c>
      <c r="B70" s="38" t="s">
        <v>257</v>
      </c>
      <c r="C70" s="38">
        <v>2125.0446419999998</v>
      </c>
      <c r="D70" s="38">
        <v>2635</v>
      </c>
      <c r="E70" s="38">
        <v>2.823E-3</v>
      </c>
      <c r="F70" s="38">
        <v>64</v>
      </c>
      <c r="G70" s="38">
        <v>58</v>
      </c>
      <c r="H70" s="38">
        <v>-7.5290000000000001E-3</v>
      </c>
      <c r="I70" s="38">
        <v>60</v>
      </c>
      <c r="J70" s="38">
        <v>48</v>
      </c>
      <c r="K70" s="38" t="s">
        <v>119</v>
      </c>
      <c r="L70" s="38">
        <v>34644.180168999999</v>
      </c>
      <c r="M70" s="38">
        <v>2125.0446419999998</v>
      </c>
      <c r="N70" s="38" t="s">
        <v>119</v>
      </c>
      <c r="O70" s="38" t="s">
        <v>119</v>
      </c>
      <c r="P70" s="38" t="s">
        <v>119</v>
      </c>
      <c r="Q70" s="38" t="s">
        <v>119</v>
      </c>
      <c r="R70" s="38" t="s">
        <v>119</v>
      </c>
      <c r="S70" s="38" t="s">
        <v>119</v>
      </c>
      <c r="T70" s="38">
        <v>2830</v>
      </c>
      <c r="V70" s="81">
        <v>2635</v>
      </c>
      <c r="W70" s="38">
        <f t="shared" si="1"/>
        <v>1</v>
      </c>
    </row>
    <row r="71" spans="1:23" x14ac:dyDescent="0.45">
      <c r="A71" s="38">
        <v>110</v>
      </c>
      <c r="B71" s="38" t="s">
        <v>257</v>
      </c>
      <c r="C71" s="38">
        <v>12230.274611999999</v>
      </c>
      <c r="D71" s="38">
        <v>2636</v>
      </c>
      <c r="E71" s="38">
        <v>2.2889999999999998E-3</v>
      </c>
      <c r="F71" s="38">
        <v>89</v>
      </c>
      <c r="G71" s="38">
        <v>61</v>
      </c>
      <c r="H71" s="38">
        <v>1.199E-3</v>
      </c>
      <c r="I71" s="38">
        <v>60</v>
      </c>
      <c r="J71" s="38">
        <v>71</v>
      </c>
      <c r="K71" s="38" t="s">
        <v>119</v>
      </c>
      <c r="L71" s="38">
        <v>46123.674208999997</v>
      </c>
      <c r="M71" s="38">
        <v>12230.274611999999</v>
      </c>
      <c r="N71" s="38" t="s">
        <v>119</v>
      </c>
      <c r="O71" s="38" t="s">
        <v>119</v>
      </c>
      <c r="P71" s="38" t="s">
        <v>119</v>
      </c>
      <c r="Q71" s="38" t="s">
        <v>119</v>
      </c>
      <c r="R71" s="38" t="s">
        <v>119</v>
      </c>
      <c r="S71" s="38" t="s">
        <v>119</v>
      </c>
      <c r="T71" s="38">
        <v>2874</v>
      </c>
      <c r="V71" s="81">
        <v>2636</v>
      </c>
      <c r="W71" s="38">
        <f t="shared" si="1"/>
        <v>1</v>
      </c>
    </row>
    <row r="72" spans="1:23" x14ac:dyDescent="0.45">
      <c r="A72" s="38">
        <v>77</v>
      </c>
      <c r="B72" s="38" t="s">
        <v>257</v>
      </c>
      <c r="C72" s="38">
        <v>9839.6523199999992</v>
      </c>
      <c r="D72" s="38">
        <v>2637</v>
      </c>
      <c r="E72" s="38">
        <v>3.6382999999999999E-2</v>
      </c>
      <c r="F72" s="38">
        <v>490</v>
      </c>
      <c r="G72" s="38">
        <v>132</v>
      </c>
      <c r="H72" s="38">
        <v>3.0217999999999998E-2</v>
      </c>
      <c r="I72" s="38">
        <v>144</v>
      </c>
      <c r="J72" s="38">
        <v>367</v>
      </c>
      <c r="K72" s="38" t="s">
        <v>119</v>
      </c>
      <c r="L72" s="38">
        <v>90707.677605999997</v>
      </c>
      <c r="M72" s="38">
        <v>9839.6523199999992</v>
      </c>
      <c r="N72" s="38" t="s">
        <v>119</v>
      </c>
      <c r="O72" s="38" t="s">
        <v>119</v>
      </c>
      <c r="P72" s="38" t="s">
        <v>119</v>
      </c>
      <c r="Q72" s="38" t="s">
        <v>119</v>
      </c>
      <c r="R72" s="38" t="s">
        <v>119</v>
      </c>
      <c r="S72" s="38" t="s">
        <v>119</v>
      </c>
      <c r="T72" s="38">
        <v>2841</v>
      </c>
      <c r="V72" s="81">
        <v>2637</v>
      </c>
      <c r="W72" s="38">
        <f t="shared" si="1"/>
        <v>1</v>
      </c>
    </row>
    <row r="73" spans="1:23" x14ac:dyDescent="0.45">
      <c r="A73" s="38">
        <v>85</v>
      </c>
      <c r="B73" s="38" t="s">
        <v>257</v>
      </c>
      <c r="C73" s="38">
        <v>7078.9921480000003</v>
      </c>
      <c r="D73" s="38">
        <v>2638</v>
      </c>
      <c r="E73" s="38">
        <v>9.8900000000000008E-4</v>
      </c>
      <c r="F73" s="38">
        <v>80</v>
      </c>
      <c r="G73" s="38">
        <v>73</v>
      </c>
      <c r="H73" s="38">
        <v>7.5299999999999998E-4</v>
      </c>
      <c r="I73" s="38">
        <v>74</v>
      </c>
      <c r="J73" s="38">
        <v>78</v>
      </c>
      <c r="K73" s="38" t="s">
        <v>119</v>
      </c>
      <c r="L73" s="38">
        <v>57981.721638000003</v>
      </c>
      <c r="M73" s="38">
        <v>7078.9921480000003</v>
      </c>
      <c r="N73" s="38" t="s">
        <v>119</v>
      </c>
      <c r="O73" s="38" t="s">
        <v>119</v>
      </c>
      <c r="P73" s="38" t="s">
        <v>119</v>
      </c>
      <c r="Q73" s="38" t="s">
        <v>119</v>
      </c>
      <c r="R73" s="38" t="s">
        <v>119</v>
      </c>
      <c r="S73" s="38" t="s">
        <v>119</v>
      </c>
      <c r="T73" s="38">
        <v>2849</v>
      </c>
      <c r="V73" s="81">
        <v>2638</v>
      </c>
      <c r="W73" s="38">
        <f t="shared" si="1"/>
        <v>1</v>
      </c>
    </row>
    <row r="74" spans="1:23" x14ac:dyDescent="0.45">
      <c r="A74" s="38">
        <v>120</v>
      </c>
      <c r="B74" s="38" t="s">
        <v>257</v>
      </c>
      <c r="C74" s="38">
        <v>15606.696416999999</v>
      </c>
      <c r="D74" s="38">
        <v>2639</v>
      </c>
      <c r="E74" s="38">
        <v>1.5380000000000001E-3</v>
      </c>
      <c r="F74" s="38">
        <v>97</v>
      </c>
      <c r="G74" s="38">
        <v>73</v>
      </c>
      <c r="H74" s="38">
        <v>-2.5599999999999999E-4</v>
      </c>
      <c r="I74" s="38">
        <v>80</v>
      </c>
      <c r="J74" s="38">
        <v>77</v>
      </c>
      <c r="K74" s="38" t="s">
        <v>119</v>
      </c>
      <c r="L74" s="38">
        <v>66506.837071999995</v>
      </c>
      <c r="M74" s="38">
        <v>15606.696416999999</v>
      </c>
      <c r="N74" s="38" t="s">
        <v>119</v>
      </c>
      <c r="O74" s="38" t="s">
        <v>119</v>
      </c>
      <c r="P74" s="38" t="s">
        <v>119</v>
      </c>
      <c r="Q74" s="38" t="s">
        <v>119</v>
      </c>
      <c r="R74" s="38" t="s">
        <v>119</v>
      </c>
      <c r="S74" s="38" t="s">
        <v>119</v>
      </c>
      <c r="T74" s="38">
        <v>2884</v>
      </c>
      <c r="V74" s="81">
        <v>2639</v>
      </c>
      <c r="W74" s="38">
        <f t="shared" si="1"/>
        <v>1</v>
      </c>
    </row>
    <row r="75" spans="1:23" x14ac:dyDescent="0.45">
      <c r="A75" s="38">
        <v>108</v>
      </c>
      <c r="B75" s="38" t="s">
        <v>257</v>
      </c>
      <c r="C75" s="38">
        <v>6017.3674209999999</v>
      </c>
      <c r="D75" s="38">
        <v>2641</v>
      </c>
      <c r="E75" s="38">
        <v>2.3270000000000001E-3</v>
      </c>
      <c r="F75" s="38">
        <v>75</v>
      </c>
      <c r="G75" s="38">
        <v>61</v>
      </c>
      <c r="H75" s="38">
        <v>2.6589999999999999E-3</v>
      </c>
      <c r="I75" s="38">
        <v>54</v>
      </c>
      <c r="J75" s="38">
        <v>66</v>
      </c>
      <c r="K75" s="38" t="s">
        <v>119</v>
      </c>
      <c r="L75" s="38">
        <v>39908.178182000003</v>
      </c>
      <c r="M75" s="38">
        <v>6017.3674209999999</v>
      </c>
      <c r="N75" s="38" t="s">
        <v>119</v>
      </c>
      <c r="O75" s="38" t="s">
        <v>119</v>
      </c>
      <c r="P75" s="38" t="s">
        <v>119</v>
      </c>
      <c r="Q75" s="38" t="s">
        <v>119</v>
      </c>
      <c r="R75" s="38" t="s">
        <v>119</v>
      </c>
      <c r="S75" s="38" t="s">
        <v>119</v>
      </c>
      <c r="T75" s="38">
        <v>2872</v>
      </c>
      <c r="V75" s="81">
        <v>2641</v>
      </c>
      <c r="W75" s="38">
        <f t="shared" si="1"/>
        <v>1</v>
      </c>
    </row>
    <row r="76" spans="1:23" x14ac:dyDescent="0.45">
      <c r="A76" s="38">
        <v>79</v>
      </c>
      <c r="B76" s="38" t="s">
        <v>257</v>
      </c>
      <c r="C76" s="38">
        <v>1099.9684339999999</v>
      </c>
      <c r="D76" s="38">
        <v>2642</v>
      </c>
      <c r="E76" s="38">
        <v>1.2728E-2</v>
      </c>
      <c r="F76" s="38">
        <v>147</v>
      </c>
      <c r="G76" s="38">
        <v>133</v>
      </c>
      <c r="H76" s="38">
        <v>9.6970000000000008E-3</v>
      </c>
      <c r="I76" s="38">
        <v>134</v>
      </c>
      <c r="J76" s="38">
        <v>142</v>
      </c>
      <c r="K76" s="38" t="s">
        <v>119</v>
      </c>
      <c r="L76" s="38">
        <v>81965.404884000003</v>
      </c>
      <c r="M76" s="38">
        <v>1099.9684339999999</v>
      </c>
      <c r="N76" s="38" t="s">
        <v>119</v>
      </c>
      <c r="O76" s="38" t="s">
        <v>119</v>
      </c>
      <c r="P76" s="38" t="s">
        <v>119</v>
      </c>
      <c r="Q76" s="38" t="s">
        <v>119</v>
      </c>
      <c r="R76" s="38" t="s">
        <v>119</v>
      </c>
      <c r="S76" s="38" t="s">
        <v>119</v>
      </c>
      <c r="T76" s="38">
        <v>2843</v>
      </c>
      <c r="V76" s="81">
        <v>2642</v>
      </c>
      <c r="W76" s="38">
        <f t="shared" si="1"/>
        <v>1</v>
      </c>
    </row>
    <row r="77" spans="1:23" x14ac:dyDescent="0.45">
      <c r="A77" s="38">
        <v>76</v>
      </c>
      <c r="B77" s="38" t="s">
        <v>257</v>
      </c>
      <c r="C77" s="38">
        <v>4857.6718049999999</v>
      </c>
      <c r="D77" s="38">
        <v>2644</v>
      </c>
      <c r="E77" s="38">
        <v>0.23818</v>
      </c>
      <c r="F77" s="38">
        <v>1847</v>
      </c>
      <c r="G77" s="38">
        <v>690</v>
      </c>
      <c r="H77" s="38">
        <v>0.244287</v>
      </c>
      <c r="I77" s="38">
        <v>746</v>
      </c>
      <c r="J77" s="38">
        <v>1636</v>
      </c>
      <c r="K77" s="38" t="s">
        <v>119</v>
      </c>
      <c r="L77" s="38">
        <v>105816.98134899999</v>
      </c>
      <c r="M77" s="38">
        <v>4857.6718049999999</v>
      </c>
      <c r="N77" s="38" t="s">
        <v>119</v>
      </c>
      <c r="O77" s="38" t="s">
        <v>119</v>
      </c>
      <c r="P77" s="38" t="s">
        <v>119</v>
      </c>
      <c r="Q77" s="38" t="s">
        <v>119</v>
      </c>
      <c r="R77" s="38" t="s">
        <v>119</v>
      </c>
      <c r="S77" s="38" t="s">
        <v>119</v>
      </c>
      <c r="T77" s="38">
        <v>2840</v>
      </c>
      <c r="V77" s="81">
        <v>2644</v>
      </c>
      <c r="W77" s="38">
        <f t="shared" si="1"/>
        <v>1</v>
      </c>
    </row>
    <row r="78" spans="1:23" x14ac:dyDescent="0.45">
      <c r="A78" s="38">
        <v>107</v>
      </c>
      <c r="B78" s="38" t="s">
        <v>257</v>
      </c>
      <c r="C78" s="38">
        <v>6792.5198369999998</v>
      </c>
      <c r="D78" s="38">
        <v>2645</v>
      </c>
      <c r="E78" s="38">
        <v>1.1042E-2</v>
      </c>
      <c r="F78" s="38">
        <v>205</v>
      </c>
      <c r="G78" s="38">
        <v>130</v>
      </c>
      <c r="H78" s="38">
        <v>9.8150000000000008E-3</v>
      </c>
      <c r="I78" s="38">
        <v>128</v>
      </c>
      <c r="J78" s="38">
        <v>178</v>
      </c>
      <c r="K78" s="38" t="s">
        <v>119</v>
      </c>
      <c r="L78" s="38">
        <v>86166.382515000005</v>
      </c>
      <c r="M78" s="38">
        <v>6792.5198369999998</v>
      </c>
      <c r="N78" s="38" t="s">
        <v>119</v>
      </c>
      <c r="O78" s="38" t="s">
        <v>119</v>
      </c>
      <c r="P78" s="38" t="s">
        <v>119</v>
      </c>
      <c r="Q78" s="38" t="s">
        <v>119</v>
      </c>
      <c r="R78" s="38" t="s">
        <v>119</v>
      </c>
      <c r="S78" s="38" t="s">
        <v>119</v>
      </c>
      <c r="T78" s="38">
        <v>2871</v>
      </c>
      <c r="V78" s="81">
        <v>2645</v>
      </c>
      <c r="W78" s="38">
        <f t="shared" si="1"/>
        <v>1</v>
      </c>
    </row>
    <row r="79" spans="1:23" x14ac:dyDescent="0.45">
      <c r="A79" s="38">
        <v>78</v>
      </c>
      <c r="B79" s="38" t="s">
        <v>257</v>
      </c>
      <c r="C79" s="38">
        <v>267.937861</v>
      </c>
      <c r="D79" s="38">
        <v>2646</v>
      </c>
      <c r="E79" s="38">
        <v>1.1197E-2</v>
      </c>
      <c r="F79" s="38">
        <v>132</v>
      </c>
      <c r="G79" s="38">
        <v>129</v>
      </c>
      <c r="H79" s="38">
        <v>4.9760000000000004E-3</v>
      </c>
      <c r="I79" s="38">
        <v>128</v>
      </c>
      <c r="J79" s="38">
        <v>129</v>
      </c>
      <c r="K79" s="38" t="s">
        <v>119</v>
      </c>
      <c r="L79" s="38">
        <v>79644.389372999998</v>
      </c>
      <c r="M79" s="38">
        <v>267.937861</v>
      </c>
      <c r="N79" s="38" t="s">
        <v>119</v>
      </c>
      <c r="O79" s="38" t="s">
        <v>119</v>
      </c>
      <c r="P79" s="38" t="s">
        <v>119</v>
      </c>
      <c r="Q79" s="38" t="s">
        <v>119</v>
      </c>
      <c r="R79" s="38" t="s">
        <v>119</v>
      </c>
      <c r="S79" s="38" t="s">
        <v>119</v>
      </c>
      <c r="T79" s="38">
        <v>2842</v>
      </c>
      <c r="V79" s="81">
        <v>2646</v>
      </c>
      <c r="W79" s="38">
        <f t="shared" si="1"/>
        <v>1</v>
      </c>
    </row>
    <row r="80" spans="1:23" x14ac:dyDescent="0.45">
      <c r="A80" s="38">
        <v>84</v>
      </c>
      <c r="B80" s="38" t="s">
        <v>257</v>
      </c>
      <c r="C80" s="38">
        <v>3049.3849190000001</v>
      </c>
      <c r="D80" s="38">
        <v>2647</v>
      </c>
      <c r="E80" s="38">
        <v>1.9675999999999999E-2</v>
      </c>
      <c r="F80" s="38">
        <v>186</v>
      </c>
      <c r="G80" s="38">
        <v>126</v>
      </c>
      <c r="H80" s="38">
        <v>9.6190000000000008E-3</v>
      </c>
      <c r="I80" s="38">
        <v>132</v>
      </c>
      <c r="J80" s="38">
        <v>154</v>
      </c>
      <c r="K80" s="38" t="s">
        <v>119</v>
      </c>
      <c r="L80" s="38">
        <v>82639.668953</v>
      </c>
      <c r="M80" s="38">
        <v>3049.3849190000001</v>
      </c>
      <c r="N80" s="38" t="s">
        <v>119</v>
      </c>
      <c r="O80" s="38" t="s">
        <v>119</v>
      </c>
      <c r="P80" s="38" t="s">
        <v>119</v>
      </c>
      <c r="Q80" s="38" t="s">
        <v>119</v>
      </c>
      <c r="R80" s="38" t="s">
        <v>119</v>
      </c>
      <c r="S80" s="38" t="s">
        <v>119</v>
      </c>
      <c r="T80" s="38">
        <v>2848</v>
      </c>
      <c r="V80" s="81">
        <v>2647</v>
      </c>
      <c r="W80" s="38">
        <f t="shared" si="1"/>
        <v>1</v>
      </c>
    </row>
    <row r="81" spans="1:23" x14ac:dyDescent="0.45">
      <c r="A81" s="38">
        <v>99</v>
      </c>
      <c r="B81" s="38" t="s">
        <v>257</v>
      </c>
      <c r="C81" s="38">
        <v>4680.2353869999997</v>
      </c>
      <c r="D81" s="38">
        <v>2648</v>
      </c>
      <c r="E81" s="38">
        <v>7.4780000000000003E-3</v>
      </c>
      <c r="F81" s="38">
        <v>89</v>
      </c>
      <c r="G81" s="38">
        <v>54</v>
      </c>
      <c r="H81" s="38">
        <v>2.849E-3</v>
      </c>
      <c r="I81" s="38">
        <v>53</v>
      </c>
      <c r="J81" s="38">
        <v>63</v>
      </c>
      <c r="K81" s="38" t="s">
        <v>119</v>
      </c>
      <c r="L81" s="38">
        <v>33775.982118</v>
      </c>
      <c r="M81" s="38">
        <v>4680.2353869999997</v>
      </c>
      <c r="N81" s="38" t="s">
        <v>119</v>
      </c>
      <c r="O81" s="38" t="s">
        <v>119</v>
      </c>
      <c r="P81" s="38" t="s">
        <v>119</v>
      </c>
      <c r="Q81" s="38" t="s">
        <v>119</v>
      </c>
      <c r="R81" s="38" t="s">
        <v>119</v>
      </c>
      <c r="S81" s="38" t="s">
        <v>119</v>
      </c>
      <c r="T81" s="38">
        <v>2863</v>
      </c>
      <c r="V81" s="81">
        <v>2648</v>
      </c>
      <c r="W81" s="38">
        <f t="shared" si="1"/>
        <v>1</v>
      </c>
    </row>
    <row r="82" spans="1:23" x14ac:dyDescent="0.45">
      <c r="A82" s="38">
        <v>111</v>
      </c>
      <c r="B82" s="38" t="s">
        <v>257</v>
      </c>
      <c r="C82" s="38">
        <v>6686.9742020000003</v>
      </c>
      <c r="D82" s="38">
        <v>2649</v>
      </c>
      <c r="E82" s="38">
        <v>0.227607</v>
      </c>
      <c r="F82" s="38">
        <v>2211</v>
      </c>
      <c r="G82" s="38">
        <v>689</v>
      </c>
      <c r="H82" s="38">
        <v>0.21115700000000001</v>
      </c>
      <c r="I82" s="38">
        <v>740</v>
      </c>
      <c r="J82" s="38">
        <v>1799</v>
      </c>
      <c r="K82" s="38" t="s">
        <v>119</v>
      </c>
      <c r="L82" s="38">
        <v>107643.694911</v>
      </c>
      <c r="M82" s="38">
        <v>6686.9742020000003</v>
      </c>
      <c r="N82" s="38" t="s">
        <v>119</v>
      </c>
      <c r="O82" s="38" t="s">
        <v>119</v>
      </c>
      <c r="P82" s="38" t="s">
        <v>119</v>
      </c>
      <c r="Q82" s="38" t="s">
        <v>119</v>
      </c>
      <c r="R82" s="38" t="s">
        <v>119</v>
      </c>
      <c r="S82" s="38" t="s">
        <v>119</v>
      </c>
      <c r="T82" s="38">
        <v>2875</v>
      </c>
      <c r="V82" s="81">
        <v>2649</v>
      </c>
      <c r="W82" s="38">
        <f t="shared" si="1"/>
        <v>1</v>
      </c>
    </row>
    <row r="83" spans="1:23" x14ac:dyDescent="0.45">
      <c r="A83" s="38">
        <v>86</v>
      </c>
      <c r="B83" s="38" t="s">
        <v>257</v>
      </c>
      <c r="C83" s="38">
        <v>10265.769292000001</v>
      </c>
      <c r="D83" s="38">
        <v>2650</v>
      </c>
      <c r="E83" s="38">
        <v>4.8700000000000002E-4</v>
      </c>
      <c r="F83" s="38">
        <v>52</v>
      </c>
      <c r="G83" s="38">
        <v>47</v>
      </c>
      <c r="H83" s="38">
        <v>0</v>
      </c>
      <c r="I83" s="38">
        <v>44</v>
      </c>
      <c r="J83" s="38">
        <v>44</v>
      </c>
      <c r="K83" s="38" t="s">
        <v>119</v>
      </c>
      <c r="L83" s="38">
        <v>21198.848289000001</v>
      </c>
      <c r="M83" s="38">
        <v>10265.769292000001</v>
      </c>
      <c r="N83" s="38" t="s">
        <v>119</v>
      </c>
      <c r="O83" s="38" t="s">
        <v>119</v>
      </c>
      <c r="P83" s="38" t="s">
        <v>119</v>
      </c>
      <c r="Q83" s="38" t="s">
        <v>119</v>
      </c>
      <c r="R83" s="38" t="s">
        <v>119</v>
      </c>
      <c r="S83" s="38" t="s">
        <v>119</v>
      </c>
      <c r="T83" s="38">
        <v>2850</v>
      </c>
      <c r="V83" s="81">
        <v>2650</v>
      </c>
      <c r="W83" s="38">
        <f t="shared" si="1"/>
        <v>1</v>
      </c>
    </row>
    <row r="84" spans="1:23" x14ac:dyDescent="0.45">
      <c r="A84" s="38">
        <v>109</v>
      </c>
      <c r="B84" s="38" t="s">
        <v>257</v>
      </c>
      <c r="C84" s="38">
        <v>6382.2407059999996</v>
      </c>
      <c r="D84" s="38">
        <v>2651</v>
      </c>
      <c r="E84" s="38">
        <v>3.1649999999999998E-2</v>
      </c>
      <c r="F84" s="38">
        <v>340</v>
      </c>
      <c r="G84" s="38">
        <v>138</v>
      </c>
      <c r="H84" s="38">
        <v>1.3579000000000001E-2</v>
      </c>
      <c r="I84" s="38">
        <v>140</v>
      </c>
      <c r="J84" s="38">
        <v>205</v>
      </c>
      <c r="K84" s="38" t="s">
        <v>119</v>
      </c>
      <c r="L84" s="38">
        <v>87976.674721999996</v>
      </c>
      <c r="M84" s="38">
        <v>6382.2407059999996</v>
      </c>
      <c r="N84" s="38" t="s">
        <v>119</v>
      </c>
      <c r="O84" s="38" t="s">
        <v>119</v>
      </c>
      <c r="P84" s="38" t="s">
        <v>119</v>
      </c>
      <c r="Q84" s="38" t="s">
        <v>119</v>
      </c>
      <c r="R84" s="38" t="s">
        <v>119</v>
      </c>
      <c r="S84" s="38" t="s">
        <v>119</v>
      </c>
      <c r="T84" s="38">
        <v>2873</v>
      </c>
      <c r="V84" s="81">
        <v>2651</v>
      </c>
      <c r="W84" s="38">
        <f t="shared" si="1"/>
        <v>1</v>
      </c>
    </row>
    <row r="85" spans="1:23" x14ac:dyDescent="0.45">
      <c r="A85" s="38">
        <v>106</v>
      </c>
      <c r="B85" s="38" t="s">
        <v>257</v>
      </c>
      <c r="C85" s="38">
        <v>6659.8295410000001</v>
      </c>
      <c r="D85" s="38">
        <v>2652</v>
      </c>
      <c r="E85" s="38">
        <v>3.003E-3</v>
      </c>
      <c r="F85" s="38">
        <v>70</v>
      </c>
      <c r="G85" s="38">
        <v>50</v>
      </c>
      <c r="H85" s="38">
        <v>1.4009999999999999E-3</v>
      </c>
      <c r="I85" s="38">
        <v>49</v>
      </c>
      <c r="J85" s="38">
        <v>56</v>
      </c>
      <c r="K85" s="38" t="s">
        <v>119</v>
      </c>
      <c r="L85" s="38">
        <v>26912.630753000001</v>
      </c>
      <c r="M85" s="38">
        <v>6659.8295410000001</v>
      </c>
      <c r="N85" s="38" t="s">
        <v>119</v>
      </c>
      <c r="O85" s="38" t="s">
        <v>119</v>
      </c>
      <c r="P85" s="38" t="s">
        <v>119</v>
      </c>
      <c r="Q85" s="38" t="s">
        <v>119</v>
      </c>
      <c r="R85" s="38" t="s">
        <v>119</v>
      </c>
      <c r="S85" s="38" t="s">
        <v>119</v>
      </c>
      <c r="T85" s="38">
        <v>2870</v>
      </c>
      <c r="V85" s="81">
        <v>2652</v>
      </c>
      <c r="W85" s="38">
        <f t="shared" si="1"/>
        <v>1</v>
      </c>
    </row>
    <row r="86" spans="1:23" x14ac:dyDescent="0.45">
      <c r="A86" s="38">
        <v>80</v>
      </c>
      <c r="B86" s="38" t="s">
        <v>257</v>
      </c>
      <c r="C86" s="38">
        <v>5803.2431420000003</v>
      </c>
      <c r="D86" s="38">
        <v>2653</v>
      </c>
      <c r="E86" s="38">
        <v>3.6189999999999998E-3</v>
      </c>
      <c r="F86" s="38">
        <v>101</v>
      </c>
      <c r="G86" s="38">
        <v>80</v>
      </c>
      <c r="H86" s="38">
        <v>3.676E-3</v>
      </c>
      <c r="I86" s="38">
        <v>77</v>
      </c>
      <c r="J86" s="38">
        <v>93</v>
      </c>
      <c r="K86" s="38" t="s">
        <v>119</v>
      </c>
      <c r="L86" s="38">
        <v>68608.766183999993</v>
      </c>
      <c r="M86" s="38">
        <v>5803.2431420000003</v>
      </c>
      <c r="N86" s="38" t="s">
        <v>119</v>
      </c>
      <c r="O86" s="38" t="s">
        <v>119</v>
      </c>
      <c r="P86" s="38" t="s">
        <v>119</v>
      </c>
      <c r="Q86" s="38" t="s">
        <v>119</v>
      </c>
      <c r="R86" s="38" t="s">
        <v>119</v>
      </c>
      <c r="S86" s="38" t="s">
        <v>119</v>
      </c>
      <c r="T86" s="38">
        <v>2844</v>
      </c>
      <c r="V86" s="81">
        <v>2653</v>
      </c>
      <c r="W86" s="38">
        <f t="shared" si="1"/>
        <v>1</v>
      </c>
    </row>
    <row r="87" spans="1:23" x14ac:dyDescent="0.45">
      <c r="A87" s="38">
        <v>130</v>
      </c>
      <c r="B87" s="38" t="s">
        <v>257</v>
      </c>
      <c r="C87" s="38">
        <v>17495.605146999998</v>
      </c>
      <c r="D87" s="38">
        <v>2654</v>
      </c>
      <c r="E87" s="38">
        <v>1.372E-3</v>
      </c>
      <c r="F87" s="38">
        <v>98</v>
      </c>
      <c r="G87" s="38">
        <v>74</v>
      </c>
      <c r="H87" s="38">
        <v>1.2960000000000001E-3</v>
      </c>
      <c r="I87" s="38">
        <v>77</v>
      </c>
      <c r="J87" s="38">
        <v>94</v>
      </c>
      <c r="K87" s="38" t="s">
        <v>119</v>
      </c>
      <c r="L87" s="38">
        <v>75202.510767999993</v>
      </c>
      <c r="M87" s="38">
        <v>17495.605146999998</v>
      </c>
      <c r="N87" s="38" t="s">
        <v>119</v>
      </c>
      <c r="O87" s="38" t="s">
        <v>119</v>
      </c>
      <c r="P87" s="38" t="s">
        <v>119</v>
      </c>
      <c r="Q87" s="38" t="s">
        <v>119</v>
      </c>
      <c r="R87" s="38" t="s">
        <v>119</v>
      </c>
      <c r="S87" s="38" t="s">
        <v>119</v>
      </c>
      <c r="T87" s="38">
        <v>2894</v>
      </c>
      <c r="V87" s="81">
        <v>2654</v>
      </c>
      <c r="W87" s="38">
        <f t="shared" si="1"/>
        <v>1</v>
      </c>
    </row>
    <row r="88" spans="1:23" x14ac:dyDescent="0.45">
      <c r="A88" s="38">
        <v>127</v>
      </c>
      <c r="B88" s="38" t="s">
        <v>257</v>
      </c>
      <c r="C88" s="38">
        <v>7917.01253</v>
      </c>
      <c r="D88" s="38">
        <v>2655</v>
      </c>
      <c r="E88" s="38">
        <v>2.147E-3</v>
      </c>
      <c r="F88" s="38">
        <v>91</v>
      </c>
      <c r="G88" s="38">
        <v>74</v>
      </c>
      <c r="H88" s="38">
        <v>1.3470000000000001E-3</v>
      </c>
      <c r="I88" s="38">
        <v>70</v>
      </c>
      <c r="J88" s="38">
        <v>78</v>
      </c>
      <c r="K88" s="38" t="s">
        <v>119</v>
      </c>
      <c r="L88" s="38">
        <v>65626.506987000001</v>
      </c>
      <c r="M88" s="38">
        <v>7917.01253</v>
      </c>
      <c r="N88" s="38" t="s">
        <v>119</v>
      </c>
      <c r="O88" s="38" t="s">
        <v>119</v>
      </c>
      <c r="P88" s="38" t="s">
        <v>119</v>
      </c>
      <c r="Q88" s="38" t="s">
        <v>119</v>
      </c>
      <c r="R88" s="38" t="s">
        <v>119</v>
      </c>
      <c r="S88" s="38" t="s">
        <v>119</v>
      </c>
      <c r="T88" s="38">
        <v>2891</v>
      </c>
      <c r="V88" s="81">
        <v>2655</v>
      </c>
      <c r="W88" s="38">
        <f t="shared" si="1"/>
        <v>1</v>
      </c>
    </row>
    <row r="89" spans="1:23" x14ac:dyDescent="0.45">
      <c r="A89" s="38">
        <v>92</v>
      </c>
      <c r="B89" s="38" t="s">
        <v>257</v>
      </c>
      <c r="C89" s="38">
        <v>1978.8897899999999</v>
      </c>
      <c r="D89" s="38">
        <v>2656</v>
      </c>
      <c r="E89" s="38">
        <v>3.5370000000000002E-3</v>
      </c>
      <c r="F89" s="38">
        <v>51</v>
      </c>
      <c r="G89" s="38">
        <v>44</v>
      </c>
      <c r="H89" s="38">
        <v>-2.0209999999999998E-3</v>
      </c>
      <c r="I89" s="38">
        <v>45</v>
      </c>
      <c r="J89" s="38">
        <v>42</v>
      </c>
      <c r="K89" s="38" t="s">
        <v>119</v>
      </c>
      <c r="L89" s="38">
        <v>11728.605691999999</v>
      </c>
      <c r="M89" s="38">
        <v>1978.8897899999999</v>
      </c>
      <c r="N89" s="38" t="s">
        <v>119</v>
      </c>
      <c r="O89" s="38" t="s">
        <v>119</v>
      </c>
      <c r="P89" s="38" t="s">
        <v>119</v>
      </c>
      <c r="Q89" s="38" t="s">
        <v>119</v>
      </c>
      <c r="R89" s="38" t="s">
        <v>119</v>
      </c>
      <c r="S89" s="38" t="s">
        <v>119</v>
      </c>
      <c r="T89" s="38">
        <v>2856</v>
      </c>
      <c r="V89" s="81">
        <v>2656</v>
      </c>
      <c r="W89" s="38">
        <f t="shared" si="1"/>
        <v>1</v>
      </c>
    </row>
    <row r="90" spans="1:23" x14ac:dyDescent="0.45">
      <c r="A90" s="38">
        <v>82</v>
      </c>
      <c r="B90" s="38" t="s">
        <v>257</v>
      </c>
      <c r="C90" s="38">
        <v>4907.8242209999999</v>
      </c>
      <c r="D90" s="38">
        <v>2657</v>
      </c>
      <c r="E90" s="38">
        <v>2.0379999999999999E-3</v>
      </c>
      <c r="F90" s="38">
        <v>53</v>
      </c>
      <c r="G90" s="38">
        <v>43</v>
      </c>
      <c r="H90" s="38">
        <v>2.7169999999999998E-3</v>
      </c>
      <c r="I90" s="38">
        <v>39</v>
      </c>
      <c r="J90" s="38">
        <v>49</v>
      </c>
      <c r="K90" s="38" t="s">
        <v>119</v>
      </c>
      <c r="L90" s="38">
        <v>14660.128957999999</v>
      </c>
      <c r="M90" s="38">
        <v>4907.8242209999999</v>
      </c>
      <c r="N90" s="38" t="s">
        <v>119</v>
      </c>
      <c r="O90" s="38" t="s">
        <v>119</v>
      </c>
      <c r="P90" s="38" t="s">
        <v>119</v>
      </c>
      <c r="Q90" s="38" t="s">
        <v>119</v>
      </c>
      <c r="R90" s="38" t="s">
        <v>119</v>
      </c>
      <c r="S90" s="38" t="s">
        <v>119</v>
      </c>
      <c r="T90" s="38">
        <v>2846</v>
      </c>
      <c r="V90" s="81">
        <v>2657</v>
      </c>
      <c r="W90" s="38">
        <f t="shared" si="1"/>
        <v>1</v>
      </c>
    </row>
    <row r="91" spans="1:23" x14ac:dyDescent="0.45">
      <c r="A91" s="38">
        <v>83</v>
      </c>
      <c r="B91" s="38" t="s">
        <v>257</v>
      </c>
      <c r="C91" s="38">
        <v>2634.664049</v>
      </c>
      <c r="D91" s="38">
        <v>2658</v>
      </c>
      <c r="E91" s="38">
        <v>3.0360000000000001E-3</v>
      </c>
      <c r="F91" s="38">
        <v>89</v>
      </c>
      <c r="G91" s="38">
        <v>81</v>
      </c>
      <c r="H91" s="38">
        <v>5.0600000000000005E-4</v>
      </c>
      <c r="I91" s="38">
        <v>80</v>
      </c>
      <c r="J91" s="38">
        <v>81</v>
      </c>
      <c r="K91" s="38" t="s">
        <v>119</v>
      </c>
      <c r="L91" s="38">
        <v>64633.156518999996</v>
      </c>
      <c r="M91" s="38">
        <v>2634.664049</v>
      </c>
      <c r="N91" s="38" t="s">
        <v>119</v>
      </c>
      <c r="O91" s="38" t="s">
        <v>119</v>
      </c>
      <c r="P91" s="38" t="s">
        <v>119</v>
      </c>
      <c r="Q91" s="38" t="s">
        <v>119</v>
      </c>
      <c r="R91" s="38" t="s">
        <v>119</v>
      </c>
      <c r="S91" s="38" t="s">
        <v>119</v>
      </c>
      <c r="T91" s="38">
        <v>2847</v>
      </c>
      <c r="V91" s="81">
        <v>2658</v>
      </c>
      <c r="W91" s="38">
        <f t="shared" si="1"/>
        <v>1</v>
      </c>
    </row>
    <row r="92" spans="1:23" x14ac:dyDescent="0.45">
      <c r="A92" s="38">
        <v>89</v>
      </c>
      <c r="B92" s="38" t="s">
        <v>257</v>
      </c>
      <c r="C92" s="38">
        <v>1649.6004680000001</v>
      </c>
      <c r="D92" s="38">
        <v>2659</v>
      </c>
      <c r="E92" s="38">
        <v>-2.4250000000000001E-3</v>
      </c>
      <c r="F92" s="38">
        <v>41</v>
      </c>
      <c r="G92" s="38">
        <v>45</v>
      </c>
      <c r="H92" s="38">
        <v>-8.0800000000000002E-4</v>
      </c>
      <c r="I92" s="38">
        <v>46</v>
      </c>
      <c r="J92" s="38">
        <v>45</v>
      </c>
      <c r="K92" s="38" t="s">
        <v>119</v>
      </c>
      <c r="L92" s="38">
        <v>9978.8212409999996</v>
      </c>
      <c r="M92" s="38">
        <v>1649.6004680000001</v>
      </c>
      <c r="N92" s="38" t="s">
        <v>119</v>
      </c>
      <c r="O92" s="38" t="s">
        <v>119</v>
      </c>
      <c r="P92" s="38" t="s">
        <v>119</v>
      </c>
      <c r="Q92" s="38" t="s">
        <v>119</v>
      </c>
      <c r="R92" s="38" t="s">
        <v>119</v>
      </c>
      <c r="S92" s="38" t="s">
        <v>119</v>
      </c>
      <c r="T92" s="38">
        <v>2853</v>
      </c>
      <c r="V92" s="81">
        <v>2659</v>
      </c>
      <c r="W92" s="38">
        <f t="shared" si="1"/>
        <v>1</v>
      </c>
    </row>
    <row r="93" spans="1:23" x14ac:dyDescent="0.45">
      <c r="A93" s="38">
        <v>94</v>
      </c>
      <c r="B93" s="38" t="s">
        <v>257</v>
      </c>
      <c r="C93" s="38">
        <v>22525.504133999999</v>
      </c>
      <c r="D93" s="38">
        <v>2660</v>
      </c>
      <c r="E93" s="38">
        <v>5.4516000000000002E-2</v>
      </c>
      <c r="F93" s="38">
        <v>1366</v>
      </c>
      <c r="G93" s="38">
        <v>138</v>
      </c>
      <c r="H93" s="38">
        <v>3.7527999999999999E-2</v>
      </c>
      <c r="I93" s="38">
        <v>149</v>
      </c>
      <c r="J93" s="38">
        <v>783</v>
      </c>
      <c r="K93" s="38" t="s">
        <v>119</v>
      </c>
      <c r="L93" s="38">
        <v>104117.349315</v>
      </c>
      <c r="M93" s="38">
        <v>22525.504133999999</v>
      </c>
      <c r="N93" s="38" t="s">
        <v>119</v>
      </c>
      <c r="O93" s="38" t="s">
        <v>119</v>
      </c>
      <c r="P93" s="38" t="s">
        <v>119</v>
      </c>
      <c r="Q93" s="38" t="s">
        <v>119</v>
      </c>
      <c r="R93" s="38" t="s">
        <v>119</v>
      </c>
      <c r="S93" s="38" t="s">
        <v>119</v>
      </c>
      <c r="T93" s="38">
        <v>2858</v>
      </c>
      <c r="V93" s="81">
        <v>2660</v>
      </c>
      <c r="W93" s="38">
        <f t="shared" si="1"/>
        <v>1</v>
      </c>
    </row>
    <row r="94" spans="1:23" x14ac:dyDescent="0.45">
      <c r="A94" s="38">
        <v>91</v>
      </c>
      <c r="B94" s="38" t="s">
        <v>257</v>
      </c>
      <c r="C94" s="38">
        <v>8358.9542689999998</v>
      </c>
      <c r="D94" s="38">
        <v>2662</v>
      </c>
      <c r="E94" s="38">
        <v>5.9800000000000001E-4</v>
      </c>
      <c r="F94" s="38">
        <v>46</v>
      </c>
      <c r="G94" s="38">
        <v>41</v>
      </c>
      <c r="H94" s="38">
        <v>-1.6000000000000001E-4</v>
      </c>
      <c r="I94" s="38">
        <v>42</v>
      </c>
      <c r="J94" s="38">
        <v>41</v>
      </c>
      <c r="K94" s="38" t="s">
        <v>119</v>
      </c>
      <c r="L94" s="38">
        <v>8483.3261120000006</v>
      </c>
      <c r="M94" s="38">
        <v>8358.9542689999998</v>
      </c>
      <c r="N94" s="38" t="s">
        <v>119</v>
      </c>
      <c r="O94" s="38" t="s">
        <v>119</v>
      </c>
      <c r="P94" s="38" t="s">
        <v>119</v>
      </c>
      <c r="Q94" s="38" t="s">
        <v>119</v>
      </c>
      <c r="R94" s="38" t="s">
        <v>119</v>
      </c>
      <c r="S94" s="38" t="s">
        <v>119</v>
      </c>
      <c r="T94" s="38">
        <v>2855</v>
      </c>
      <c r="V94" s="81">
        <v>2662</v>
      </c>
      <c r="W94" s="38">
        <f t="shared" si="1"/>
        <v>1</v>
      </c>
    </row>
    <row r="95" spans="1:23" x14ac:dyDescent="0.45">
      <c r="A95" s="38">
        <v>116</v>
      </c>
      <c r="B95" s="38" t="s">
        <v>257</v>
      </c>
      <c r="C95" s="38">
        <v>6248.1416810000001</v>
      </c>
      <c r="D95" s="38">
        <v>2663</v>
      </c>
      <c r="E95" s="38">
        <v>9.6000000000000002E-4</v>
      </c>
      <c r="F95" s="38">
        <v>51</v>
      </c>
      <c r="G95" s="38">
        <v>45</v>
      </c>
      <c r="H95" s="38">
        <v>4.2700000000000002E-4</v>
      </c>
      <c r="I95" s="38">
        <v>39</v>
      </c>
      <c r="J95" s="38">
        <v>41</v>
      </c>
      <c r="K95" s="38" t="s">
        <v>119</v>
      </c>
      <c r="L95" s="38">
        <v>14579.951288</v>
      </c>
      <c r="M95" s="38">
        <v>6248.1416810000001</v>
      </c>
      <c r="N95" s="38" t="s">
        <v>119</v>
      </c>
      <c r="O95" s="38" t="s">
        <v>119</v>
      </c>
      <c r="P95" s="38" t="s">
        <v>119</v>
      </c>
      <c r="Q95" s="38" t="s">
        <v>119</v>
      </c>
      <c r="R95" s="38" t="s">
        <v>119</v>
      </c>
      <c r="S95" s="38" t="s">
        <v>119</v>
      </c>
      <c r="T95" s="38">
        <v>2880</v>
      </c>
      <c r="V95" s="81">
        <v>2663</v>
      </c>
      <c r="W95" s="38">
        <f t="shared" si="1"/>
        <v>1</v>
      </c>
    </row>
    <row r="96" spans="1:23" x14ac:dyDescent="0.45">
      <c r="A96" s="38">
        <v>112</v>
      </c>
      <c r="B96" s="38" t="s">
        <v>257</v>
      </c>
      <c r="C96" s="38">
        <v>7455.6164269999999</v>
      </c>
      <c r="D96" s="38">
        <v>2664</v>
      </c>
      <c r="E96" s="38">
        <v>4.0239999999999998E-3</v>
      </c>
      <c r="F96" s="38">
        <v>111</v>
      </c>
      <c r="G96" s="38">
        <v>81</v>
      </c>
      <c r="H96" s="38">
        <v>3.7559999999999998E-3</v>
      </c>
      <c r="I96" s="38">
        <v>79</v>
      </c>
      <c r="J96" s="38">
        <v>100</v>
      </c>
      <c r="K96" s="38" t="s">
        <v>119</v>
      </c>
      <c r="L96" s="38">
        <v>69454.108896999998</v>
      </c>
      <c r="M96" s="38">
        <v>7455.6164269999999</v>
      </c>
      <c r="N96" s="38" t="s">
        <v>119</v>
      </c>
      <c r="O96" s="38" t="s">
        <v>119</v>
      </c>
      <c r="P96" s="38" t="s">
        <v>119</v>
      </c>
      <c r="Q96" s="38" t="s">
        <v>119</v>
      </c>
      <c r="R96" s="38" t="s">
        <v>119</v>
      </c>
      <c r="S96" s="38" t="s">
        <v>119</v>
      </c>
      <c r="T96" s="38">
        <v>2876</v>
      </c>
      <c r="V96" s="81">
        <v>2664</v>
      </c>
      <c r="W96" s="38">
        <f t="shared" si="1"/>
        <v>1</v>
      </c>
    </row>
    <row r="97" spans="1:23" x14ac:dyDescent="0.45">
      <c r="A97" s="38">
        <v>104</v>
      </c>
      <c r="B97" s="38" t="s">
        <v>257</v>
      </c>
      <c r="C97" s="38">
        <v>10908.052846</v>
      </c>
      <c r="D97" s="38">
        <v>2665</v>
      </c>
      <c r="E97" s="38">
        <v>2.8603E-2</v>
      </c>
      <c r="F97" s="38">
        <v>449</v>
      </c>
      <c r="G97" s="38">
        <v>137</v>
      </c>
      <c r="H97" s="38">
        <v>1.1246000000000001E-2</v>
      </c>
      <c r="I97" s="38">
        <v>152</v>
      </c>
      <c r="J97" s="38">
        <v>244</v>
      </c>
      <c r="K97" s="38" t="s">
        <v>119</v>
      </c>
      <c r="L97" s="38">
        <v>88333.171837000002</v>
      </c>
      <c r="M97" s="38">
        <v>10908.052846</v>
      </c>
      <c r="N97" s="38" t="s">
        <v>119</v>
      </c>
      <c r="O97" s="38" t="s">
        <v>119</v>
      </c>
      <c r="P97" s="38" t="s">
        <v>119</v>
      </c>
      <c r="Q97" s="38" t="s">
        <v>119</v>
      </c>
      <c r="R97" s="38" t="s">
        <v>119</v>
      </c>
      <c r="S97" s="38" t="s">
        <v>119</v>
      </c>
      <c r="T97" s="38">
        <v>2868</v>
      </c>
      <c r="V97" s="81">
        <v>2665</v>
      </c>
      <c r="W97" s="38">
        <f t="shared" si="1"/>
        <v>1</v>
      </c>
    </row>
    <row r="98" spans="1:23" x14ac:dyDescent="0.45">
      <c r="A98" s="38">
        <v>117</v>
      </c>
      <c r="B98" s="38" t="s">
        <v>257</v>
      </c>
      <c r="C98" s="38">
        <v>6742.964011</v>
      </c>
      <c r="D98" s="38">
        <v>2666</v>
      </c>
      <c r="E98" s="38">
        <v>1.3051E-2</v>
      </c>
      <c r="F98" s="38">
        <v>225</v>
      </c>
      <c r="G98" s="38">
        <v>137</v>
      </c>
      <c r="H98" s="38">
        <v>1.048E-2</v>
      </c>
      <c r="I98" s="38">
        <v>139</v>
      </c>
      <c r="J98" s="38">
        <v>192</v>
      </c>
      <c r="K98" s="38" t="s">
        <v>119</v>
      </c>
      <c r="L98" s="38">
        <v>84170.671837000002</v>
      </c>
      <c r="M98" s="38">
        <v>6742.964011</v>
      </c>
      <c r="N98" s="38" t="s">
        <v>119</v>
      </c>
      <c r="O98" s="38" t="s">
        <v>119</v>
      </c>
      <c r="P98" s="38" t="s">
        <v>119</v>
      </c>
      <c r="Q98" s="38" t="s">
        <v>119</v>
      </c>
      <c r="R98" s="38" t="s">
        <v>119</v>
      </c>
      <c r="S98" s="38" t="s">
        <v>119</v>
      </c>
      <c r="T98" s="38">
        <v>2881</v>
      </c>
      <c r="V98" s="81">
        <v>2666</v>
      </c>
      <c r="W98" s="38">
        <f t="shared" si="1"/>
        <v>1</v>
      </c>
    </row>
    <row r="99" spans="1:23" x14ac:dyDescent="0.45">
      <c r="A99" s="38">
        <v>97</v>
      </c>
      <c r="B99" s="38" t="s">
        <v>257</v>
      </c>
      <c r="C99" s="38">
        <v>8076.0353480000003</v>
      </c>
      <c r="D99" s="38">
        <v>2667</v>
      </c>
      <c r="E99" s="38">
        <v>1.9810000000000001E-3</v>
      </c>
      <c r="F99" s="38">
        <v>62</v>
      </c>
      <c r="G99" s="38">
        <v>46</v>
      </c>
      <c r="H99" s="38">
        <v>1.4859999999999999E-3</v>
      </c>
      <c r="I99" s="38">
        <v>42</v>
      </c>
      <c r="J99" s="38">
        <v>51</v>
      </c>
      <c r="K99" s="38" t="s">
        <v>119</v>
      </c>
      <c r="L99" s="38">
        <v>19009.114344000001</v>
      </c>
      <c r="M99" s="38">
        <v>8076.0353480000003</v>
      </c>
      <c r="N99" s="38" t="s">
        <v>119</v>
      </c>
      <c r="O99" s="38" t="s">
        <v>119</v>
      </c>
      <c r="P99" s="38" t="s">
        <v>119</v>
      </c>
      <c r="Q99" s="38" t="s">
        <v>119</v>
      </c>
      <c r="R99" s="38" t="s">
        <v>119</v>
      </c>
      <c r="S99" s="38" t="s">
        <v>119</v>
      </c>
      <c r="T99" s="38">
        <v>2861</v>
      </c>
      <c r="V99" s="81">
        <v>2667</v>
      </c>
      <c r="W99" s="38">
        <f t="shared" si="1"/>
        <v>1</v>
      </c>
    </row>
    <row r="100" spans="1:23" x14ac:dyDescent="0.45">
      <c r="A100" s="38">
        <v>96</v>
      </c>
      <c r="B100" s="38" t="s">
        <v>257</v>
      </c>
      <c r="C100" s="38">
        <v>181.06601699999999</v>
      </c>
      <c r="D100" s="38">
        <v>2668</v>
      </c>
      <c r="E100" s="38">
        <v>-2.2091E-2</v>
      </c>
      <c r="F100" s="38">
        <v>38</v>
      </c>
      <c r="G100" s="38">
        <v>42</v>
      </c>
      <c r="H100" s="38">
        <v>-3.6818999999999998E-2</v>
      </c>
      <c r="I100" s="38">
        <v>41</v>
      </c>
      <c r="J100" s="38">
        <v>36</v>
      </c>
      <c r="K100" s="38" t="s">
        <v>119</v>
      </c>
      <c r="L100" s="38">
        <v>181.06601699999999</v>
      </c>
      <c r="M100" s="38">
        <v>181.06601699999999</v>
      </c>
      <c r="N100" s="38" t="s">
        <v>119</v>
      </c>
      <c r="O100" s="38" t="s">
        <v>119</v>
      </c>
      <c r="P100" s="38" t="s">
        <v>119</v>
      </c>
      <c r="Q100" s="38" t="s">
        <v>119</v>
      </c>
      <c r="R100" s="38" t="s">
        <v>119</v>
      </c>
      <c r="S100" s="38" t="s">
        <v>119</v>
      </c>
      <c r="T100" s="38">
        <v>2860</v>
      </c>
      <c r="V100" s="81">
        <v>2668</v>
      </c>
      <c r="W100" s="38">
        <f t="shared" si="1"/>
        <v>1</v>
      </c>
    </row>
    <row r="101" spans="1:23" x14ac:dyDescent="0.45">
      <c r="A101" s="38">
        <v>123</v>
      </c>
      <c r="B101" s="38" t="s">
        <v>257</v>
      </c>
      <c r="C101" s="38">
        <v>4736.8217860000004</v>
      </c>
      <c r="D101" s="38">
        <v>2669</v>
      </c>
      <c r="E101" s="38">
        <v>8.4400000000000002E-4</v>
      </c>
      <c r="F101" s="38">
        <v>45</v>
      </c>
      <c r="G101" s="38">
        <v>41</v>
      </c>
      <c r="H101" s="38">
        <v>0</v>
      </c>
      <c r="I101" s="38">
        <v>33</v>
      </c>
      <c r="J101" s="38">
        <v>33</v>
      </c>
      <c r="K101" s="38" t="s">
        <v>119</v>
      </c>
      <c r="L101" s="38">
        <v>4858.6047939999999</v>
      </c>
      <c r="M101" s="38">
        <v>4736.8217860000004</v>
      </c>
      <c r="N101" s="38" t="s">
        <v>119</v>
      </c>
      <c r="O101" s="38" t="s">
        <v>119</v>
      </c>
      <c r="P101" s="38" t="s">
        <v>119</v>
      </c>
      <c r="Q101" s="38" t="s">
        <v>119</v>
      </c>
      <c r="R101" s="38" t="s">
        <v>119</v>
      </c>
      <c r="S101" s="38" t="s">
        <v>119</v>
      </c>
      <c r="T101" s="38">
        <v>2887</v>
      </c>
      <c r="V101" s="81">
        <v>2669</v>
      </c>
      <c r="W101" s="38">
        <f t="shared" si="1"/>
        <v>1</v>
      </c>
    </row>
    <row r="102" spans="1:23" x14ac:dyDescent="0.45">
      <c r="A102" s="38">
        <v>126</v>
      </c>
      <c r="B102" s="38" t="s">
        <v>257</v>
      </c>
      <c r="C102" s="38">
        <v>10589.791660999999</v>
      </c>
      <c r="D102" s="38">
        <v>2670</v>
      </c>
      <c r="E102" s="38">
        <v>0.170542</v>
      </c>
      <c r="F102" s="38">
        <v>2287</v>
      </c>
      <c r="G102" s="38">
        <v>481</v>
      </c>
      <c r="H102" s="38">
        <v>0.13459499999999999</v>
      </c>
      <c r="I102" s="38">
        <v>575</v>
      </c>
      <c r="J102" s="38">
        <v>1644</v>
      </c>
      <c r="K102" s="38" t="s">
        <v>119</v>
      </c>
      <c r="L102" s="38">
        <v>123495.04050800001</v>
      </c>
      <c r="M102" s="38">
        <v>10589.791660999999</v>
      </c>
      <c r="N102" s="38" t="s">
        <v>119</v>
      </c>
      <c r="O102" s="38" t="s">
        <v>119</v>
      </c>
      <c r="P102" s="38" t="s">
        <v>119</v>
      </c>
      <c r="Q102" s="38" t="s">
        <v>119</v>
      </c>
      <c r="R102" s="38" t="s">
        <v>119</v>
      </c>
      <c r="S102" s="38" t="s">
        <v>119</v>
      </c>
      <c r="T102" s="38">
        <v>2890</v>
      </c>
      <c r="V102" s="81">
        <v>2670</v>
      </c>
      <c r="W102" s="38">
        <f t="shared" si="1"/>
        <v>1</v>
      </c>
    </row>
    <row r="103" spans="1:23" x14ac:dyDescent="0.45">
      <c r="A103" s="38">
        <v>100</v>
      </c>
      <c r="B103" s="38" t="s">
        <v>257</v>
      </c>
      <c r="C103" s="38">
        <v>7781.9358739999998</v>
      </c>
      <c r="D103" s="38">
        <v>2671</v>
      </c>
      <c r="E103" s="38">
        <v>6.7463999999999996E-2</v>
      </c>
      <c r="F103" s="38">
        <v>793</v>
      </c>
      <c r="G103" s="38">
        <v>268</v>
      </c>
      <c r="H103" s="38">
        <v>5.1401000000000002E-2</v>
      </c>
      <c r="I103" s="38">
        <v>283</v>
      </c>
      <c r="J103" s="38">
        <v>583</v>
      </c>
      <c r="K103" s="38" t="s">
        <v>119</v>
      </c>
      <c r="L103" s="38">
        <v>112132.882323</v>
      </c>
      <c r="M103" s="38">
        <v>7781.9358739999998</v>
      </c>
      <c r="N103" s="38" t="s">
        <v>119</v>
      </c>
      <c r="O103" s="38" t="s">
        <v>119</v>
      </c>
      <c r="P103" s="38" t="s">
        <v>119</v>
      </c>
      <c r="Q103" s="38" t="s">
        <v>119</v>
      </c>
      <c r="R103" s="38" t="s">
        <v>119</v>
      </c>
      <c r="S103" s="38" t="s">
        <v>119</v>
      </c>
      <c r="T103" s="38">
        <v>2864</v>
      </c>
      <c r="V103" s="81">
        <v>2671</v>
      </c>
      <c r="W103" s="38">
        <f t="shared" si="1"/>
        <v>1</v>
      </c>
    </row>
    <row r="104" spans="1:23" x14ac:dyDescent="0.45">
      <c r="A104" s="38">
        <v>101</v>
      </c>
      <c r="B104" s="38" t="s">
        <v>257</v>
      </c>
      <c r="C104" s="38">
        <v>5870.9970199999998</v>
      </c>
      <c r="D104" s="38">
        <v>2672</v>
      </c>
      <c r="E104" s="38">
        <v>8.1759999999999992E-3</v>
      </c>
      <c r="F104" s="38">
        <v>157</v>
      </c>
      <c r="G104" s="38">
        <v>109</v>
      </c>
      <c r="H104" s="38">
        <v>2.9520000000000002E-3</v>
      </c>
      <c r="I104" s="38">
        <v>103</v>
      </c>
      <c r="J104" s="38">
        <v>116</v>
      </c>
      <c r="K104" s="38" t="s">
        <v>119</v>
      </c>
      <c r="L104" s="38">
        <v>86817.207729999995</v>
      </c>
      <c r="M104" s="38">
        <v>5870.9970199999998</v>
      </c>
      <c r="N104" s="38" t="s">
        <v>119</v>
      </c>
      <c r="O104" s="38" t="s">
        <v>119</v>
      </c>
      <c r="P104" s="38" t="s">
        <v>119</v>
      </c>
      <c r="Q104" s="38" t="s">
        <v>119</v>
      </c>
      <c r="R104" s="38" t="s">
        <v>119</v>
      </c>
      <c r="S104" s="38" t="s">
        <v>119</v>
      </c>
      <c r="T104" s="38">
        <v>2865</v>
      </c>
      <c r="V104" s="81">
        <v>2672</v>
      </c>
      <c r="W104" s="38">
        <f t="shared" si="1"/>
        <v>1</v>
      </c>
    </row>
    <row r="105" spans="1:23" x14ac:dyDescent="0.45">
      <c r="A105" s="38">
        <v>105</v>
      </c>
      <c r="B105" s="38" t="s">
        <v>257</v>
      </c>
      <c r="C105" s="38">
        <v>5394.067908</v>
      </c>
      <c r="D105" s="38">
        <v>2674</v>
      </c>
      <c r="E105" s="38">
        <v>4.5790999999999998E-2</v>
      </c>
      <c r="F105" s="38">
        <v>450</v>
      </c>
      <c r="G105" s="38">
        <v>203</v>
      </c>
      <c r="H105" s="38">
        <v>1.6067000000000001E-2</v>
      </c>
      <c r="I105" s="38">
        <v>204</v>
      </c>
      <c r="J105" s="38">
        <v>269</v>
      </c>
      <c r="K105" s="38" t="s">
        <v>119</v>
      </c>
      <c r="L105" s="38">
        <v>105327.61537</v>
      </c>
      <c r="M105" s="38">
        <v>5394.067908</v>
      </c>
      <c r="N105" s="38" t="s">
        <v>119</v>
      </c>
      <c r="O105" s="38" t="s">
        <v>119</v>
      </c>
      <c r="P105" s="38" t="s">
        <v>119</v>
      </c>
      <c r="Q105" s="38" t="s">
        <v>119</v>
      </c>
      <c r="R105" s="38" t="s">
        <v>119</v>
      </c>
      <c r="S105" s="38" t="s">
        <v>119</v>
      </c>
      <c r="T105" s="38">
        <v>2869</v>
      </c>
      <c r="V105" s="81">
        <v>2674</v>
      </c>
      <c r="W105" s="38">
        <f t="shared" si="1"/>
        <v>1</v>
      </c>
    </row>
    <row r="106" spans="1:23" x14ac:dyDescent="0.45">
      <c r="A106" s="38">
        <v>124</v>
      </c>
      <c r="B106" s="38" t="s">
        <v>257</v>
      </c>
      <c r="C106" s="38">
        <v>3128.3062749999999</v>
      </c>
      <c r="D106" s="38">
        <v>2675</v>
      </c>
      <c r="E106" s="38">
        <v>1.6941999999999999E-2</v>
      </c>
      <c r="F106" s="38">
        <v>162</v>
      </c>
      <c r="G106" s="38">
        <v>109</v>
      </c>
      <c r="H106" s="38">
        <v>6.3930000000000002E-3</v>
      </c>
      <c r="I106" s="38">
        <v>105</v>
      </c>
      <c r="J106" s="38">
        <v>120</v>
      </c>
      <c r="K106" s="38" t="s">
        <v>119</v>
      </c>
      <c r="L106" s="38">
        <v>84071.928151</v>
      </c>
      <c r="M106" s="38">
        <v>3128.3062749999999</v>
      </c>
      <c r="N106" s="38" t="s">
        <v>119</v>
      </c>
      <c r="O106" s="38" t="s">
        <v>119</v>
      </c>
      <c r="P106" s="38" t="s">
        <v>119</v>
      </c>
      <c r="Q106" s="38" t="s">
        <v>119</v>
      </c>
      <c r="R106" s="38" t="s">
        <v>119</v>
      </c>
      <c r="S106" s="38" t="s">
        <v>119</v>
      </c>
      <c r="T106" s="38">
        <v>2888</v>
      </c>
      <c r="V106" s="81">
        <v>2675</v>
      </c>
      <c r="W106" s="38">
        <f t="shared" si="1"/>
        <v>1</v>
      </c>
    </row>
    <row r="107" spans="1:23" x14ac:dyDescent="0.45">
      <c r="A107" s="38">
        <v>151</v>
      </c>
      <c r="B107" s="38" t="s">
        <v>257</v>
      </c>
      <c r="C107" s="38">
        <v>15200.273266</v>
      </c>
      <c r="D107" s="38">
        <v>2676</v>
      </c>
      <c r="E107" s="38">
        <v>0.117629</v>
      </c>
      <c r="F107" s="38">
        <v>2058</v>
      </c>
      <c r="G107" s="38">
        <v>270</v>
      </c>
      <c r="H107" s="38">
        <v>8.4735000000000005E-2</v>
      </c>
      <c r="I107" s="38">
        <v>306</v>
      </c>
      <c r="J107" s="38">
        <v>1272</v>
      </c>
      <c r="K107" s="38" t="s">
        <v>119</v>
      </c>
      <c r="L107" s="38">
        <v>119548.630881</v>
      </c>
      <c r="M107" s="38">
        <v>15200.273266</v>
      </c>
      <c r="N107" s="38" t="s">
        <v>119</v>
      </c>
      <c r="O107" s="38" t="s">
        <v>119</v>
      </c>
      <c r="P107" s="38" t="s">
        <v>119</v>
      </c>
      <c r="Q107" s="38" t="s">
        <v>119</v>
      </c>
      <c r="R107" s="38" t="s">
        <v>119</v>
      </c>
      <c r="S107" s="38" t="s">
        <v>119</v>
      </c>
      <c r="T107" s="38">
        <v>2915</v>
      </c>
      <c r="V107" s="81">
        <v>2676</v>
      </c>
      <c r="W107" s="38">
        <f t="shared" si="1"/>
        <v>1</v>
      </c>
    </row>
    <row r="108" spans="1:23" x14ac:dyDescent="0.45">
      <c r="A108" s="38">
        <v>95</v>
      </c>
      <c r="B108" s="38" t="s">
        <v>257</v>
      </c>
      <c r="C108" s="38">
        <v>4314.5499620000001</v>
      </c>
      <c r="D108" s="38">
        <v>2677</v>
      </c>
      <c r="E108" s="38">
        <v>0.10939699999999999</v>
      </c>
      <c r="F108" s="38">
        <v>862</v>
      </c>
      <c r="G108" s="38">
        <v>390</v>
      </c>
      <c r="H108" s="38">
        <v>0.126085</v>
      </c>
      <c r="I108" s="38">
        <v>400</v>
      </c>
      <c r="J108" s="38">
        <v>808</v>
      </c>
      <c r="K108" s="38" t="s">
        <v>119</v>
      </c>
      <c r="L108" s="38">
        <v>115200.34444299999</v>
      </c>
      <c r="M108" s="38">
        <v>4314.5499620000001</v>
      </c>
      <c r="N108" s="38" t="s">
        <v>119</v>
      </c>
      <c r="O108" s="38" t="s">
        <v>119</v>
      </c>
      <c r="P108" s="38" t="s">
        <v>119</v>
      </c>
      <c r="Q108" s="38" t="s">
        <v>119</v>
      </c>
      <c r="R108" s="38" t="s">
        <v>119</v>
      </c>
      <c r="S108" s="38" t="s">
        <v>119</v>
      </c>
      <c r="T108" s="38">
        <v>2859</v>
      </c>
      <c r="V108" s="81">
        <v>2677</v>
      </c>
      <c r="W108" s="38">
        <f t="shared" si="1"/>
        <v>1</v>
      </c>
    </row>
    <row r="109" spans="1:23" x14ac:dyDescent="0.45">
      <c r="A109" s="38">
        <v>129</v>
      </c>
      <c r="B109" s="38" t="s">
        <v>257</v>
      </c>
      <c r="C109" s="38">
        <v>7576.6188629999997</v>
      </c>
      <c r="D109" s="38">
        <v>2678</v>
      </c>
      <c r="E109" s="38">
        <v>9.6349999999999995E-3</v>
      </c>
      <c r="F109" s="38">
        <v>172</v>
      </c>
      <c r="G109" s="38">
        <v>99</v>
      </c>
      <c r="H109" s="38">
        <v>8.8000000000000003E-4</v>
      </c>
      <c r="I109" s="38">
        <v>96</v>
      </c>
      <c r="J109" s="38">
        <v>101</v>
      </c>
      <c r="K109" s="38" t="s">
        <v>119</v>
      </c>
      <c r="L109" s="38">
        <v>82705.201962000006</v>
      </c>
      <c r="M109" s="38">
        <v>7576.6188629999997</v>
      </c>
      <c r="N109" s="38" t="s">
        <v>119</v>
      </c>
      <c r="O109" s="38" t="s">
        <v>119</v>
      </c>
      <c r="P109" s="38" t="s">
        <v>119</v>
      </c>
      <c r="Q109" s="38" t="s">
        <v>119</v>
      </c>
      <c r="R109" s="38" t="s">
        <v>119</v>
      </c>
      <c r="S109" s="38" t="s">
        <v>119</v>
      </c>
      <c r="T109" s="38">
        <v>2893</v>
      </c>
      <c r="V109" s="81">
        <v>2678</v>
      </c>
      <c r="W109" s="38">
        <f t="shared" si="1"/>
        <v>1</v>
      </c>
    </row>
    <row r="110" spans="1:23" x14ac:dyDescent="0.45">
      <c r="A110" s="38">
        <v>164</v>
      </c>
      <c r="B110" s="38" t="s">
        <v>257</v>
      </c>
      <c r="C110" s="38">
        <v>21476.403313999999</v>
      </c>
      <c r="D110" s="38">
        <v>2679</v>
      </c>
      <c r="E110" s="38">
        <v>0.102531</v>
      </c>
      <c r="F110" s="38">
        <v>2404</v>
      </c>
      <c r="G110" s="38">
        <v>202</v>
      </c>
      <c r="H110" s="38">
        <v>6.7174999999999999E-2</v>
      </c>
      <c r="I110" s="38">
        <v>247</v>
      </c>
      <c r="J110" s="38">
        <v>1329</v>
      </c>
      <c r="K110" s="38" t="s">
        <v>119</v>
      </c>
      <c r="L110" s="38">
        <v>121407.361941</v>
      </c>
      <c r="M110" s="38">
        <v>21476.403313999999</v>
      </c>
      <c r="N110" s="38" t="s">
        <v>119</v>
      </c>
      <c r="O110" s="38" t="s">
        <v>119</v>
      </c>
      <c r="P110" s="38" t="s">
        <v>119</v>
      </c>
      <c r="Q110" s="38" t="s">
        <v>119</v>
      </c>
      <c r="R110" s="38" t="s">
        <v>119</v>
      </c>
      <c r="S110" s="38" t="s">
        <v>119</v>
      </c>
      <c r="T110" s="38">
        <v>2928</v>
      </c>
      <c r="V110" s="81">
        <v>2679</v>
      </c>
      <c r="W110" s="38">
        <f t="shared" si="1"/>
        <v>1</v>
      </c>
    </row>
    <row r="111" spans="1:23" x14ac:dyDescent="0.45">
      <c r="A111" s="38">
        <v>147</v>
      </c>
      <c r="B111" s="38" t="s">
        <v>257</v>
      </c>
      <c r="C111" s="38">
        <v>11804.194622000001</v>
      </c>
      <c r="D111" s="38">
        <v>2681</v>
      </c>
      <c r="E111" s="38">
        <v>0.125972</v>
      </c>
      <c r="F111" s="38">
        <v>1878</v>
      </c>
      <c r="G111" s="38">
        <v>391</v>
      </c>
      <c r="H111" s="38">
        <v>8.3360000000000004E-2</v>
      </c>
      <c r="I111" s="38">
        <v>438</v>
      </c>
      <c r="J111" s="38">
        <v>1176</v>
      </c>
      <c r="K111" s="38" t="s">
        <v>119</v>
      </c>
      <c r="L111" s="38">
        <v>122689.98910399999</v>
      </c>
      <c r="M111" s="38">
        <v>11804.194622000001</v>
      </c>
      <c r="N111" s="38" t="s">
        <v>119</v>
      </c>
      <c r="O111" s="38" t="s">
        <v>119</v>
      </c>
      <c r="P111" s="38" t="s">
        <v>119</v>
      </c>
      <c r="Q111" s="38" t="s">
        <v>119</v>
      </c>
      <c r="R111" s="38" t="s">
        <v>119</v>
      </c>
      <c r="S111" s="38" t="s">
        <v>119</v>
      </c>
      <c r="T111" s="38">
        <v>2911</v>
      </c>
      <c r="V111" s="81">
        <v>2681</v>
      </c>
      <c r="W111" s="38">
        <f t="shared" si="1"/>
        <v>1</v>
      </c>
    </row>
    <row r="112" spans="1:23" x14ac:dyDescent="0.45">
      <c r="A112" s="38">
        <v>132</v>
      </c>
      <c r="B112" s="38" t="s">
        <v>257</v>
      </c>
      <c r="C112" s="38">
        <v>2197.087841</v>
      </c>
      <c r="D112" s="38">
        <v>2682</v>
      </c>
      <c r="E112" s="38">
        <v>2.7764E-2</v>
      </c>
      <c r="F112" s="38">
        <v>248</v>
      </c>
      <c r="G112" s="38">
        <v>187</v>
      </c>
      <c r="H112" s="38">
        <v>2.9128999999999999E-2</v>
      </c>
      <c r="I112" s="38">
        <v>188</v>
      </c>
      <c r="J112" s="38">
        <v>236</v>
      </c>
      <c r="K112" s="38" t="s">
        <v>119</v>
      </c>
      <c r="L112" s="38">
        <v>100692.018331</v>
      </c>
      <c r="M112" s="38">
        <v>2197.087841</v>
      </c>
      <c r="N112" s="38" t="s">
        <v>119</v>
      </c>
      <c r="O112" s="38" t="s">
        <v>119</v>
      </c>
      <c r="P112" s="38" t="s">
        <v>119</v>
      </c>
      <c r="Q112" s="38" t="s">
        <v>119</v>
      </c>
      <c r="R112" s="38" t="s">
        <v>119</v>
      </c>
      <c r="S112" s="38" t="s">
        <v>119</v>
      </c>
      <c r="T112" s="38">
        <v>2896</v>
      </c>
      <c r="V112" s="81">
        <v>2682</v>
      </c>
      <c r="W112" s="38">
        <f t="shared" si="1"/>
        <v>1</v>
      </c>
    </row>
    <row r="113" spans="1:23" x14ac:dyDescent="0.45">
      <c r="A113" s="38">
        <v>128</v>
      </c>
      <c r="B113" s="38" t="s">
        <v>257</v>
      </c>
      <c r="C113" s="38">
        <v>8533.6363610000008</v>
      </c>
      <c r="D113" s="38">
        <v>2683</v>
      </c>
      <c r="E113" s="38">
        <v>0.19323499999999999</v>
      </c>
      <c r="F113" s="38">
        <v>2131</v>
      </c>
      <c r="G113" s="38">
        <v>482</v>
      </c>
      <c r="H113" s="38">
        <v>0.16952500000000001</v>
      </c>
      <c r="I113" s="38">
        <v>555</v>
      </c>
      <c r="J113" s="38">
        <v>1640</v>
      </c>
      <c r="K113" s="38" t="s">
        <v>119</v>
      </c>
      <c r="L113" s="38">
        <v>121438.885207</v>
      </c>
      <c r="M113" s="38">
        <v>8533.6363610000008</v>
      </c>
      <c r="N113" s="38" t="s">
        <v>119</v>
      </c>
      <c r="O113" s="38" t="s">
        <v>119</v>
      </c>
      <c r="P113" s="38" t="s">
        <v>119</v>
      </c>
      <c r="Q113" s="38" t="s">
        <v>119</v>
      </c>
      <c r="R113" s="38" t="s">
        <v>119</v>
      </c>
      <c r="S113" s="38" t="s">
        <v>119</v>
      </c>
      <c r="T113" s="38">
        <v>2892</v>
      </c>
      <c r="V113" s="81">
        <v>2683</v>
      </c>
      <c r="W113" s="38">
        <f t="shared" si="1"/>
        <v>1</v>
      </c>
    </row>
    <row r="114" spans="1:23" x14ac:dyDescent="0.45">
      <c r="A114" s="38">
        <v>134</v>
      </c>
      <c r="B114" s="38" t="s">
        <v>257</v>
      </c>
      <c r="C114" s="38">
        <v>6926.4795219999996</v>
      </c>
      <c r="D114" s="38">
        <v>2684</v>
      </c>
      <c r="E114" s="38">
        <v>1.011E-3</v>
      </c>
      <c r="F114" s="38">
        <v>106</v>
      </c>
      <c r="G114" s="38">
        <v>99</v>
      </c>
      <c r="H114" s="38">
        <v>1.9250000000000001E-3</v>
      </c>
      <c r="I114" s="38">
        <v>89</v>
      </c>
      <c r="J114" s="38">
        <v>99</v>
      </c>
      <c r="K114" s="38" t="s">
        <v>119</v>
      </c>
      <c r="L114" s="38">
        <v>82057.651454999999</v>
      </c>
      <c r="M114" s="38">
        <v>6926.4795219999996</v>
      </c>
      <c r="N114" s="38" t="s">
        <v>119</v>
      </c>
      <c r="O114" s="38" t="s">
        <v>119</v>
      </c>
      <c r="P114" s="38" t="s">
        <v>119</v>
      </c>
      <c r="Q114" s="38" t="s">
        <v>119</v>
      </c>
      <c r="R114" s="38" t="s">
        <v>119</v>
      </c>
      <c r="S114" s="38" t="s">
        <v>119</v>
      </c>
      <c r="T114" s="38">
        <v>2898</v>
      </c>
      <c r="V114" s="81">
        <v>2684</v>
      </c>
      <c r="W114" s="38">
        <f t="shared" si="1"/>
        <v>1</v>
      </c>
    </row>
    <row r="115" spans="1:23" x14ac:dyDescent="0.45">
      <c r="A115" s="38">
        <v>114</v>
      </c>
      <c r="B115" s="38" t="s">
        <v>257</v>
      </c>
      <c r="C115" s="38">
        <v>5510.0450899999996</v>
      </c>
      <c r="D115" s="38">
        <v>2685</v>
      </c>
      <c r="E115" s="38">
        <v>2.1415E-2</v>
      </c>
      <c r="F115" s="38">
        <v>282</v>
      </c>
      <c r="G115" s="38">
        <v>164</v>
      </c>
      <c r="H115" s="38">
        <v>1.2825E-2</v>
      </c>
      <c r="I115" s="38">
        <v>170</v>
      </c>
      <c r="J115" s="38">
        <v>223</v>
      </c>
      <c r="K115" s="38" t="s">
        <v>119</v>
      </c>
      <c r="L115" s="38">
        <v>101537.145495</v>
      </c>
      <c r="M115" s="38">
        <v>5510.0450899999996</v>
      </c>
      <c r="N115" s="38" t="s">
        <v>119</v>
      </c>
      <c r="O115" s="38" t="s">
        <v>119</v>
      </c>
      <c r="P115" s="38" t="s">
        <v>119</v>
      </c>
      <c r="Q115" s="38" t="s">
        <v>119</v>
      </c>
      <c r="R115" s="38" t="s">
        <v>119</v>
      </c>
      <c r="S115" s="38" t="s">
        <v>119</v>
      </c>
      <c r="T115" s="38">
        <v>2878</v>
      </c>
      <c r="V115" s="81">
        <v>2685</v>
      </c>
      <c r="W115" s="38">
        <f t="shared" si="1"/>
        <v>1</v>
      </c>
    </row>
    <row r="116" spans="1:23" x14ac:dyDescent="0.45">
      <c r="A116" s="38">
        <v>146</v>
      </c>
      <c r="B116" s="38" t="s">
        <v>257</v>
      </c>
      <c r="C116" s="38">
        <v>8553.4586909999998</v>
      </c>
      <c r="D116" s="38">
        <v>2687</v>
      </c>
      <c r="E116" s="38">
        <v>0.10299899999999999</v>
      </c>
      <c r="F116" s="38">
        <v>1068</v>
      </c>
      <c r="G116" s="38">
        <v>187</v>
      </c>
      <c r="H116" s="38">
        <v>4.7388E-2</v>
      </c>
      <c r="I116" s="38">
        <v>207</v>
      </c>
      <c r="J116" s="38">
        <v>511</v>
      </c>
      <c r="K116" s="38" t="s">
        <v>119</v>
      </c>
      <c r="L116" s="38">
        <v>107048.38918100001</v>
      </c>
      <c r="M116" s="38">
        <v>8553.4586909999998</v>
      </c>
      <c r="N116" s="38" t="s">
        <v>119</v>
      </c>
      <c r="O116" s="38" t="s">
        <v>119</v>
      </c>
      <c r="P116" s="38" t="s">
        <v>119</v>
      </c>
      <c r="Q116" s="38" t="s">
        <v>119</v>
      </c>
      <c r="R116" s="38" t="s">
        <v>119</v>
      </c>
      <c r="S116" s="38" t="s">
        <v>119</v>
      </c>
      <c r="T116" s="38">
        <v>2910</v>
      </c>
      <c r="V116" s="81">
        <v>2687</v>
      </c>
      <c r="W116" s="38">
        <f t="shared" si="1"/>
        <v>1</v>
      </c>
    </row>
    <row r="117" spans="1:23" x14ac:dyDescent="0.45">
      <c r="A117" s="38">
        <v>119</v>
      </c>
      <c r="B117" s="38" t="s">
        <v>257</v>
      </c>
      <c r="C117" s="38">
        <v>5109.372292</v>
      </c>
      <c r="D117" s="38">
        <v>2688</v>
      </c>
      <c r="E117" s="38">
        <v>2.0355000000000002E-2</v>
      </c>
      <c r="F117" s="38">
        <v>242</v>
      </c>
      <c r="G117" s="38">
        <v>138</v>
      </c>
      <c r="H117" s="38">
        <v>4.6969999999999998E-3</v>
      </c>
      <c r="I117" s="38">
        <v>147</v>
      </c>
      <c r="J117" s="38">
        <v>165</v>
      </c>
      <c r="K117" s="38" t="s">
        <v>119</v>
      </c>
      <c r="L117" s="38">
        <v>97552.221254000004</v>
      </c>
      <c r="M117" s="38">
        <v>5109.372292</v>
      </c>
      <c r="N117" s="38" t="s">
        <v>119</v>
      </c>
      <c r="O117" s="38" t="s">
        <v>119</v>
      </c>
      <c r="P117" s="38" t="s">
        <v>119</v>
      </c>
      <c r="Q117" s="38" t="s">
        <v>119</v>
      </c>
      <c r="R117" s="38" t="s">
        <v>119</v>
      </c>
      <c r="S117" s="38" t="s">
        <v>119</v>
      </c>
      <c r="T117" s="38">
        <v>2883</v>
      </c>
      <c r="V117" s="81">
        <v>2688</v>
      </c>
      <c r="W117" s="38">
        <f t="shared" si="1"/>
        <v>1</v>
      </c>
    </row>
    <row r="118" spans="1:23" x14ac:dyDescent="0.45">
      <c r="A118" s="38">
        <v>136</v>
      </c>
      <c r="B118" s="38" t="s">
        <v>257</v>
      </c>
      <c r="C118" s="38">
        <v>1694.3465900000001</v>
      </c>
      <c r="D118" s="38">
        <v>2689</v>
      </c>
      <c r="E118" s="38">
        <v>2.5378999999999999E-2</v>
      </c>
      <c r="F118" s="38">
        <v>218</v>
      </c>
      <c r="G118" s="38">
        <v>175</v>
      </c>
      <c r="H118" s="38">
        <v>1.8099000000000001E-2</v>
      </c>
      <c r="I118" s="38">
        <v>176</v>
      </c>
      <c r="J118" s="38">
        <v>199</v>
      </c>
      <c r="K118" s="38" t="s">
        <v>119</v>
      </c>
      <c r="L118" s="38">
        <v>99281.878542000006</v>
      </c>
      <c r="M118" s="38">
        <v>1694.3465900000001</v>
      </c>
      <c r="N118" s="38" t="s">
        <v>119</v>
      </c>
      <c r="O118" s="38" t="s">
        <v>119</v>
      </c>
      <c r="P118" s="38" t="s">
        <v>119</v>
      </c>
      <c r="Q118" s="38" t="s">
        <v>119</v>
      </c>
      <c r="R118" s="38" t="s">
        <v>119</v>
      </c>
      <c r="S118" s="38" t="s">
        <v>119</v>
      </c>
      <c r="T118" s="38">
        <v>2900</v>
      </c>
      <c r="V118" s="81">
        <v>2689</v>
      </c>
      <c r="W118" s="38">
        <f t="shared" si="1"/>
        <v>1</v>
      </c>
    </row>
    <row r="119" spans="1:23" x14ac:dyDescent="0.45">
      <c r="A119" s="38">
        <v>138</v>
      </c>
      <c r="B119" s="38" t="s">
        <v>257</v>
      </c>
      <c r="C119" s="38">
        <v>2143.9024159999999</v>
      </c>
      <c r="D119" s="38">
        <v>2690</v>
      </c>
      <c r="E119" s="38">
        <v>1.4926E-2</v>
      </c>
      <c r="F119" s="38">
        <v>196</v>
      </c>
      <c r="G119" s="38">
        <v>164</v>
      </c>
      <c r="H119" s="38">
        <v>1.4304000000000001E-2</v>
      </c>
      <c r="I119" s="38">
        <v>162</v>
      </c>
      <c r="J119" s="38">
        <v>185</v>
      </c>
      <c r="K119" s="38" t="s">
        <v>119</v>
      </c>
      <c r="L119" s="38">
        <v>98208.502819999994</v>
      </c>
      <c r="M119" s="38">
        <v>2143.9024159999999</v>
      </c>
      <c r="N119" s="38" t="s">
        <v>119</v>
      </c>
      <c r="O119" s="38" t="s">
        <v>119</v>
      </c>
      <c r="P119" s="38" t="s">
        <v>119</v>
      </c>
      <c r="Q119" s="38" t="s">
        <v>119</v>
      </c>
      <c r="R119" s="38" t="s">
        <v>119</v>
      </c>
      <c r="S119" s="38" t="s">
        <v>119</v>
      </c>
      <c r="T119" s="38">
        <v>2902</v>
      </c>
      <c r="V119" s="81">
        <v>2690</v>
      </c>
      <c r="W119" s="38">
        <f t="shared" si="1"/>
        <v>1</v>
      </c>
    </row>
    <row r="120" spans="1:23" x14ac:dyDescent="0.45">
      <c r="A120" s="38">
        <v>133</v>
      </c>
      <c r="B120" s="38" t="s">
        <v>257</v>
      </c>
      <c r="C120" s="38">
        <v>7265.0072110000001</v>
      </c>
      <c r="D120" s="38">
        <v>2691</v>
      </c>
      <c r="E120" s="38">
        <v>4.8180000000000002E-3</v>
      </c>
      <c r="F120" s="38">
        <v>137</v>
      </c>
      <c r="G120" s="38">
        <v>102</v>
      </c>
      <c r="H120" s="38">
        <v>3.8539999999999998E-3</v>
      </c>
      <c r="I120" s="38">
        <v>104</v>
      </c>
      <c r="J120" s="38">
        <v>125</v>
      </c>
      <c r="K120" s="38" t="s">
        <v>119</v>
      </c>
      <c r="L120" s="38">
        <v>88164.847519999996</v>
      </c>
      <c r="M120" s="38">
        <v>7265.0072110000001</v>
      </c>
      <c r="N120" s="38" t="s">
        <v>119</v>
      </c>
      <c r="O120" s="38" t="s">
        <v>119</v>
      </c>
      <c r="P120" s="38" t="s">
        <v>119</v>
      </c>
      <c r="Q120" s="38" t="s">
        <v>119</v>
      </c>
      <c r="R120" s="38" t="s">
        <v>119</v>
      </c>
      <c r="S120" s="38" t="s">
        <v>119</v>
      </c>
      <c r="T120" s="38">
        <v>2897</v>
      </c>
      <c r="V120" s="81">
        <v>2691</v>
      </c>
      <c r="W120" s="38">
        <f t="shared" si="1"/>
        <v>1</v>
      </c>
    </row>
    <row r="121" spans="1:23" x14ac:dyDescent="0.45">
      <c r="A121" s="38">
        <v>135</v>
      </c>
      <c r="B121" s="38" t="s">
        <v>257</v>
      </c>
      <c r="C121" s="38">
        <v>66.605339000000001</v>
      </c>
      <c r="D121" s="38">
        <v>2692</v>
      </c>
      <c r="E121" s="38">
        <v>-0.105097</v>
      </c>
      <c r="F121" s="38">
        <v>157</v>
      </c>
      <c r="G121" s="38">
        <v>164</v>
      </c>
      <c r="H121" s="38">
        <v>-6.0054999999999997E-2</v>
      </c>
      <c r="I121" s="38">
        <v>163</v>
      </c>
      <c r="J121" s="38">
        <v>160</v>
      </c>
      <c r="K121" s="38" t="s">
        <v>119</v>
      </c>
      <c r="L121" s="38">
        <v>96093.705742999999</v>
      </c>
      <c r="M121" s="38">
        <v>66.605339000000001</v>
      </c>
      <c r="N121" s="38" t="s">
        <v>119</v>
      </c>
      <c r="O121" s="38" t="s">
        <v>119</v>
      </c>
      <c r="P121" s="38" t="s">
        <v>119</v>
      </c>
      <c r="Q121" s="38" t="s">
        <v>119</v>
      </c>
      <c r="R121" s="38" t="s">
        <v>119</v>
      </c>
      <c r="S121" s="38" t="s">
        <v>119</v>
      </c>
      <c r="T121" s="38">
        <v>2899</v>
      </c>
      <c r="V121" s="81">
        <v>2692</v>
      </c>
      <c r="W121" s="38">
        <f t="shared" si="1"/>
        <v>1</v>
      </c>
    </row>
    <row r="122" spans="1:23" x14ac:dyDescent="0.45">
      <c r="A122" s="38">
        <v>137</v>
      </c>
      <c r="B122" s="38" t="s">
        <v>257</v>
      </c>
      <c r="C122" s="38">
        <v>701.96067800000003</v>
      </c>
      <c r="D122" s="38">
        <v>2693</v>
      </c>
      <c r="E122" s="38">
        <v>1.7094999999999999E-2</v>
      </c>
      <c r="F122" s="38">
        <v>175</v>
      </c>
      <c r="G122" s="38">
        <v>163</v>
      </c>
      <c r="H122" s="38">
        <v>1.1396999999999999E-2</v>
      </c>
      <c r="I122" s="38">
        <v>162</v>
      </c>
      <c r="J122" s="38">
        <v>168</v>
      </c>
      <c r="K122" s="38" t="s">
        <v>119</v>
      </c>
      <c r="L122" s="38">
        <v>96766.561082</v>
      </c>
      <c r="M122" s="38">
        <v>701.96067800000003</v>
      </c>
      <c r="N122" s="38" t="s">
        <v>119</v>
      </c>
      <c r="O122" s="38" t="s">
        <v>119</v>
      </c>
      <c r="P122" s="38" t="s">
        <v>119</v>
      </c>
      <c r="Q122" s="38" t="s">
        <v>119</v>
      </c>
      <c r="R122" s="38" t="s">
        <v>119</v>
      </c>
      <c r="S122" s="38" t="s">
        <v>119</v>
      </c>
      <c r="T122" s="38">
        <v>2901</v>
      </c>
      <c r="V122" s="81">
        <v>2693</v>
      </c>
      <c r="W122" s="38">
        <f t="shared" si="1"/>
        <v>1</v>
      </c>
    </row>
    <row r="123" spans="1:23" x14ac:dyDescent="0.45">
      <c r="A123" s="38">
        <v>153</v>
      </c>
      <c r="B123" s="38" t="s">
        <v>257</v>
      </c>
      <c r="C123" s="38">
        <v>9503.1538579999997</v>
      </c>
      <c r="D123" s="38">
        <v>2694</v>
      </c>
      <c r="E123" s="38">
        <v>8.9760000000000006E-2</v>
      </c>
      <c r="F123" s="38">
        <v>1020</v>
      </c>
      <c r="G123" s="38">
        <v>167</v>
      </c>
      <c r="H123" s="38">
        <v>3.0165000000000001E-2</v>
      </c>
      <c r="I123" s="38">
        <v>181</v>
      </c>
      <c r="J123" s="38">
        <v>396</v>
      </c>
      <c r="K123" s="38" t="s">
        <v>119</v>
      </c>
      <c r="L123" s="38">
        <v>106155.254263</v>
      </c>
      <c r="M123" s="38">
        <v>9503.1538579999997</v>
      </c>
      <c r="N123" s="38" t="s">
        <v>119</v>
      </c>
      <c r="O123" s="38" t="s">
        <v>119</v>
      </c>
      <c r="P123" s="38" t="s">
        <v>119</v>
      </c>
      <c r="Q123" s="38" t="s">
        <v>119</v>
      </c>
      <c r="R123" s="38" t="s">
        <v>119</v>
      </c>
      <c r="S123" s="38" t="s">
        <v>119</v>
      </c>
      <c r="T123" s="38">
        <v>2917</v>
      </c>
      <c r="V123" s="81">
        <v>2694</v>
      </c>
      <c r="W123" s="38">
        <f t="shared" si="1"/>
        <v>1</v>
      </c>
    </row>
    <row r="124" spans="1:23" x14ac:dyDescent="0.45">
      <c r="A124" s="38">
        <v>140</v>
      </c>
      <c r="B124" s="38" t="s">
        <v>257</v>
      </c>
      <c r="C124" s="38">
        <v>789.53688599999998</v>
      </c>
      <c r="D124" s="38">
        <v>2695</v>
      </c>
      <c r="E124" s="38">
        <v>1.0133E-2</v>
      </c>
      <c r="F124" s="38">
        <v>110</v>
      </c>
      <c r="G124" s="38">
        <v>102</v>
      </c>
      <c r="H124" s="38">
        <v>8.4440000000000001E-3</v>
      </c>
      <c r="I124" s="38">
        <v>96</v>
      </c>
      <c r="J124" s="38">
        <v>101</v>
      </c>
      <c r="K124" s="38" t="s">
        <v>119</v>
      </c>
      <c r="L124" s="38">
        <v>81691.966029999996</v>
      </c>
      <c r="M124" s="38">
        <v>789.53688599999998</v>
      </c>
      <c r="N124" s="38" t="s">
        <v>119</v>
      </c>
      <c r="O124" s="38" t="s">
        <v>119</v>
      </c>
      <c r="P124" s="38" t="s">
        <v>119</v>
      </c>
      <c r="Q124" s="38" t="s">
        <v>119</v>
      </c>
      <c r="R124" s="38" t="s">
        <v>119</v>
      </c>
      <c r="S124" s="38" t="s">
        <v>119</v>
      </c>
      <c r="T124" s="38">
        <v>2904</v>
      </c>
      <c r="V124" s="81">
        <v>2695</v>
      </c>
      <c r="W124" s="38">
        <f t="shared" si="1"/>
        <v>1</v>
      </c>
    </row>
    <row r="125" spans="1:23" x14ac:dyDescent="0.45">
      <c r="A125" s="38">
        <v>154</v>
      </c>
      <c r="B125" s="38" t="s">
        <v>257</v>
      </c>
      <c r="C125" s="38">
        <v>10407.227631</v>
      </c>
      <c r="D125" s="38">
        <v>2696</v>
      </c>
      <c r="E125" s="38">
        <v>2.8250000000000001E-2</v>
      </c>
      <c r="F125" s="38">
        <v>433</v>
      </c>
      <c r="G125" s="38">
        <v>139</v>
      </c>
      <c r="H125" s="38">
        <v>2.5367000000000001E-2</v>
      </c>
      <c r="I125" s="38">
        <v>68</v>
      </c>
      <c r="J125" s="38">
        <v>266</v>
      </c>
      <c r="K125" s="38" t="s">
        <v>119</v>
      </c>
      <c r="L125" s="38">
        <v>102850.07659300001</v>
      </c>
      <c r="M125" s="38">
        <v>10407.227631</v>
      </c>
      <c r="N125" s="38" t="s">
        <v>119</v>
      </c>
      <c r="O125" s="38" t="s">
        <v>119</v>
      </c>
      <c r="P125" s="38" t="s">
        <v>119</v>
      </c>
      <c r="Q125" s="38" t="s">
        <v>119</v>
      </c>
      <c r="R125" s="38" t="s">
        <v>119</v>
      </c>
      <c r="S125" s="38" t="s">
        <v>119</v>
      </c>
      <c r="T125" s="38">
        <v>2918</v>
      </c>
      <c r="V125" s="81">
        <v>2696</v>
      </c>
      <c r="W125" s="38">
        <f t="shared" si="1"/>
        <v>1</v>
      </c>
    </row>
    <row r="126" spans="1:23" x14ac:dyDescent="0.45">
      <c r="A126" s="38">
        <v>125</v>
      </c>
      <c r="B126" s="38" t="s">
        <v>257</v>
      </c>
      <c r="C126" s="38">
        <v>5608.7887769999998</v>
      </c>
      <c r="D126" s="38">
        <v>2697</v>
      </c>
      <c r="E126" s="38">
        <v>0.23302700000000001</v>
      </c>
      <c r="F126" s="38">
        <v>2279</v>
      </c>
      <c r="G126" s="38">
        <v>972</v>
      </c>
      <c r="H126" s="38">
        <v>0.18946499999999999</v>
      </c>
      <c r="I126" s="38">
        <v>1002</v>
      </c>
      <c r="J126" s="38">
        <v>1799</v>
      </c>
      <c r="K126" s="38" t="s">
        <v>119</v>
      </c>
      <c r="L126" s="38">
        <v>127286.89296300001</v>
      </c>
      <c r="M126" s="38">
        <v>5608.7887769999998</v>
      </c>
      <c r="N126" s="38" t="s">
        <v>119</v>
      </c>
      <c r="O126" s="38" t="s">
        <v>119</v>
      </c>
      <c r="P126" s="38" t="s">
        <v>119</v>
      </c>
      <c r="Q126" s="38" t="s">
        <v>119</v>
      </c>
      <c r="R126" s="38" t="s">
        <v>119</v>
      </c>
      <c r="S126" s="38" t="s">
        <v>119</v>
      </c>
      <c r="T126" s="38">
        <v>2889</v>
      </c>
      <c r="V126" s="81">
        <v>2697</v>
      </c>
      <c r="W126" s="38">
        <f t="shared" si="1"/>
        <v>1</v>
      </c>
    </row>
    <row r="127" spans="1:23" x14ac:dyDescent="0.45">
      <c r="A127" s="38">
        <v>142</v>
      </c>
      <c r="B127" s="38" t="s">
        <v>257</v>
      </c>
      <c r="C127" s="38">
        <v>3518.0271440000001</v>
      </c>
      <c r="D127" s="38">
        <v>2698</v>
      </c>
      <c r="E127" s="38">
        <v>4.8320000000000004E-3</v>
      </c>
      <c r="F127" s="38">
        <v>122</v>
      </c>
      <c r="G127" s="38">
        <v>105</v>
      </c>
      <c r="H127" s="38">
        <v>3.411E-3</v>
      </c>
      <c r="I127" s="38">
        <v>98</v>
      </c>
      <c r="J127" s="38">
        <v>107</v>
      </c>
      <c r="K127" s="38" t="s">
        <v>119</v>
      </c>
      <c r="L127" s="38">
        <v>85067.943660999998</v>
      </c>
      <c r="M127" s="38">
        <v>3518.0271440000001</v>
      </c>
      <c r="N127" s="38" t="s">
        <v>119</v>
      </c>
      <c r="O127" s="38" t="s">
        <v>119</v>
      </c>
      <c r="P127" s="38" t="s">
        <v>119</v>
      </c>
      <c r="Q127" s="38" t="s">
        <v>119</v>
      </c>
      <c r="R127" s="38" t="s">
        <v>119</v>
      </c>
      <c r="S127" s="38" t="s">
        <v>119</v>
      </c>
      <c r="T127" s="38">
        <v>2906</v>
      </c>
      <c r="V127" s="81">
        <v>2698</v>
      </c>
      <c r="W127" s="38">
        <f t="shared" si="1"/>
        <v>1</v>
      </c>
    </row>
    <row r="128" spans="1:23" x14ac:dyDescent="0.45">
      <c r="A128" s="38">
        <v>155</v>
      </c>
      <c r="B128" s="38" t="s">
        <v>257</v>
      </c>
      <c r="C128" s="38">
        <v>10882.44318</v>
      </c>
      <c r="D128" s="38">
        <v>2699</v>
      </c>
      <c r="E128" s="38">
        <v>9.6669000000000005E-2</v>
      </c>
      <c r="F128" s="38">
        <v>1220</v>
      </c>
      <c r="G128" s="38">
        <v>168</v>
      </c>
      <c r="H128" s="38">
        <v>6.8735000000000004E-2</v>
      </c>
      <c r="I128" s="38">
        <v>184</v>
      </c>
      <c r="J128" s="38">
        <v>745</v>
      </c>
      <c r="K128" s="38" t="s">
        <v>119</v>
      </c>
      <c r="L128" s="38">
        <v>107534.543584</v>
      </c>
      <c r="M128" s="38">
        <v>10882.44318</v>
      </c>
      <c r="N128" s="38" t="s">
        <v>119</v>
      </c>
      <c r="O128" s="38" t="s">
        <v>119</v>
      </c>
      <c r="P128" s="38" t="s">
        <v>119</v>
      </c>
      <c r="Q128" s="38" t="s">
        <v>119</v>
      </c>
      <c r="R128" s="38" t="s">
        <v>119</v>
      </c>
      <c r="S128" s="38" t="s">
        <v>119</v>
      </c>
      <c r="T128" s="38">
        <v>2919</v>
      </c>
      <c r="V128" s="81">
        <v>2699</v>
      </c>
      <c r="W128" s="38">
        <f t="shared" si="1"/>
        <v>1</v>
      </c>
    </row>
    <row r="129" spans="1:23" x14ac:dyDescent="0.45">
      <c r="A129" s="38">
        <v>158</v>
      </c>
      <c r="B129" s="38" t="s">
        <v>257</v>
      </c>
      <c r="C129" s="38">
        <v>15731.123734000001</v>
      </c>
      <c r="D129" s="38">
        <v>2700</v>
      </c>
      <c r="E129" s="38">
        <v>0.12446699999999999</v>
      </c>
      <c r="F129" s="38">
        <v>2134</v>
      </c>
      <c r="G129" s="38">
        <v>176</v>
      </c>
      <c r="H129" s="38">
        <v>8.9589000000000002E-2</v>
      </c>
      <c r="I129" s="38">
        <v>213</v>
      </c>
      <c r="J129" s="38">
        <v>1270</v>
      </c>
      <c r="K129" s="38" t="s">
        <v>119</v>
      </c>
      <c r="L129" s="38">
        <v>113316.066851</v>
      </c>
      <c r="M129" s="38">
        <v>15731.123734000001</v>
      </c>
      <c r="N129" s="38" t="s">
        <v>119</v>
      </c>
      <c r="O129" s="38" t="s">
        <v>119</v>
      </c>
      <c r="P129" s="38" t="s">
        <v>119</v>
      </c>
      <c r="Q129" s="38" t="s">
        <v>119</v>
      </c>
      <c r="R129" s="38" t="s">
        <v>119</v>
      </c>
      <c r="S129" s="38" t="s">
        <v>119</v>
      </c>
      <c r="T129" s="38">
        <v>2922</v>
      </c>
      <c r="V129" s="81">
        <v>2700</v>
      </c>
      <c r="W129" s="38">
        <f t="shared" si="1"/>
        <v>1</v>
      </c>
    </row>
    <row r="130" spans="1:23" x14ac:dyDescent="0.45">
      <c r="A130" s="38">
        <v>149</v>
      </c>
      <c r="B130" s="38" t="s">
        <v>257</v>
      </c>
      <c r="C130" s="38">
        <v>5397.3926739999997</v>
      </c>
      <c r="D130" s="38">
        <v>2701</v>
      </c>
      <c r="E130" s="38">
        <v>0.18657199999999999</v>
      </c>
      <c r="F130" s="38">
        <v>1978</v>
      </c>
      <c r="G130" s="38">
        <v>971</v>
      </c>
      <c r="H130" s="38">
        <v>0.18231</v>
      </c>
      <c r="I130" s="38">
        <v>992</v>
      </c>
      <c r="J130" s="38">
        <v>1730</v>
      </c>
      <c r="K130" s="38" t="s">
        <v>119</v>
      </c>
      <c r="L130" s="38">
        <v>127075.49686</v>
      </c>
      <c r="M130" s="38">
        <v>5397.3926739999997</v>
      </c>
      <c r="N130" s="38" t="s">
        <v>119</v>
      </c>
      <c r="O130" s="38" t="s">
        <v>119</v>
      </c>
      <c r="P130" s="38" t="s">
        <v>119</v>
      </c>
      <c r="Q130" s="38" t="s">
        <v>119</v>
      </c>
      <c r="R130" s="38" t="s">
        <v>119</v>
      </c>
      <c r="S130" s="38" t="s">
        <v>119</v>
      </c>
      <c r="T130" s="38">
        <v>2913</v>
      </c>
      <c r="V130" s="81">
        <v>2701</v>
      </c>
      <c r="W130" s="38">
        <f t="shared" si="1"/>
        <v>1</v>
      </c>
    </row>
    <row r="131" spans="1:23" x14ac:dyDescent="0.45">
      <c r="A131" s="38">
        <v>148</v>
      </c>
      <c r="B131" s="38" t="s">
        <v>257</v>
      </c>
      <c r="C131" s="38">
        <v>5779.3470390000002</v>
      </c>
      <c r="D131" s="38">
        <v>2704</v>
      </c>
      <c r="E131" s="38">
        <v>4.2219E-2</v>
      </c>
      <c r="F131" s="38">
        <v>360</v>
      </c>
      <c r="G131" s="38">
        <v>116</v>
      </c>
      <c r="H131" s="38">
        <v>2.4916000000000001E-2</v>
      </c>
      <c r="I131" s="38">
        <v>145</v>
      </c>
      <c r="J131" s="38">
        <v>253</v>
      </c>
      <c r="K131" s="38" t="s">
        <v>119</v>
      </c>
      <c r="L131" s="38">
        <v>91558.718370000002</v>
      </c>
      <c r="M131" s="38">
        <v>5779.3470390000002</v>
      </c>
      <c r="N131" s="38" t="s">
        <v>119</v>
      </c>
      <c r="O131" s="38" t="s">
        <v>119</v>
      </c>
      <c r="P131" s="38" t="s">
        <v>119</v>
      </c>
      <c r="Q131" s="38" t="s">
        <v>119</v>
      </c>
      <c r="R131" s="38" t="s">
        <v>119</v>
      </c>
      <c r="S131" s="38" t="s">
        <v>119</v>
      </c>
      <c r="T131" s="38">
        <v>2912</v>
      </c>
      <c r="V131" s="81">
        <v>2704</v>
      </c>
      <c r="W131" s="38">
        <f t="shared" ref="W131:W160" si="2">IF(V131=D131,1,0)</f>
        <v>1</v>
      </c>
    </row>
    <row r="132" spans="1:23" x14ac:dyDescent="0.45">
      <c r="A132" s="38">
        <v>152</v>
      </c>
      <c r="B132" s="38" t="s">
        <v>257</v>
      </c>
      <c r="C132" s="38">
        <v>10699.169368999999</v>
      </c>
      <c r="D132" s="38">
        <v>2705</v>
      </c>
      <c r="E132" s="38">
        <v>3.5423000000000003E-2</v>
      </c>
      <c r="F132" s="38">
        <v>495</v>
      </c>
      <c r="G132" s="38">
        <v>116</v>
      </c>
      <c r="H132" s="38">
        <v>1.2088E-2</v>
      </c>
      <c r="I132" s="38">
        <v>124</v>
      </c>
      <c r="J132" s="38">
        <v>221</v>
      </c>
      <c r="K132" s="38" t="s">
        <v>119</v>
      </c>
      <c r="L132" s="38">
        <v>96478.540699999998</v>
      </c>
      <c r="M132" s="38">
        <v>10699.169368999999</v>
      </c>
      <c r="N132" s="38" t="s">
        <v>119</v>
      </c>
      <c r="O132" s="38" t="s">
        <v>119</v>
      </c>
      <c r="P132" s="38" t="s">
        <v>119</v>
      </c>
      <c r="Q132" s="38" t="s">
        <v>119</v>
      </c>
      <c r="R132" s="38" t="s">
        <v>119</v>
      </c>
      <c r="S132" s="38" t="s">
        <v>119</v>
      </c>
      <c r="T132" s="38">
        <v>2916</v>
      </c>
      <c r="V132" s="81">
        <v>2705</v>
      </c>
      <c r="W132" s="38">
        <f t="shared" si="2"/>
        <v>1</v>
      </c>
    </row>
    <row r="133" spans="1:23" x14ac:dyDescent="0.45">
      <c r="A133" s="38">
        <v>156</v>
      </c>
      <c r="B133" s="38" t="s">
        <v>257</v>
      </c>
      <c r="C133" s="38">
        <v>11270.413505</v>
      </c>
      <c r="D133" s="38">
        <v>2706</v>
      </c>
      <c r="E133" s="38">
        <v>9.1744999999999993E-2</v>
      </c>
      <c r="F133" s="38">
        <v>1254</v>
      </c>
      <c r="G133" s="38">
        <v>220</v>
      </c>
      <c r="H133" s="38">
        <v>4.3062999999999997E-2</v>
      </c>
      <c r="I133" s="38">
        <v>254</v>
      </c>
      <c r="J133" s="38">
        <v>618</v>
      </c>
      <c r="K133" s="38" t="s">
        <v>119</v>
      </c>
      <c r="L133" s="38">
        <v>107240.394052</v>
      </c>
      <c r="M133" s="38">
        <v>11270.413505</v>
      </c>
      <c r="N133" s="38" t="s">
        <v>119</v>
      </c>
      <c r="O133" s="38" t="s">
        <v>119</v>
      </c>
      <c r="P133" s="38" t="s">
        <v>119</v>
      </c>
      <c r="Q133" s="38" t="s">
        <v>119</v>
      </c>
      <c r="R133" s="38" t="s">
        <v>119</v>
      </c>
      <c r="S133" s="38" t="s">
        <v>119</v>
      </c>
      <c r="T133" s="38">
        <v>2920</v>
      </c>
      <c r="V133" s="81">
        <v>2706</v>
      </c>
      <c r="W133" s="38">
        <f t="shared" si="2"/>
        <v>1</v>
      </c>
    </row>
    <row r="134" spans="1:23" x14ac:dyDescent="0.45">
      <c r="A134" s="38">
        <v>167</v>
      </c>
      <c r="B134" s="38" t="s">
        <v>257</v>
      </c>
      <c r="C134" s="38">
        <v>12722.418825000001</v>
      </c>
      <c r="D134" s="38">
        <v>2707</v>
      </c>
      <c r="E134" s="38">
        <v>0.15484500000000001</v>
      </c>
      <c r="F134" s="38">
        <v>2616</v>
      </c>
      <c r="G134" s="38">
        <v>646</v>
      </c>
      <c r="H134" s="38">
        <v>0.102496</v>
      </c>
      <c r="I134" s="38">
        <v>750</v>
      </c>
      <c r="J134" s="38">
        <v>1728</v>
      </c>
      <c r="K134" s="38" t="s">
        <v>119</v>
      </c>
      <c r="L134" s="38">
        <v>119276.60075699999</v>
      </c>
      <c r="M134" s="38">
        <v>12722.418825000001</v>
      </c>
      <c r="N134" s="38" t="s">
        <v>119</v>
      </c>
      <c r="O134" s="38" t="s">
        <v>119</v>
      </c>
      <c r="P134" s="38" t="s">
        <v>119</v>
      </c>
      <c r="Q134" s="38" t="s">
        <v>119</v>
      </c>
      <c r="R134" s="38" t="s">
        <v>119</v>
      </c>
      <c r="S134" s="38" t="s">
        <v>119</v>
      </c>
      <c r="T134" s="38">
        <v>2931</v>
      </c>
      <c r="V134" s="81">
        <v>2707</v>
      </c>
      <c r="W134" s="38">
        <f t="shared" si="2"/>
        <v>1</v>
      </c>
    </row>
    <row r="135" spans="1:23" x14ac:dyDescent="0.45">
      <c r="A135" s="38">
        <v>160</v>
      </c>
      <c r="B135" s="38" t="s">
        <v>257</v>
      </c>
      <c r="C135" s="38">
        <v>5133.3315279999997</v>
      </c>
      <c r="D135" s="38">
        <v>2708</v>
      </c>
      <c r="E135" s="38">
        <v>0.21759700000000001</v>
      </c>
      <c r="F135" s="38">
        <v>1763</v>
      </c>
      <c r="G135" s="38">
        <v>646</v>
      </c>
      <c r="H135" s="38">
        <v>0.198182</v>
      </c>
      <c r="I135" s="38">
        <v>688</v>
      </c>
      <c r="J135" s="38">
        <v>1451</v>
      </c>
      <c r="K135" s="38" t="s">
        <v>119</v>
      </c>
      <c r="L135" s="38">
        <v>111687.51346</v>
      </c>
      <c r="M135" s="38">
        <v>5133.3315279999997</v>
      </c>
      <c r="N135" s="38" t="s">
        <v>119</v>
      </c>
      <c r="O135" s="38" t="s">
        <v>119</v>
      </c>
      <c r="P135" s="38" t="s">
        <v>119</v>
      </c>
      <c r="Q135" s="38" t="s">
        <v>119</v>
      </c>
      <c r="R135" s="38" t="s">
        <v>119</v>
      </c>
      <c r="S135" s="38" t="s">
        <v>119</v>
      </c>
      <c r="T135" s="38">
        <v>2924</v>
      </c>
      <c r="V135" s="81">
        <v>2708</v>
      </c>
      <c r="W135" s="38">
        <f t="shared" si="2"/>
        <v>1</v>
      </c>
    </row>
    <row r="136" spans="1:23" x14ac:dyDescent="0.45">
      <c r="A136" s="38">
        <v>161</v>
      </c>
      <c r="B136" s="38" t="s">
        <v>257</v>
      </c>
      <c r="C136" s="38">
        <v>5125.6543069999998</v>
      </c>
      <c r="D136" s="38">
        <v>2709</v>
      </c>
      <c r="E136" s="38">
        <v>0.18046499999999999</v>
      </c>
      <c r="F136" s="38">
        <v>1226</v>
      </c>
      <c r="G136" s="38">
        <v>301</v>
      </c>
      <c r="H136" s="38">
        <v>0.14177100000000001</v>
      </c>
      <c r="I136" s="38">
        <v>332</v>
      </c>
      <c r="J136" s="38">
        <v>877</v>
      </c>
      <c r="K136" s="38" t="s">
        <v>119</v>
      </c>
      <c r="L136" s="38">
        <v>103947.196001</v>
      </c>
      <c r="M136" s="38">
        <v>5125.6543069999998</v>
      </c>
      <c r="N136" s="38" t="s">
        <v>119</v>
      </c>
      <c r="O136" s="38" t="s">
        <v>119</v>
      </c>
      <c r="P136" s="38" t="s">
        <v>119</v>
      </c>
      <c r="Q136" s="38" t="s">
        <v>119</v>
      </c>
      <c r="R136" s="38" t="s">
        <v>119</v>
      </c>
      <c r="S136" s="38" t="s">
        <v>119</v>
      </c>
      <c r="T136" s="38">
        <v>2925</v>
      </c>
      <c r="V136" s="81">
        <v>2709</v>
      </c>
      <c r="W136" s="38">
        <f t="shared" si="2"/>
        <v>1</v>
      </c>
    </row>
    <row r="137" spans="1:23" x14ac:dyDescent="0.45">
      <c r="A137" s="38">
        <v>165</v>
      </c>
      <c r="B137" s="38" t="s">
        <v>257</v>
      </c>
      <c r="C137" s="38">
        <v>4960.1082230000002</v>
      </c>
      <c r="D137" s="38">
        <v>2710</v>
      </c>
      <c r="E137" s="38">
        <v>0.22559999999999999</v>
      </c>
      <c r="F137" s="38">
        <v>1419</v>
      </c>
      <c r="G137" s="38">
        <v>300</v>
      </c>
      <c r="H137" s="38">
        <v>0.20510300000000001</v>
      </c>
      <c r="I137" s="38">
        <v>363</v>
      </c>
      <c r="J137" s="38">
        <v>1126</v>
      </c>
      <c r="K137" s="38" t="s">
        <v>119</v>
      </c>
      <c r="L137" s="38">
        <v>103779.061082</v>
      </c>
      <c r="M137" s="38">
        <v>4960.1082230000002</v>
      </c>
      <c r="N137" s="38" t="s">
        <v>119</v>
      </c>
      <c r="O137" s="38" t="s">
        <v>119</v>
      </c>
      <c r="P137" s="38" t="s">
        <v>119</v>
      </c>
      <c r="Q137" s="38" t="s">
        <v>119</v>
      </c>
      <c r="R137" s="38" t="s">
        <v>119</v>
      </c>
      <c r="S137" s="38" t="s">
        <v>119</v>
      </c>
      <c r="T137" s="38">
        <v>2929</v>
      </c>
      <c r="V137" s="81">
        <v>2710</v>
      </c>
      <c r="W137" s="38">
        <f t="shared" si="2"/>
        <v>1</v>
      </c>
    </row>
    <row r="138" spans="1:23" x14ac:dyDescent="0.45">
      <c r="A138" s="38">
        <v>163</v>
      </c>
      <c r="B138" s="38" t="s">
        <v>257</v>
      </c>
      <c r="C138" s="38">
        <v>3825.1970580000002</v>
      </c>
      <c r="D138" s="38">
        <v>2711</v>
      </c>
      <c r="E138" s="38">
        <v>8.8622999999999993E-2</v>
      </c>
      <c r="F138" s="38">
        <v>561</v>
      </c>
      <c r="G138" s="38">
        <v>222</v>
      </c>
      <c r="H138" s="38">
        <v>4.0781999999999999E-2</v>
      </c>
      <c r="I138" s="38">
        <v>231</v>
      </c>
      <c r="J138" s="38">
        <v>348</v>
      </c>
      <c r="K138" s="38" t="s">
        <v>119</v>
      </c>
      <c r="L138" s="38">
        <v>99795.177605999997</v>
      </c>
      <c r="M138" s="38">
        <v>3825.1970580000002</v>
      </c>
      <c r="N138" s="38" t="s">
        <v>119</v>
      </c>
      <c r="O138" s="38" t="s">
        <v>119</v>
      </c>
      <c r="P138" s="38" t="s">
        <v>119</v>
      </c>
      <c r="Q138" s="38" t="s">
        <v>119</v>
      </c>
      <c r="R138" s="38" t="s">
        <v>119</v>
      </c>
      <c r="S138" s="38" t="s">
        <v>119</v>
      </c>
      <c r="T138" s="38">
        <v>2927</v>
      </c>
      <c r="V138" s="81">
        <v>2711</v>
      </c>
      <c r="W138" s="38">
        <f t="shared" si="2"/>
        <v>1</v>
      </c>
    </row>
    <row r="139" spans="1:23" x14ac:dyDescent="0.45">
      <c r="A139" s="38">
        <v>166</v>
      </c>
      <c r="B139" s="38" t="s">
        <v>257</v>
      </c>
      <c r="C139" s="38">
        <v>10830.755768999999</v>
      </c>
      <c r="D139" s="38">
        <v>2712</v>
      </c>
      <c r="E139" s="38">
        <v>0.109872</v>
      </c>
      <c r="F139" s="38">
        <v>1414</v>
      </c>
      <c r="G139" s="38">
        <v>224</v>
      </c>
      <c r="H139" s="38">
        <v>9.7130999999999995E-2</v>
      </c>
      <c r="I139" s="38">
        <v>233</v>
      </c>
      <c r="J139" s="38">
        <v>1022</v>
      </c>
      <c r="K139" s="38" t="s">
        <v>119</v>
      </c>
      <c r="L139" s="38">
        <v>106505.837778</v>
      </c>
      <c r="M139" s="38">
        <v>10830.755768999999</v>
      </c>
      <c r="N139" s="38" t="s">
        <v>119</v>
      </c>
      <c r="O139" s="38" t="s">
        <v>119</v>
      </c>
      <c r="P139" s="38" t="s">
        <v>119</v>
      </c>
      <c r="Q139" s="38" t="s">
        <v>119</v>
      </c>
      <c r="R139" s="38" t="s">
        <v>119</v>
      </c>
      <c r="S139" s="38" t="s">
        <v>119</v>
      </c>
      <c r="T139" s="38">
        <v>2930</v>
      </c>
      <c r="V139" s="81">
        <v>2712</v>
      </c>
      <c r="W139" s="38">
        <f t="shared" si="2"/>
        <v>1</v>
      </c>
    </row>
    <row r="140" spans="1:23" x14ac:dyDescent="0.45">
      <c r="A140" s="38">
        <v>159</v>
      </c>
      <c r="B140" s="38" t="s">
        <v>257</v>
      </c>
      <c r="C140" s="38">
        <v>1456.1106589999999</v>
      </c>
      <c r="D140" s="38">
        <v>2713</v>
      </c>
      <c r="E140" s="38">
        <v>1.5796000000000001E-2</v>
      </c>
      <c r="F140" s="38">
        <v>245</v>
      </c>
      <c r="G140" s="38">
        <v>222</v>
      </c>
      <c r="H140" s="38">
        <v>1.4651000000000001E-2</v>
      </c>
      <c r="I140" s="38">
        <v>217</v>
      </c>
      <c r="J140" s="38">
        <v>233</v>
      </c>
      <c r="K140" s="38" t="s">
        <v>119</v>
      </c>
      <c r="L140" s="38">
        <v>97133.781503000006</v>
      </c>
      <c r="M140" s="38">
        <v>1456.1106589999999</v>
      </c>
      <c r="N140" s="38" t="s">
        <v>119</v>
      </c>
      <c r="O140" s="38" t="s">
        <v>119</v>
      </c>
      <c r="P140" s="38" t="s">
        <v>119</v>
      </c>
      <c r="Q140" s="38" t="s">
        <v>119</v>
      </c>
      <c r="R140" s="38" t="s">
        <v>119</v>
      </c>
      <c r="S140" s="38" t="s">
        <v>119</v>
      </c>
      <c r="T140" s="38">
        <v>2923</v>
      </c>
      <c r="V140" s="81">
        <v>2713</v>
      </c>
      <c r="W140" s="38">
        <f t="shared" si="2"/>
        <v>1</v>
      </c>
    </row>
    <row r="141" spans="1:23" x14ac:dyDescent="0.45">
      <c r="A141" s="38">
        <v>171</v>
      </c>
      <c r="B141" s="38" t="s">
        <v>257</v>
      </c>
      <c r="C141" s="38">
        <v>9716.5683570000001</v>
      </c>
      <c r="D141" s="38">
        <v>2714</v>
      </c>
      <c r="E141" s="38">
        <v>0.19873299999999999</v>
      </c>
      <c r="F141" s="38">
        <v>2808</v>
      </c>
      <c r="G141" s="38">
        <v>877</v>
      </c>
      <c r="H141" s="38">
        <v>0.15465000000000001</v>
      </c>
      <c r="I141" s="38">
        <v>951</v>
      </c>
      <c r="J141" s="38">
        <v>2078</v>
      </c>
      <c r="K141" s="38" t="s">
        <v>119</v>
      </c>
      <c r="L141" s="38">
        <v>119678.96096700001</v>
      </c>
      <c r="M141" s="38">
        <v>9716.5683570000001</v>
      </c>
      <c r="N141" s="38" t="s">
        <v>119</v>
      </c>
      <c r="O141" s="38" t="s">
        <v>119</v>
      </c>
      <c r="P141" s="38" t="s">
        <v>119</v>
      </c>
      <c r="Q141" s="38" t="s">
        <v>119</v>
      </c>
      <c r="R141" s="38" t="s">
        <v>119</v>
      </c>
      <c r="S141" s="38" t="s">
        <v>119</v>
      </c>
      <c r="T141" s="38">
        <v>2935</v>
      </c>
      <c r="V141" s="81">
        <v>2714</v>
      </c>
      <c r="W141" s="38">
        <f t="shared" si="2"/>
        <v>1</v>
      </c>
    </row>
    <row r="142" spans="1:23" x14ac:dyDescent="0.45">
      <c r="A142" s="38">
        <v>170</v>
      </c>
      <c r="B142" s="38" t="s">
        <v>257</v>
      </c>
      <c r="C142" s="38">
        <v>8698.7382710000002</v>
      </c>
      <c r="D142" s="38">
        <v>2715</v>
      </c>
      <c r="E142" s="38">
        <v>0.229459</v>
      </c>
      <c r="F142" s="38">
        <v>2871</v>
      </c>
      <c r="G142" s="38">
        <v>875</v>
      </c>
      <c r="H142" s="38">
        <v>0.20769299999999999</v>
      </c>
      <c r="I142" s="38">
        <v>938</v>
      </c>
      <c r="J142" s="38">
        <v>2293</v>
      </c>
      <c r="K142" s="38" t="s">
        <v>119</v>
      </c>
      <c r="L142" s="38">
        <v>118661.130881</v>
      </c>
      <c r="M142" s="38">
        <v>8698.7382710000002</v>
      </c>
      <c r="N142" s="38" t="s">
        <v>119</v>
      </c>
      <c r="O142" s="38" t="s">
        <v>119</v>
      </c>
      <c r="P142" s="38" t="s">
        <v>119</v>
      </c>
      <c r="Q142" s="38" t="s">
        <v>119</v>
      </c>
      <c r="R142" s="38" t="s">
        <v>119</v>
      </c>
      <c r="S142" s="38" t="s">
        <v>119</v>
      </c>
      <c r="T142" s="38">
        <v>2934</v>
      </c>
      <c r="V142" s="81">
        <v>2715</v>
      </c>
      <c r="W142" s="38">
        <f t="shared" si="2"/>
        <v>1</v>
      </c>
    </row>
    <row r="143" spans="1:23" x14ac:dyDescent="0.45">
      <c r="A143" s="38">
        <v>162</v>
      </c>
      <c r="B143" s="38" t="s">
        <v>257</v>
      </c>
      <c r="C143" s="38">
        <v>1971.0470769999999</v>
      </c>
      <c r="D143" s="38">
        <v>2716</v>
      </c>
      <c r="E143" s="38">
        <v>1.2175999999999999E-2</v>
      </c>
      <c r="F143" s="38">
        <v>225</v>
      </c>
      <c r="G143" s="38">
        <v>201</v>
      </c>
      <c r="H143" s="38">
        <v>1.6234999999999999E-2</v>
      </c>
      <c r="I143" s="38">
        <v>192</v>
      </c>
      <c r="J143" s="38">
        <v>216</v>
      </c>
      <c r="K143" s="38" t="s">
        <v>119</v>
      </c>
      <c r="L143" s="38">
        <v>96159.885399999999</v>
      </c>
      <c r="M143" s="38">
        <v>1971.0470769999999</v>
      </c>
      <c r="N143" s="38" t="s">
        <v>119</v>
      </c>
      <c r="O143" s="38" t="s">
        <v>119</v>
      </c>
      <c r="P143" s="38" t="s">
        <v>119</v>
      </c>
      <c r="Q143" s="38" t="s">
        <v>119</v>
      </c>
      <c r="R143" s="38" t="s">
        <v>119</v>
      </c>
      <c r="S143" s="38" t="s">
        <v>119</v>
      </c>
      <c r="T143" s="38">
        <v>2926</v>
      </c>
      <c r="V143" s="81">
        <v>2716</v>
      </c>
      <c r="W143" s="38">
        <f t="shared" si="2"/>
        <v>1</v>
      </c>
    </row>
    <row r="144" spans="1:23" x14ac:dyDescent="0.45">
      <c r="A144" s="38">
        <v>169</v>
      </c>
      <c r="B144" s="38" t="s">
        <v>257</v>
      </c>
      <c r="C144" s="38">
        <v>14785.933438</v>
      </c>
      <c r="D144" s="38">
        <v>2717</v>
      </c>
      <c r="E144" s="38">
        <v>0.121602</v>
      </c>
      <c r="F144" s="38">
        <v>2000</v>
      </c>
      <c r="G144" s="38">
        <v>202</v>
      </c>
      <c r="H144" s="38">
        <v>7.4665999999999996E-2</v>
      </c>
      <c r="I144" s="38">
        <v>217</v>
      </c>
      <c r="J144" s="38">
        <v>1045</v>
      </c>
      <c r="K144" s="38" t="s">
        <v>119</v>
      </c>
      <c r="L144" s="38">
        <v>108974.77176</v>
      </c>
      <c r="M144" s="38">
        <v>14785.933438</v>
      </c>
      <c r="N144" s="38" t="s">
        <v>119</v>
      </c>
      <c r="O144" s="38" t="s">
        <v>119</v>
      </c>
      <c r="P144" s="38" t="s">
        <v>119</v>
      </c>
      <c r="Q144" s="38" t="s">
        <v>119</v>
      </c>
      <c r="R144" s="38" t="s">
        <v>119</v>
      </c>
      <c r="S144" s="38" t="s">
        <v>119</v>
      </c>
      <c r="T144" s="38">
        <v>2933</v>
      </c>
      <c r="V144" s="81">
        <v>2717</v>
      </c>
      <c r="W144" s="38">
        <f t="shared" si="2"/>
        <v>1</v>
      </c>
    </row>
    <row r="145" spans="1:23" x14ac:dyDescent="0.45">
      <c r="A145" s="38">
        <v>72</v>
      </c>
      <c r="B145" s="38" t="s">
        <v>257</v>
      </c>
      <c r="C145" s="38">
        <v>5985.2737150000003</v>
      </c>
      <c r="D145" s="38">
        <v>2719</v>
      </c>
      <c r="E145" s="38">
        <v>1.3370000000000001E-3</v>
      </c>
      <c r="F145" s="38">
        <v>59</v>
      </c>
      <c r="G145" s="38">
        <v>51</v>
      </c>
      <c r="H145" s="38">
        <v>-1.5590000000000001E-3</v>
      </c>
      <c r="I145" s="38">
        <v>57</v>
      </c>
      <c r="J145" s="38">
        <v>50</v>
      </c>
      <c r="K145" s="38" t="s">
        <v>119</v>
      </c>
      <c r="L145" s="38">
        <v>26240.663761</v>
      </c>
      <c r="M145" s="38">
        <v>5985.2737150000003</v>
      </c>
      <c r="N145" s="38" t="s">
        <v>119</v>
      </c>
      <c r="O145" s="38" t="s">
        <v>119</v>
      </c>
      <c r="P145" s="38" t="s">
        <v>119</v>
      </c>
      <c r="Q145" s="38" t="s">
        <v>119</v>
      </c>
      <c r="R145" s="38" t="s">
        <v>119</v>
      </c>
      <c r="S145" s="38" t="s">
        <v>119</v>
      </c>
      <c r="T145" s="38">
        <v>2836</v>
      </c>
      <c r="V145" s="81">
        <v>2719</v>
      </c>
      <c r="W145" s="38">
        <f t="shared" si="2"/>
        <v>1</v>
      </c>
    </row>
    <row r="146" spans="1:23" x14ac:dyDescent="0.45">
      <c r="A146" s="38">
        <v>75</v>
      </c>
      <c r="B146" s="38" t="s">
        <v>257</v>
      </c>
      <c r="C146" s="38">
        <v>4234.6009169999998</v>
      </c>
      <c r="D146" s="38">
        <v>2720</v>
      </c>
      <c r="E146" s="38">
        <v>1.4170000000000001E-3</v>
      </c>
      <c r="F146" s="38">
        <v>60</v>
      </c>
      <c r="G146" s="38">
        <v>54</v>
      </c>
      <c r="H146" s="38">
        <v>-3.7780000000000001E-3</v>
      </c>
      <c r="I146" s="38">
        <v>58</v>
      </c>
      <c r="J146" s="38">
        <v>46</v>
      </c>
      <c r="K146" s="38" t="s">
        <v>119</v>
      </c>
      <c r="L146" s="38">
        <v>29419.674401</v>
      </c>
      <c r="M146" s="38">
        <v>4234.6009169999998</v>
      </c>
      <c r="N146" s="38" t="s">
        <v>119</v>
      </c>
      <c r="O146" s="38" t="s">
        <v>119</v>
      </c>
      <c r="P146" s="38" t="s">
        <v>119</v>
      </c>
      <c r="Q146" s="38" t="s">
        <v>119</v>
      </c>
      <c r="R146" s="38" t="s">
        <v>119</v>
      </c>
      <c r="S146" s="38" t="s">
        <v>119</v>
      </c>
      <c r="T146" s="38">
        <v>2839</v>
      </c>
      <c r="V146" s="81">
        <v>2720</v>
      </c>
      <c r="W146" s="38">
        <f t="shared" si="2"/>
        <v>1</v>
      </c>
    </row>
    <row r="147" spans="1:23" x14ac:dyDescent="0.45">
      <c r="A147" s="38">
        <v>65</v>
      </c>
      <c r="B147" s="38" t="s">
        <v>257</v>
      </c>
      <c r="C147" s="38">
        <v>5466.1873159999996</v>
      </c>
      <c r="D147" s="38">
        <v>2724</v>
      </c>
      <c r="E147" s="38">
        <v>4.2079999999999999E-3</v>
      </c>
      <c r="F147" s="38">
        <v>128</v>
      </c>
      <c r="G147" s="38">
        <v>105</v>
      </c>
      <c r="H147" s="38">
        <v>4.6350000000000002E-3</v>
      </c>
      <c r="I147" s="38">
        <v>101</v>
      </c>
      <c r="J147" s="38">
        <v>120</v>
      </c>
      <c r="K147" s="38" t="s">
        <v>119</v>
      </c>
      <c r="L147" s="38">
        <v>77991.356365</v>
      </c>
      <c r="M147" s="38">
        <v>5466.1873159999996</v>
      </c>
      <c r="N147" s="38" t="s">
        <v>119</v>
      </c>
      <c r="O147" s="38" t="s">
        <v>119</v>
      </c>
      <c r="P147" s="38" t="s">
        <v>119</v>
      </c>
      <c r="Q147" s="38" t="s">
        <v>119</v>
      </c>
      <c r="R147" s="38" t="s">
        <v>119</v>
      </c>
      <c r="S147" s="38" t="s">
        <v>119</v>
      </c>
      <c r="T147" s="38">
        <v>2829</v>
      </c>
      <c r="V147" s="81">
        <v>2724</v>
      </c>
      <c r="W147" s="38">
        <f t="shared" si="2"/>
        <v>1</v>
      </c>
    </row>
    <row r="148" spans="1:23" x14ac:dyDescent="0.45">
      <c r="A148" s="38">
        <v>70</v>
      </c>
      <c r="B148" s="38" t="s">
        <v>257</v>
      </c>
      <c r="C148" s="38">
        <v>6185.1212990000004</v>
      </c>
      <c r="D148" s="38">
        <v>2725</v>
      </c>
      <c r="E148" s="38">
        <v>2.9099999999999998E-3</v>
      </c>
      <c r="F148" s="38">
        <v>127</v>
      </c>
      <c r="G148" s="38">
        <v>109</v>
      </c>
      <c r="H148" s="38">
        <v>1.9400000000000001E-3</v>
      </c>
      <c r="I148" s="38">
        <v>111</v>
      </c>
      <c r="J148" s="38">
        <v>120</v>
      </c>
      <c r="K148" s="38" t="s">
        <v>119</v>
      </c>
      <c r="L148" s="38">
        <v>80114.364119999998</v>
      </c>
      <c r="M148" s="38">
        <v>6185.1212990000004</v>
      </c>
      <c r="N148" s="38" t="s">
        <v>119</v>
      </c>
      <c r="O148" s="38" t="s">
        <v>119</v>
      </c>
      <c r="P148" s="38" t="s">
        <v>119</v>
      </c>
      <c r="Q148" s="38" t="s">
        <v>119</v>
      </c>
      <c r="R148" s="38" t="s">
        <v>119</v>
      </c>
      <c r="S148" s="38" t="s">
        <v>119</v>
      </c>
      <c r="T148" s="38">
        <v>2834</v>
      </c>
      <c r="V148" s="81">
        <v>2725</v>
      </c>
      <c r="W148" s="38">
        <f t="shared" si="2"/>
        <v>1</v>
      </c>
    </row>
    <row r="149" spans="1:23" x14ac:dyDescent="0.45">
      <c r="A149" s="38">
        <v>88</v>
      </c>
      <c r="B149" s="38" t="s">
        <v>257</v>
      </c>
      <c r="C149" s="38">
        <v>12371.328003000001</v>
      </c>
      <c r="D149" s="38">
        <v>2729</v>
      </c>
      <c r="E149" s="38">
        <v>3.1519999999999999E-3</v>
      </c>
      <c r="F149" s="38">
        <v>119</v>
      </c>
      <c r="G149" s="38">
        <v>80</v>
      </c>
      <c r="H149" s="38">
        <v>3.1259999999999999E-3</v>
      </c>
      <c r="I149" s="38">
        <v>84</v>
      </c>
      <c r="J149" s="38">
        <v>113</v>
      </c>
      <c r="K149" s="38" t="s">
        <v>119</v>
      </c>
      <c r="L149" s="38">
        <v>75179.439880000005</v>
      </c>
      <c r="M149" s="38">
        <v>12371.328003000001</v>
      </c>
      <c r="N149" s="38" t="s">
        <v>119</v>
      </c>
      <c r="O149" s="38" t="s">
        <v>119</v>
      </c>
      <c r="P149" s="38" t="s">
        <v>119</v>
      </c>
      <c r="Q149" s="38" t="s">
        <v>119</v>
      </c>
      <c r="R149" s="38" t="s">
        <v>119</v>
      </c>
      <c r="S149" s="38" t="s">
        <v>119</v>
      </c>
      <c r="T149" s="38">
        <v>2852</v>
      </c>
      <c r="V149" s="81">
        <v>2729</v>
      </c>
      <c r="W149" s="38">
        <f t="shared" si="2"/>
        <v>1</v>
      </c>
    </row>
    <row r="150" spans="1:23" x14ac:dyDescent="0.45">
      <c r="A150" s="38">
        <v>103</v>
      </c>
      <c r="B150" s="38" t="s">
        <v>257</v>
      </c>
      <c r="C150" s="38">
        <v>4320.6159790000002</v>
      </c>
      <c r="D150" s="38">
        <v>2730</v>
      </c>
      <c r="E150" s="38">
        <v>1.3655E-2</v>
      </c>
      <c r="F150" s="38">
        <v>174</v>
      </c>
      <c r="G150" s="38">
        <v>115</v>
      </c>
      <c r="H150" s="38">
        <v>7.4060000000000003E-3</v>
      </c>
      <c r="I150" s="38">
        <v>116</v>
      </c>
      <c r="J150" s="38">
        <v>140</v>
      </c>
      <c r="K150" s="38" t="s">
        <v>119</v>
      </c>
      <c r="L150" s="38">
        <v>78624.199076999997</v>
      </c>
      <c r="M150" s="38">
        <v>4320.6159790000002</v>
      </c>
      <c r="N150" s="38" t="s">
        <v>119</v>
      </c>
      <c r="O150" s="38" t="s">
        <v>119</v>
      </c>
      <c r="P150" s="38" t="s">
        <v>119</v>
      </c>
      <c r="Q150" s="38" t="s">
        <v>119</v>
      </c>
      <c r="R150" s="38" t="s">
        <v>119</v>
      </c>
      <c r="S150" s="38" t="s">
        <v>119</v>
      </c>
      <c r="T150" s="38">
        <v>2867</v>
      </c>
      <c r="V150" s="81">
        <v>2730</v>
      </c>
      <c r="W150" s="38">
        <f t="shared" si="2"/>
        <v>1</v>
      </c>
    </row>
    <row r="151" spans="1:23" x14ac:dyDescent="0.45">
      <c r="A151" s="38">
        <v>118</v>
      </c>
      <c r="B151" s="38" t="s">
        <v>257</v>
      </c>
      <c r="C151" s="38">
        <v>2381.5548330000001</v>
      </c>
      <c r="D151" s="38">
        <v>2734</v>
      </c>
      <c r="E151" s="38">
        <v>6.718E-3</v>
      </c>
      <c r="F151" s="38">
        <v>133</v>
      </c>
      <c r="G151" s="38">
        <v>117</v>
      </c>
      <c r="H151" s="38">
        <v>3.359E-3</v>
      </c>
      <c r="I151" s="38">
        <v>110</v>
      </c>
      <c r="J151" s="38">
        <v>116</v>
      </c>
      <c r="K151" s="38" t="s">
        <v>119</v>
      </c>
      <c r="L151" s="38">
        <v>85511.725227999996</v>
      </c>
      <c r="M151" s="38">
        <v>2381.5548330000001</v>
      </c>
      <c r="N151" s="38" t="s">
        <v>119</v>
      </c>
      <c r="O151" s="38" t="s">
        <v>119</v>
      </c>
      <c r="P151" s="38" t="s">
        <v>119</v>
      </c>
      <c r="Q151" s="38" t="s">
        <v>119</v>
      </c>
      <c r="R151" s="38" t="s">
        <v>119</v>
      </c>
      <c r="S151" s="38" t="s">
        <v>119</v>
      </c>
      <c r="T151" s="38">
        <v>2882</v>
      </c>
      <c r="V151" s="81">
        <v>2734</v>
      </c>
      <c r="W151" s="38">
        <f t="shared" si="2"/>
        <v>1</v>
      </c>
    </row>
    <row r="152" spans="1:23" x14ac:dyDescent="0.45">
      <c r="A152" s="38">
        <v>113</v>
      </c>
      <c r="B152" s="38" t="s">
        <v>257</v>
      </c>
      <c r="C152" s="38">
        <v>5896.5043260000002</v>
      </c>
      <c r="D152" s="38">
        <v>2735</v>
      </c>
      <c r="E152" s="38">
        <v>1.8485999999999999E-2</v>
      </c>
      <c r="F152" s="38">
        <v>224</v>
      </c>
      <c r="G152" s="38">
        <v>115</v>
      </c>
      <c r="H152" s="38">
        <v>6.1050000000000002E-3</v>
      </c>
      <c r="I152" s="38">
        <v>120</v>
      </c>
      <c r="J152" s="38">
        <v>147</v>
      </c>
      <c r="K152" s="38" t="s">
        <v>119</v>
      </c>
      <c r="L152" s="38">
        <v>90305.748493999999</v>
      </c>
      <c r="M152" s="38">
        <v>5896.5043260000002</v>
      </c>
      <c r="N152" s="38" t="s">
        <v>119</v>
      </c>
      <c r="O152" s="38" t="s">
        <v>119</v>
      </c>
      <c r="P152" s="38" t="s">
        <v>119</v>
      </c>
      <c r="Q152" s="38" t="s">
        <v>119</v>
      </c>
      <c r="R152" s="38" t="s">
        <v>119</v>
      </c>
      <c r="S152" s="38" t="s">
        <v>119</v>
      </c>
      <c r="T152" s="38">
        <v>2877</v>
      </c>
      <c r="V152" s="81">
        <v>2735</v>
      </c>
      <c r="W152" s="38">
        <f t="shared" si="2"/>
        <v>1</v>
      </c>
    </row>
    <row r="153" spans="1:23" x14ac:dyDescent="0.45">
      <c r="A153" s="38">
        <v>122</v>
      </c>
      <c r="B153" s="38" t="s">
        <v>257</v>
      </c>
      <c r="C153" s="38">
        <v>2856.783457</v>
      </c>
      <c r="D153" s="38">
        <v>2739</v>
      </c>
      <c r="E153" s="38">
        <v>8.0510000000000009E-3</v>
      </c>
      <c r="F153" s="38">
        <v>140</v>
      </c>
      <c r="G153" s="38">
        <v>117</v>
      </c>
      <c r="H153" s="38">
        <v>2.8E-3</v>
      </c>
      <c r="I153" s="38">
        <v>118</v>
      </c>
      <c r="J153" s="38">
        <v>124</v>
      </c>
      <c r="K153" s="38" t="s">
        <v>119</v>
      </c>
      <c r="L153" s="38">
        <v>85989.542686999994</v>
      </c>
      <c r="M153" s="38">
        <v>2856.783457</v>
      </c>
      <c r="N153" s="38" t="s">
        <v>119</v>
      </c>
      <c r="O153" s="38" t="s">
        <v>119</v>
      </c>
      <c r="P153" s="38" t="s">
        <v>119</v>
      </c>
      <c r="Q153" s="38" t="s">
        <v>119</v>
      </c>
      <c r="R153" s="38" t="s">
        <v>119</v>
      </c>
      <c r="S153" s="38" t="s">
        <v>119</v>
      </c>
      <c r="T153" s="38">
        <v>2886</v>
      </c>
      <c r="V153" s="81">
        <v>2739</v>
      </c>
      <c r="W153" s="38">
        <f t="shared" si="2"/>
        <v>1</v>
      </c>
    </row>
    <row r="154" spans="1:23" x14ac:dyDescent="0.45">
      <c r="A154" s="38">
        <v>115</v>
      </c>
      <c r="B154" s="38" t="s">
        <v>257</v>
      </c>
      <c r="C154" s="38">
        <v>8813.5222730000005</v>
      </c>
      <c r="D154" s="38">
        <v>2740</v>
      </c>
      <c r="E154" s="38">
        <v>1.18E-2</v>
      </c>
      <c r="F154" s="38">
        <v>218</v>
      </c>
      <c r="G154" s="38">
        <v>114</v>
      </c>
      <c r="H154" s="38">
        <v>7.2620000000000002E-3</v>
      </c>
      <c r="I154" s="38">
        <v>125</v>
      </c>
      <c r="J154" s="38">
        <v>173</v>
      </c>
      <c r="K154" s="38" t="s">
        <v>119</v>
      </c>
      <c r="L154" s="38">
        <v>93283.197988</v>
      </c>
      <c r="M154" s="38">
        <v>8813.5222730000005</v>
      </c>
      <c r="N154" s="38" t="s">
        <v>119</v>
      </c>
      <c r="O154" s="38" t="s">
        <v>119</v>
      </c>
      <c r="P154" s="38" t="s">
        <v>119</v>
      </c>
      <c r="Q154" s="38" t="s">
        <v>119</v>
      </c>
      <c r="R154" s="38" t="s">
        <v>119</v>
      </c>
      <c r="S154" s="38" t="s">
        <v>119</v>
      </c>
      <c r="T154" s="38">
        <v>2879</v>
      </c>
      <c r="V154" s="81">
        <v>2740</v>
      </c>
      <c r="W154" s="38">
        <f t="shared" si="2"/>
        <v>1</v>
      </c>
    </row>
    <row r="155" spans="1:23" x14ac:dyDescent="0.45">
      <c r="A155" s="38">
        <v>143</v>
      </c>
      <c r="B155" s="38" t="s">
        <v>257</v>
      </c>
      <c r="C155" s="38">
        <v>5138.890238</v>
      </c>
      <c r="D155" s="38">
        <v>2744</v>
      </c>
      <c r="E155" s="38">
        <v>2.1600000000000001E-2</v>
      </c>
      <c r="F155" s="38">
        <v>216</v>
      </c>
      <c r="G155" s="38">
        <v>105</v>
      </c>
      <c r="H155" s="38">
        <v>2.8540000000000002E-3</v>
      </c>
      <c r="I155" s="38">
        <v>104</v>
      </c>
      <c r="J155" s="38">
        <v>115</v>
      </c>
      <c r="K155" s="38" t="s">
        <v>119</v>
      </c>
      <c r="L155" s="38">
        <v>86688.806756000005</v>
      </c>
      <c r="M155" s="38">
        <v>5138.890238</v>
      </c>
      <c r="N155" s="38" t="s">
        <v>119</v>
      </c>
      <c r="O155" s="38" t="s">
        <v>119</v>
      </c>
      <c r="P155" s="38" t="s">
        <v>119</v>
      </c>
      <c r="Q155" s="38" t="s">
        <v>119</v>
      </c>
      <c r="R155" s="38" t="s">
        <v>119</v>
      </c>
      <c r="S155" s="38" t="s">
        <v>119</v>
      </c>
      <c r="T155" s="38">
        <v>2907</v>
      </c>
      <c r="V155" s="81">
        <v>2744</v>
      </c>
      <c r="W155" s="38">
        <f t="shared" si="2"/>
        <v>1</v>
      </c>
    </row>
    <row r="156" spans="1:23" x14ac:dyDescent="0.45">
      <c r="A156" s="38">
        <v>131</v>
      </c>
      <c r="B156" s="38" t="s">
        <v>257</v>
      </c>
      <c r="C156" s="38">
        <v>7403.5348990000002</v>
      </c>
      <c r="D156" s="38">
        <v>2745</v>
      </c>
      <c r="E156" s="38">
        <v>8.3739999999999995E-3</v>
      </c>
      <c r="F156" s="38">
        <v>176</v>
      </c>
      <c r="G156" s="38">
        <v>114</v>
      </c>
      <c r="H156" s="38">
        <v>3.2420000000000001E-3</v>
      </c>
      <c r="I156" s="38">
        <v>116</v>
      </c>
      <c r="J156" s="38">
        <v>134</v>
      </c>
      <c r="K156" s="38" t="s">
        <v>119</v>
      </c>
      <c r="L156" s="38">
        <v>92935.495064999996</v>
      </c>
      <c r="M156" s="38">
        <v>7403.5348990000002</v>
      </c>
      <c r="N156" s="38" t="s">
        <v>119</v>
      </c>
      <c r="O156" s="38" t="s">
        <v>119</v>
      </c>
      <c r="P156" s="38" t="s">
        <v>119</v>
      </c>
      <c r="Q156" s="38" t="s">
        <v>119</v>
      </c>
      <c r="R156" s="38" t="s">
        <v>119</v>
      </c>
      <c r="S156" s="38" t="s">
        <v>119</v>
      </c>
      <c r="T156" s="38">
        <v>2895</v>
      </c>
      <c r="V156" s="81">
        <v>2745</v>
      </c>
      <c r="W156" s="38">
        <f t="shared" si="2"/>
        <v>1</v>
      </c>
    </row>
    <row r="157" spans="1:23" x14ac:dyDescent="0.45">
      <c r="A157" s="38">
        <v>144</v>
      </c>
      <c r="B157" s="38" t="s">
        <v>257</v>
      </c>
      <c r="C157" s="38">
        <v>2858.4077360000001</v>
      </c>
      <c r="D157" s="38">
        <v>2749</v>
      </c>
      <c r="E157" s="38">
        <v>4.0932000000000003E-2</v>
      </c>
      <c r="F157" s="38">
        <v>227</v>
      </c>
      <c r="G157" s="38">
        <v>110</v>
      </c>
      <c r="H157" s="38">
        <v>1.2128E-2</v>
      </c>
      <c r="I157" s="38">
        <v>114</v>
      </c>
      <c r="J157" s="38">
        <v>140</v>
      </c>
      <c r="K157" s="38" t="s">
        <v>119</v>
      </c>
      <c r="L157" s="38">
        <v>86099.162095000007</v>
      </c>
      <c r="M157" s="38">
        <v>2858.4077360000001</v>
      </c>
      <c r="N157" s="38" t="s">
        <v>119</v>
      </c>
      <c r="O157" s="38" t="s">
        <v>119</v>
      </c>
      <c r="P157" s="38" t="s">
        <v>119</v>
      </c>
      <c r="Q157" s="38" t="s">
        <v>119</v>
      </c>
      <c r="R157" s="38" t="s">
        <v>119</v>
      </c>
      <c r="S157" s="38" t="s">
        <v>119</v>
      </c>
      <c r="T157" s="38">
        <v>2908</v>
      </c>
      <c r="V157" s="81">
        <v>2749</v>
      </c>
      <c r="W157" s="38">
        <f t="shared" si="2"/>
        <v>1</v>
      </c>
    </row>
    <row r="158" spans="1:23" x14ac:dyDescent="0.45">
      <c r="A158" s="38">
        <v>150</v>
      </c>
      <c r="B158" s="38" t="s">
        <v>257</v>
      </c>
      <c r="C158" s="38">
        <v>2852.1893030000001</v>
      </c>
      <c r="D158" s="38">
        <v>2750</v>
      </c>
      <c r="E158" s="38">
        <v>7.3629999999999998E-3</v>
      </c>
      <c r="F158" s="38">
        <v>135</v>
      </c>
      <c r="G158" s="38">
        <v>114</v>
      </c>
      <c r="H158" s="38">
        <v>2.8050000000000002E-3</v>
      </c>
      <c r="I158" s="38">
        <v>115</v>
      </c>
      <c r="J158" s="38">
        <v>121</v>
      </c>
      <c r="K158" s="38" t="s">
        <v>119</v>
      </c>
      <c r="L158" s="38">
        <v>87329.339764000004</v>
      </c>
      <c r="M158" s="38">
        <v>2852.1893030000001</v>
      </c>
      <c r="N158" s="38" t="s">
        <v>119</v>
      </c>
      <c r="O158" s="38" t="s">
        <v>119</v>
      </c>
      <c r="P158" s="38" t="s">
        <v>119</v>
      </c>
      <c r="Q158" s="38" t="s">
        <v>119</v>
      </c>
      <c r="R158" s="38" t="s">
        <v>119</v>
      </c>
      <c r="S158" s="38" t="s">
        <v>119</v>
      </c>
      <c r="T158" s="38">
        <v>2914</v>
      </c>
      <c r="V158" s="81">
        <v>2750</v>
      </c>
      <c r="W158" s="38">
        <f t="shared" si="2"/>
        <v>1</v>
      </c>
    </row>
    <row r="159" spans="1:23" x14ac:dyDescent="0.45">
      <c r="A159" s="38">
        <v>145</v>
      </c>
      <c r="B159" s="38" t="s">
        <v>257</v>
      </c>
      <c r="C159" s="38">
        <v>1692.646103</v>
      </c>
      <c r="D159" s="38">
        <v>2760</v>
      </c>
      <c r="E159" s="38">
        <v>4.1359999999999999E-3</v>
      </c>
      <c r="F159" s="38">
        <v>116</v>
      </c>
      <c r="G159" s="38">
        <v>109</v>
      </c>
      <c r="H159" s="38">
        <v>-1.575E-3</v>
      </c>
      <c r="I159" s="38">
        <v>111</v>
      </c>
      <c r="J159" s="38">
        <v>109</v>
      </c>
      <c r="K159" s="38" t="s">
        <v>119</v>
      </c>
      <c r="L159" s="38">
        <v>84930.811627000003</v>
      </c>
      <c r="M159" s="38">
        <v>1692.646103</v>
      </c>
      <c r="N159" s="38" t="s">
        <v>119</v>
      </c>
      <c r="O159" s="38" t="s">
        <v>119</v>
      </c>
      <c r="P159" s="38" t="s">
        <v>119</v>
      </c>
      <c r="Q159" s="38" t="s">
        <v>119</v>
      </c>
      <c r="R159" s="38" t="s">
        <v>119</v>
      </c>
      <c r="S159" s="38" t="s">
        <v>119</v>
      </c>
      <c r="T159" s="38">
        <v>2909</v>
      </c>
      <c r="V159" s="81">
        <v>2760</v>
      </c>
      <c r="W159" s="38">
        <f t="shared" si="2"/>
        <v>1</v>
      </c>
    </row>
    <row r="160" spans="1:23" x14ac:dyDescent="0.45">
      <c r="A160" s="38">
        <v>157</v>
      </c>
      <c r="B160" s="38" t="s">
        <v>257</v>
      </c>
      <c r="C160" s="38">
        <v>13511.669368999999</v>
      </c>
      <c r="D160" s="38">
        <v>2761</v>
      </c>
      <c r="E160" s="38">
        <v>2.1833000000000002E-2</v>
      </c>
      <c r="F160" s="38">
        <v>406</v>
      </c>
      <c r="G160" s="38">
        <v>111</v>
      </c>
      <c r="H160" s="38">
        <v>1.4506E-2</v>
      </c>
      <c r="I160" s="38">
        <v>117</v>
      </c>
      <c r="J160" s="38">
        <v>264</v>
      </c>
      <c r="K160" s="38" t="s">
        <v>119</v>
      </c>
      <c r="L160" s="38">
        <v>98145.697988</v>
      </c>
      <c r="M160" s="38">
        <v>13511.669368999999</v>
      </c>
      <c r="N160" s="38" t="s">
        <v>119</v>
      </c>
      <c r="O160" s="38" t="s">
        <v>119</v>
      </c>
      <c r="P160" s="38" t="s">
        <v>119</v>
      </c>
      <c r="Q160" s="38" t="s">
        <v>119</v>
      </c>
      <c r="R160" s="38" t="s">
        <v>119</v>
      </c>
      <c r="S160" s="38" t="s">
        <v>119</v>
      </c>
      <c r="T160" s="38">
        <v>2921</v>
      </c>
      <c r="V160" s="81">
        <v>2761</v>
      </c>
      <c r="W160" s="38">
        <f t="shared" si="2"/>
        <v>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44E4E3-7AA5-412E-9D11-DE8360189278}">
  <dimension ref="B2:B22"/>
  <sheetViews>
    <sheetView showGridLines="0" showRowColHeaders="0" zoomScale="115" zoomScaleNormal="115" workbookViewId="0">
      <selection activeCell="B7" sqref="B7"/>
    </sheetView>
  </sheetViews>
  <sheetFormatPr defaultColWidth="11.3984375" defaultRowHeight="16.5" x14ac:dyDescent="0.45"/>
  <cols>
    <col min="1" max="1" width="2.73046875" style="80" customWidth="1"/>
    <col min="2" max="2" width="63.86328125" style="80" customWidth="1"/>
    <col min="3" max="16384" width="11.3984375" style="80"/>
  </cols>
  <sheetData>
    <row r="2" spans="2:2" x14ac:dyDescent="0.45">
      <c r="B2" s="82" t="s">
        <v>474</v>
      </c>
    </row>
    <row r="3" spans="2:2" x14ac:dyDescent="0.45">
      <c r="B3" s="83" t="s">
        <v>475</v>
      </c>
    </row>
    <row r="4" spans="2:2" x14ac:dyDescent="0.45">
      <c r="B4" s="83" t="s">
        <v>476</v>
      </c>
    </row>
    <row r="5" spans="2:2" x14ac:dyDescent="0.45">
      <c r="B5" s="82"/>
    </row>
    <row r="6" spans="2:2" x14ac:dyDescent="0.45">
      <c r="B6" s="82" t="s">
        <v>477</v>
      </c>
    </row>
    <row r="7" spans="2:2" x14ac:dyDescent="0.45">
      <c r="B7" s="84" t="s">
        <v>478</v>
      </c>
    </row>
    <row r="22" spans="2:2" x14ac:dyDescent="0.45">
      <c r="B22" s="85" t="s">
        <v>479</v>
      </c>
    </row>
  </sheetData>
  <sheetProtection algorithmName="SHA-512" hashValue="bTceIAnuQBpB8+f6rzttpkszPIc8jELrlfCRKErPltUjte8lOzcd5XNQgb2o9GYWOc1rapIGzlpccuIQ5ZvneQ==" saltValue="rlLEvjSGVDIHlX8xFrO/6Q==" spinCount="100000" sheet="1" objects="1" scenarios="1" selectLockedCells="1"/>
  <hyperlinks>
    <hyperlink ref="B3" r:id="rId1" xr:uid="{466171FE-1EB2-4662-95C3-37AF504F581E}"/>
    <hyperlink ref="B4" r:id="rId2" xr:uid="{9F850344-2DCA-4F13-9782-5A35EA1F062D}"/>
    <hyperlink ref="B7" r:id="rId3" xr:uid="{704FBB17-86B3-4E7A-A53C-2ED1D2E3018D}"/>
  </hyperlinks>
  <pageMargins left="0.7" right="0.7" top="0.75" bottom="0.75" header="0.3" footer="0.3"/>
  <pageSetup paperSize="9" orientation="portrait" r:id="rId4"/>
  <drawing r:id="rId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Charts</vt:lpstr>
      </vt:variant>
      <vt:variant>
        <vt:i4>1</vt:i4>
      </vt:variant>
    </vt:vector>
  </HeadingPairs>
  <TitlesOfParts>
    <vt:vector size="7" baseType="lpstr">
      <vt:lpstr>Intro</vt:lpstr>
      <vt:lpstr>tc y Morf.</vt:lpstr>
      <vt:lpstr>BasinTemp</vt:lpstr>
      <vt:lpstr>RiverTemp</vt:lpstr>
      <vt:lpstr>Temp</vt:lpstr>
      <vt:lpstr>{R}</vt:lpstr>
      <vt:lpstr>tc, Graph</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LENOVO</dc:creator>
  <cp:lastModifiedBy>WILLIAM RICARDO AGUILAR PIÑA</cp:lastModifiedBy>
  <dcterms:created xsi:type="dcterms:W3CDTF">2017-05-02T21:15:48Z</dcterms:created>
  <dcterms:modified xsi:type="dcterms:W3CDTF">2026-04-16T18:12:17Z</dcterms:modified>
</cp:coreProperties>
</file>