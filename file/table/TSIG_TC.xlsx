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drawings/drawing2.xml" ContentType="application/vnd.openxmlformats-officedocument.drawing+xml"/>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3"/>
  <workbookPr defaultThemeVersion="166925"/>
  <mc:AlternateContent xmlns:mc="http://schemas.openxmlformats.org/markup-compatibility/2006">
    <mc:Choice Requires="x15">
      <x15ac:absPath xmlns:x15ac="http://schemas.microsoft.com/office/spreadsheetml/2010/11/ac" url="D:\R.TSIG\file\table\"/>
    </mc:Choice>
  </mc:AlternateContent>
  <xr:revisionPtr revIDLastSave="0" documentId="13_ncr:1_{30711FD6-40F9-40C5-932A-C64172DE0002}" xr6:coauthVersionLast="47" xr6:coauthVersionMax="47" xr10:uidLastSave="{00000000-0000-0000-0000-000000000000}"/>
  <bookViews>
    <workbookView xWindow="-28898" yWindow="6368" windowWidth="28996" windowHeight="15675" tabRatio="721" activeTab="1" xr2:uid="{00000000-000D-0000-FFFF-FFFF00000000}"/>
  </bookViews>
  <sheets>
    <sheet name="Intro" sheetId="27" r:id="rId1"/>
    <sheet name="tc y Morf." sheetId="21" r:id="rId2"/>
    <sheet name="tc, Graph" sheetId="26" r:id="rId3"/>
    <sheet name="BasinTemp" sheetId="22" r:id="rId4"/>
    <sheet name="RiverTemp" sheetId="23" r:id="rId5"/>
    <sheet name="Temp" sheetId="24" r:id="rId6"/>
    <sheet name="{R}" sheetId="29" r:id="rId7"/>
  </sheets>
  <definedNames>
    <definedName name="_xlnm._FilterDatabase" localSheetId="1" hidden="1">'tc y Morf.'!$B$9:$AN$213</definedName>
    <definedName name="_xlnm.Databa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50" i="21" l="1"/>
  <c r="AC150" i="21"/>
  <c r="AC13" i="21"/>
  <c r="AE13" i="21"/>
  <c r="O13" i="21"/>
  <c r="AL13" i="21"/>
  <c r="AK13" i="21"/>
  <c r="AJ13" i="21"/>
  <c r="W149" i="24"/>
  <c r="W150" i="24"/>
  <c r="W151" i="24"/>
  <c r="W152" i="24"/>
  <c r="W153" i="24"/>
  <c r="W154" i="24"/>
  <c r="W155" i="24"/>
  <c r="W156" i="24"/>
  <c r="W157" i="24"/>
  <c r="W158" i="24"/>
  <c r="W159" i="24"/>
  <c r="W160" i="24"/>
  <c r="W146" i="24"/>
  <c r="W147" i="24"/>
  <c r="W148" i="24"/>
  <c r="W135" i="24"/>
  <c r="W136" i="24"/>
  <c r="W137" i="24"/>
  <c r="W138" i="24"/>
  <c r="W139" i="24"/>
  <c r="W140" i="24"/>
  <c r="W141" i="24"/>
  <c r="W142" i="24"/>
  <c r="W143" i="24"/>
  <c r="W144" i="24"/>
  <c r="W145" i="24"/>
  <c r="W125" i="24"/>
  <c r="W126" i="24"/>
  <c r="W127" i="24"/>
  <c r="W128" i="24"/>
  <c r="W129" i="24"/>
  <c r="W130" i="24"/>
  <c r="W131" i="24"/>
  <c r="W132" i="24"/>
  <c r="W133" i="24"/>
  <c r="W134" i="24"/>
  <c r="W120" i="24"/>
  <c r="W121" i="24"/>
  <c r="W122" i="24"/>
  <c r="W123" i="24"/>
  <c r="W124" i="24"/>
  <c r="W105" i="24"/>
  <c r="W106" i="24"/>
  <c r="W107" i="24"/>
  <c r="W108" i="24"/>
  <c r="W109" i="24"/>
  <c r="W110" i="24"/>
  <c r="W111" i="24"/>
  <c r="W112" i="24"/>
  <c r="W113" i="24"/>
  <c r="W114" i="24"/>
  <c r="W115" i="24"/>
  <c r="W116" i="24"/>
  <c r="W117" i="24"/>
  <c r="W118" i="24"/>
  <c r="W119" i="24"/>
  <c r="W87" i="24"/>
  <c r="W88" i="24"/>
  <c r="W89" i="24"/>
  <c r="W90" i="24"/>
  <c r="W91" i="24"/>
  <c r="W92" i="24"/>
  <c r="W93" i="24"/>
  <c r="W94" i="24"/>
  <c r="W95" i="24"/>
  <c r="W96" i="24"/>
  <c r="W97" i="24"/>
  <c r="W98" i="24"/>
  <c r="W99" i="24"/>
  <c r="W100" i="24"/>
  <c r="W101" i="24"/>
  <c r="W102" i="24"/>
  <c r="W103" i="24"/>
  <c r="W104" i="24"/>
  <c r="W81" i="24"/>
  <c r="W82" i="24"/>
  <c r="W83" i="24"/>
  <c r="W84" i="24"/>
  <c r="W85" i="24"/>
  <c r="W86" i="24"/>
  <c r="W75" i="24"/>
  <c r="W76" i="24"/>
  <c r="W77" i="24"/>
  <c r="W78" i="24"/>
  <c r="W79" i="24"/>
  <c r="W80" i="24"/>
  <c r="W66" i="24"/>
  <c r="W67" i="24"/>
  <c r="W68" i="24"/>
  <c r="W69" i="24"/>
  <c r="W70" i="24"/>
  <c r="W71" i="24"/>
  <c r="W72" i="24"/>
  <c r="W73" i="24"/>
  <c r="W74" i="24"/>
  <c r="W5" i="24"/>
  <c r="W6" i="24"/>
  <c r="W7" i="24"/>
  <c r="W8" i="24"/>
  <c r="W9" i="24"/>
  <c r="W10" i="24"/>
  <c r="W11" i="24"/>
  <c r="W12" i="24"/>
  <c r="W13" i="24"/>
  <c r="W14" i="24"/>
  <c r="W15" i="24"/>
  <c r="W16" i="24"/>
  <c r="W17" i="24"/>
  <c r="W18" i="24"/>
  <c r="W19" i="24"/>
  <c r="W20" i="24"/>
  <c r="W21" i="24"/>
  <c r="W22" i="24"/>
  <c r="W23" i="24"/>
  <c r="W24" i="24"/>
  <c r="W25" i="24"/>
  <c r="W26" i="24"/>
  <c r="W27" i="24"/>
  <c r="W28" i="24"/>
  <c r="W29" i="24"/>
  <c r="W30" i="24"/>
  <c r="W31" i="24"/>
  <c r="W32" i="24"/>
  <c r="W33" i="24"/>
  <c r="W34" i="24"/>
  <c r="W35" i="24"/>
  <c r="W36" i="24"/>
  <c r="W37" i="24"/>
  <c r="W38" i="24"/>
  <c r="W39" i="24"/>
  <c r="W40" i="24"/>
  <c r="W41" i="24"/>
  <c r="W42" i="24"/>
  <c r="W43" i="24"/>
  <c r="W44" i="24"/>
  <c r="W45" i="24"/>
  <c r="W46" i="24"/>
  <c r="W47" i="24"/>
  <c r="W48" i="24"/>
  <c r="W49" i="24"/>
  <c r="W50" i="24"/>
  <c r="W51" i="24"/>
  <c r="W52" i="24"/>
  <c r="W53" i="24"/>
  <c r="W54" i="24"/>
  <c r="W55" i="24"/>
  <c r="W56" i="24"/>
  <c r="W57" i="24"/>
  <c r="W58" i="24"/>
  <c r="W59" i="24"/>
  <c r="W60" i="24"/>
  <c r="W61" i="24"/>
  <c r="W62" i="24"/>
  <c r="W63" i="24"/>
  <c r="W64" i="24"/>
  <c r="W65" i="24"/>
  <c r="W3" i="24"/>
  <c r="W4" i="24"/>
  <c r="W2" i="24"/>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146" i="23"/>
  <c r="I147" i="23"/>
  <c r="I148" i="23"/>
  <c r="I149" i="23"/>
  <c r="I150" i="23"/>
  <c r="I151" i="23"/>
  <c r="I152" i="23"/>
  <c r="I153" i="23"/>
  <c r="I154" i="23"/>
  <c r="I155" i="23"/>
  <c r="I156" i="23"/>
  <c r="I157" i="23"/>
  <c r="I158" i="23"/>
  <c r="I159" i="23"/>
  <c r="I160" i="23"/>
  <c r="I2" i="23"/>
  <c r="T13" i="21"/>
  <c r="F3" i="22"/>
  <c r="F4" i="22"/>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F37" i="22"/>
  <c r="F38" i="22"/>
  <c r="F39" i="22"/>
  <c r="F40" i="22"/>
  <c r="F41" i="22"/>
  <c r="F42" i="22"/>
  <c r="F43" i="22"/>
  <c r="F44" i="22"/>
  <c r="F45" i="22"/>
  <c r="F46" i="22"/>
  <c r="F47" i="22"/>
  <c r="F48" i="22"/>
  <c r="F49" i="22"/>
  <c r="F50" i="22"/>
  <c r="F51" i="22"/>
  <c r="F52" i="22"/>
  <c r="F53" i="22"/>
  <c r="F54" i="22"/>
  <c r="F55" i="22"/>
  <c r="F56" i="22"/>
  <c r="F57" i="22"/>
  <c r="F58" i="22"/>
  <c r="F59" i="22"/>
  <c r="F60" i="22"/>
  <c r="F61" i="22"/>
  <c r="F62" i="22"/>
  <c r="F63" i="22"/>
  <c r="F64" i="22"/>
  <c r="F65" i="22"/>
  <c r="F66" i="22"/>
  <c r="F67" i="22"/>
  <c r="F68" i="22"/>
  <c r="F69" i="22"/>
  <c r="F70" i="22"/>
  <c r="F71" i="22"/>
  <c r="F72" i="22"/>
  <c r="F73" i="22"/>
  <c r="F74" i="22"/>
  <c r="F75" i="22"/>
  <c r="F76" i="22"/>
  <c r="F77" i="22"/>
  <c r="F78" i="22"/>
  <c r="F79" i="22"/>
  <c r="F80" i="22"/>
  <c r="F81" i="22"/>
  <c r="F82" i="22"/>
  <c r="F83" i="22"/>
  <c r="F84" i="22"/>
  <c r="F85" i="22"/>
  <c r="F86" i="22"/>
  <c r="F87" i="22"/>
  <c r="F88" i="22"/>
  <c r="F89" i="22"/>
  <c r="F90" i="22"/>
  <c r="F91" i="22"/>
  <c r="F92" i="22"/>
  <c r="F93" i="22"/>
  <c r="F94" i="22"/>
  <c r="F95" i="22"/>
  <c r="F96" i="22"/>
  <c r="F97" i="22"/>
  <c r="F98" i="22"/>
  <c r="F99" i="22"/>
  <c r="F100" i="22"/>
  <c r="F101" i="22"/>
  <c r="F102" i="22"/>
  <c r="F103" i="22"/>
  <c r="F104" i="22"/>
  <c r="F105" i="22"/>
  <c r="F106" i="22"/>
  <c r="F107" i="22"/>
  <c r="F108" i="22"/>
  <c r="F109" i="22"/>
  <c r="F110" i="22"/>
  <c r="F111" i="22"/>
  <c r="F112" i="22"/>
  <c r="F113" i="22"/>
  <c r="F114" i="22"/>
  <c r="F115" i="22"/>
  <c r="F116" i="22"/>
  <c r="F117" i="22"/>
  <c r="F118" i="22"/>
  <c r="F119" i="22"/>
  <c r="F120" i="22"/>
  <c r="F121" i="22"/>
  <c r="F122" i="22"/>
  <c r="F123" i="22"/>
  <c r="F124" i="22"/>
  <c r="F125" i="22"/>
  <c r="F126" i="22"/>
  <c r="F127" i="22"/>
  <c r="F128" i="22"/>
  <c r="F129" i="22"/>
  <c r="F130" i="22"/>
  <c r="F131" i="22"/>
  <c r="F132" i="22"/>
  <c r="F133" i="22"/>
  <c r="F134" i="22"/>
  <c r="F135" i="22"/>
  <c r="F136" i="22"/>
  <c r="F137" i="22"/>
  <c r="F138" i="22"/>
  <c r="F139" i="22"/>
  <c r="F140" i="22"/>
  <c r="F141" i="22"/>
  <c r="F142" i="22"/>
  <c r="F143" i="22"/>
  <c r="F144" i="22"/>
  <c r="F145" i="22"/>
  <c r="F146" i="22"/>
  <c r="F147" i="22"/>
  <c r="F148" i="22"/>
  <c r="F149" i="22"/>
  <c r="F150" i="22"/>
  <c r="F151" i="22"/>
  <c r="F152" i="22"/>
  <c r="F153" i="22"/>
  <c r="F154" i="22"/>
  <c r="F155" i="22"/>
  <c r="F156" i="22"/>
  <c r="F157" i="22"/>
  <c r="F158" i="22"/>
  <c r="F159" i="22"/>
  <c r="F160" i="22"/>
  <c r="F2" i="22"/>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2" i="22"/>
  <c r="K13" i="21"/>
  <c r="AN13" i="21" l="1"/>
  <c r="AM13" i="21"/>
  <c r="U8" i="21"/>
  <c r="U7" i="21"/>
  <c r="U6" i="21"/>
  <c r="U5" i="21"/>
  <c r="AC14" i="21"/>
  <c r="O14" i="21" s="1"/>
  <c r="AC15" i="21"/>
  <c r="O15" i="21" s="1"/>
  <c r="AC16" i="21"/>
  <c r="O16" i="21" s="1"/>
  <c r="AC17" i="21"/>
  <c r="O17" i="21" s="1"/>
  <c r="AC18" i="21"/>
  <c r="O18" i="21" s="1"/>
  <c r="AC19" i="21"/>
  <c r="O19" i="21" s="1"/>
  <c r="AC20" i="21"/>
  <c r="O20" i="21" s="1"/>
  <c r="AC21" i="21"/>
  <c r="O21" i="21" s="1"/>
  <c r="AC22" i="21"/>
  <c r="O22" i="21" s="1"/>
  <c r="AC23" i="21"/>
  <c r="O23" i="21" s="1"/>
  <c r="AC24" i="21"/>
  <c r="O24" i="21" s="1"/>
  <c r="AC25" i="21"/>
  <c r="O25" i="21" s="1"/>
  <c r="AC26" i="21"/>
  <c r="O26" i="21" s="1"/>
  <c r="AC27" i="21"/>
  <c r="O27" i="21" s="1"/>
  <c r="AC28" i="21"/>
  <c r="O28" i="21" s="1"/>
  <c r="AC29" i="21"/>
  <c r="O29" i="21" s="1"/>
  <c r="AC30" i="21"/>
  <c r="O30" i="21" s="1"/>
  <c r="AC31" i="21"/>
  <c r="O31" i="21" s="1"/>
  <c r="AC32" i="21"/>
  <c r="O32" i="21" s="1"/>
  <c r="AC33" i="21"/>
  <c r="O33" i="21" s="1"/>
  <c r="AC34" i="21"/>
  <c r="O34" i="21" s="1"/>
  <c r="AC35" i="21"/>
  <c r="O35" i="21" s="1"/>
  <c r="AC36" i="21"/>
  <c r="O36" i="21" s="1"/>
  <c r="AC37" i="21"/>
  <c r="O37" i="21" s="1"/>
  <c r="AC38" i="21"/>
  <c r="O38" i="21" s="1"/>
  <c r="AC39" i="21"/>
  <c r="O39" i="21" s="1"/>
  <c r="AC40" i="21"/>
  <c r="O40" i="21" s="1"/>
  <c r="AC41" i="21"/>
  <c r="O41" i="21" s="1"/>
  <c r="AC42" i="21"/>
  <c r="O42" i="21" s="1"/>
  <c r="AC43" i="21"/>
  <c r="O43" i="21" s="1"/>
  <c r="AC44" i="21"/>
  <c r="O44" i="21" s="1"/>
  <c r="AC45" i="21"/>
  <c r="O45" i="21" s="1"/>
  <c r="AC46" i="21"/>
  <c r="O46" i="21" s="1"/>
  <c r="AC47" i="21"/>
  <c r="O47" i="21" s="1"/>
  <c r="AC48" i="21"/>
  <c r="O48" i="21" s="1"/>
  <c r="AC49" i="21"/>
  <c r="O49" i="21" s="1"/>
  <c r="AC50" i="21"/>
  <c r="O50" i="21" s="1"/>
  <c r="AC51" i="21"/>
  <c r="O51" i="21" s="1"/>
  <c r="AC52" i="21"/>
  <c r="O52" i="21" s="1"/>
  <c r="AC53" i="21"/>
  <c r="O53" i="21" s="1"/>
  <c r="AC54" i="21"/>
  <c r="O54" i="21" s="1"/>
  <c r="AC55" i="21"/>
  <c r="O55" i="21" s="1"/>
  <c r="AC56" i="21"/>
  <c r="O56" i="21" s="1"/>
  <c r="AC57" i="21"/>
  <c r="O57" i="21" s="1"/>
  <c r="AC58" i="21"/>
  <c r="O58" i="21" s="1"/>
  <c r="AC59" i="21"/>
  <c r="O59" i="21" s="1"/>
  <c r="AC60" i="21"/>
  <c r="O60" i="21" s="1"/>
  <c r="AC61" i="21"/>
  <c r="O61" i="21" s="1"/>
  <c r="AC62" i="21"/>
  <c r="O62" i="21" s="1"/>
  <c r="AC63" i="21"/>
  <c r="O63" i="21" s="1"/>
  <c r="AC64" i="21"/>
  <c r="O64" i="21" s="1"/>
  <c r="AC65" i="21"/>
  <c r="O65" i="21" s="1"/>
  <c r="AC66" i="21"/>
  <c r="O66" i="21" s="1"/>
  <c r="AC67" i="21"/>
  <c r="O67" i="21" s="1"/>
  <c r="AC68" i="21"/>
  <c r="O68" i="21" s="1"/>
  <c r="AC69" i="21"/>
  <c r="O69" i="21" s="1"/>
  <c r="AC70" i="21"/>
  <c r="O70" i="21" s="1"/>
  <c r="AC71" i="21"/>
  <c r="O71" i="21" s="1"/>
  <c r="AC72" i="21"/>
  <c r="O72" i="21" s="1"/>
  <c r="AC73" i="21"/>
  <c r="O73" i="21" s="1"/>
  <c r="AC74" i="21"/>
  <c r="O74" i="21" s="1"/>
  <c r="AC75" i="21"/>
  <c r="O75" i="21" s="1"/>
  <c r="AC76" i="21"/>
  <c r="O76" i="21" s="1"/>
  <c r="AC77" i="21"/>
  <c r="O77" i="21" s="1"/>
  <c r="AC78" i="21"/>
  <c r="O78" i="21" s="1"/>
  <c r="AC79" i="21"/>
  <c r="O79" i="21" s="1"/>
  <c r="AC80" i="21"/>
  <c r="O80" i="21" s="1"/>
  <c r="AC81" i="21"/>
  <c r="O81" i="21" s="1"/>
  <c r="AC82" i="21"/>
  <c r="O82" i="21" s="1"/>
  <c r="AC83" i="21"/>
  <c r="O83" i="21" s="1"/>
  <c r="AC84" i="21"/>
  <c r="O84" i="21" s="1"/>
  <c r="AC85" i="21"/>
  <c r="O85" i="21" s="1"/>
  <c r="AC86" i="21"/>
  <c r="O86" i="21" s="1"/>
  <c r="AC87" i="21"/>
  <c r="O87" i="21" s="1"/>
  <c r="AC88" i="21"/>
  <c r="O88" i="21" s="1"/>
  <c r="AC89" i="21"/>
  <c r="O89" i="21" s="1"/>
  <c r="AC90" i="21"/>
  <c r="O90" i="21" s="1"/>
  <c r="AC91" i="21"/>
  <c r="O91" i="21" s="1"/>
  <c r="AC92" i="21"/>
  <c r="O92" i="21" s="1"/>
  <c r="AC93" i="21"/>
  <c r="O93" i="21" s="1"/>
  <c r="AC94" i="21"/>
  <c r="O94" i="21" s="1"/>
  <c r="AC95" i="21"/>
  <c r="O95" i="21" s="1"/>
  <c r="AC96" i="21"/>
  <c r="O96" i="21" s="1"/>
  <c r="AC97" i="21"/>
  <c r="O97" i="21" s="1"/>
  <c r="AC98" i="21"/>
  <c r="O98" i="21" s="1"/>
  <c r="AC99" i="21"/>
  <c r="O99" i="21" s="1"/>
  <c r="AC100" i="21"/>
  <c r="O100" i="21" s="1"/>
  <c r="AC101" i="21"/>
  <c r="O101" i="21" s="1"/>
  <c r="AC102" i="21"/>
  <c r="O102" i="21" s="1"/>
  <c r="AC103" i="21"/>
  <c r="O103" i="21" s="1"/>
  <c r="AC104" i="21"/>
  <c r="O104" i="21" s="1"/>
  <c r="AC105" i="21"/>
  <c r="O105" i="21" s="1"/>
  <c r="AC106" i="21"/>
  <c r="O106" i="21" s="1"/>
  <c r="AC107" i="21"/>
  <c r="O107" i="21" s="1"/>
  <c r="AC108" i="21"/>
  <c r="O108" i="21" s="1"/>
  <c r="AC109" i="21"/>
  <c r="O109" i="21" s="1"/>
  <c r="AC110" i="21"/>
  <c r="O110" i="21" s="1"/>
  <c r="AC111" i="21"/>
  <c r="O111" i="21" s="1"/>
  <c r="AC112" i="21"/>
  <c r="O112" i="21" s="1"/>
  <c r="AC113" i="21"/>
  <c r="O113" i="21" s="1"/>
  <c r="AC114" i="21"/>
  <c r="O114" i="21" s="1"/>
  <c r="AC115" i="21"/>
  <c r="O115" i="21" s="1"/>
  <c r="AC116" i="21"/>
  <c r="O116" i="21" s="1"/>
  <c r="AC117" i="21"/>
  <c r="O117" i="21" s="1"/>
  <c r="AC118" i="21"/>
  <c r="O118" i="21" s="1"/>
  <c r="AC119" i="21"/>
  <c r="O119" i="21" s="1"/>
  <c r="AC120" i="21"/>
  <c r="O120" i="21" s="1"/>
  <c r="AC121" i="21"/>
  <c r="O121" i="21" s="1"/>
  <c r="AC122" i="21"/>
  <c r="O122" i="21" s="1"/>
  <c r="AC123" i="21"/>
  <c r="O123" i="21" s="1"/>
  <c r="AC124" i="21"/>
  <c r="O124" i="21" s="1"/>
  <c r="AC125" i="21"/>
  <c r="O125" i="21" s="1"/>
  <c r="AC126" i="21"/>
  <c r="O126" i="21" s="1"/>
  <c r="AC127" i="21"/>
  <c r="O127" i="21" s="1"/>
  <c r="AC128" i="21"/>
  <c r="O128" i="21" s="1"/>
  <c r="AC129" i="21"/>
  <c r="O129" i="21" s="1"/>
  <c r="AC130" i="21"/>
  <c r="O130" i="21" s="1"/>
  <c r="AC131" i="21"/>
  <c r="O131" i="21" s="1"/>
  <c r="AC132" i="21"/>
  <c r="O132" i="21" s="1"/>
  <c r="AC133" i="21"/>
  <c r="O133" i="21" s="1"/>
  <c r="AC134" i="21"/>
  <c r="O134" i="21" s="1"/>
  <c r="AC135" i="21"/>
  <c r="O135" i="21" s="1"/>
  <c r="AC136" i="21"/>
  <c r="O136" i="21" s="1"/>
  <c r="AC137" i="21"/>
  <c r="O137" i="21" s="1"/>
  <c r="AC138" i="21"/>
  <c r="O138" i="21" s="1"/>
  <c r="AC139" i="21"/>
  <c r="O139" i="21" s="1"/>
  <c r="AC140" i="21"/>
  <c r="O140" i="21" s="1"/>
  <c r="AC141" i="21"/>
  <c r="O141" i="21" s="1"/>
  <c r="AC142" i="21"/>
  <c r="O142" i="21" s="1"/>
  <c r="AC143" i="21"/>
  <c r="O143" i="21" s="1"/>
  <c r="AC144" i="21"/>
  <c r="O144" i="21" s="1"/>
  <c r="AC145" i="21"/>
  <c r="O145" i="21" s="1"/>
  <c r="AC146" i="21"/>
  <c r="O146" i="21" s="1"/>
  <c r="AC147" i="21"/>
  <c r="O147" i="21" s="1"/>
  <c r="AC148" i="21"/>
  <c r="O148" i="21" s="1"/>
  <c r="AC149" i="21"/>
  <c r="O149" i="21" s="1"/>
  <c r="O150" i="21"/>
  <c r="AC151" i="21"/>
  <c r="O151" i="21" s="1"/>
  <c r="AC152" i="21"/>
  <c r="O152" i="21" s="1"/>
  <c r="AC153" i="21"/>
  <c r="O153" i="21" s="1"/>
  <c r="AC154" i="21"/>
  <c r="O154" i="21" s="1"/>
  <c r="AC155" i="21"/>
  <c r="O155" i="21" s="1"/>
  <c r="AC156" i="21"/>
  <c r="O156" i="21" s="1"/>
  <c r="AC157" i="21"/>
  <c r="O157" i="21" s="1"/>
  <c r="AC158" i="21"/>
  <c r="O158" i="21" s="1"/>
  <c r="AC159" i="21"/>
  <c r="O159" i="21" s="1"/>
  <c r="AC160" i="21"/>
  <c r="O160" i="21" s="1"/>
  <c r="AC161" i="21"/>
  <c r="O161" i="21" s="1"/>
  <c r="AC162" i="21"/>
  <c r="O162" i="21" s="1"/>
  <c r="AC163" i="21"/>
  <c r="O163" i="21" s="1"/>
  <c r="AC164" i="21"/>
  <c r="O164" i="21" s="1"/>
  <c r="AC165" i="21"/>
  <c r="O165" i="21" s="1"/>
  <c r="AC166" i="21"/>
  <c r="O166" i="21" s="1"/>
  <c r="AC167" i="21"/>
  <c r="O167" i="21" s="1"/>
  <c r="AC168" i="21"/>
  <c r="O168" i="21" s="1"/>
  <c r="AC169" i="21"/>
  <c r="O169" i="21" s="1"/>
  <c r="AC170" i="21"/>
  <c r="O170" i="21" s="1"/>
  <c r="AC171" i="21"/>
  <c r="O171" i="21" s="1"/>
  <c r="P13" i="21"/>
  <c r="Q5" i="21"/>
  <c r="AG13" i="21"/>
  <c r="AF13" i="21"/>
  <c r="M13" i="21"/>
  <c r="AD13" i="21"/>
  <c r="AH13" i="21"/>
  <c r="AI13" i="21"/>
  <c r="T14" i="21"/>
  <c r="T15" i="21"/>
  <c r="T16" i="21"/>
  <c r="T17" i="21"/>
  <c r="T18" i="21"/>
  <c r="T19" i="21"/>
  <c r="T20" i="21"/>
  <c r="T21" i="21"/>
  <c r="T22" i="21"/>
  <c r="T23" i="21"/>
  <c r="T24" i="21"/>
  <c r="T25" i="21"/>
  <c r="T26" i="21"/>
  <c r="T27" i="21"/>
  <c r="T28" i="21"/>
  <c r="T29" i="21"/>
  <c r="T30" i="21"/>
  <c r="T31" i="21"/>
  <c r="T32" i="21"/>
  <c r="T33" i="21"/>
  <c r="T34" i="21"/>
  <c r="T35" i="21"/>
  <c r="T36" i="21"/>
  <c r="T37" i="21"/>
  <c r="T38" i="21"/>
  <c r="T39" i="21"/>
  <c r="T40" i="21"/>
  <c r="T41" i="21"/>
  <c r="T42" i="21"/>
  <c r="T43" i="21"/>
  <c r="T44" i="21"/>
  <c r="T45" i="21"/>
  <c r="T46" i="21"/>
  <c r="T47" i="21"/>
  <c r="T48" i="21"/>
  <c r="T49" i="21"/>
  <c r="T50" i="21"/>
  <c r="T51" i="21"/>
  <c r="T52" i="21"/>
  <c r="T53" i="21"/>
  <c r="T54" i="21"/>
  <c r="T55" i="21"/>
  <c r="T56" i="21"/>
  <c r="T57" i="21"/>
  <c r="T58" i="21"/>
  <c r="T59" i="21"/>
  <c r="T60" i="21"/>
  <c r="T61" i="21"/>
  <c r="T62" i="21"/>
  <c r="T63" i="21"/>
  <c r="T64" i="21"/>
  <c r="T65" i="21"/>
  <c r="T66" i="21"/>
  <c r="T67" i="21"/>
  <c r="T68" i="21"/>
  <c r="T69" i="21"/>
  <c r="T70" i="21"/>
  <c r="T71" i="21"/>
  <c r="T72" i="21"/>
  <c r="T73" i="21"/>
  <c r="T74" i="21"/>
  <c r="T75" i="21"/>
  <c r="T76" i="21"/>
  <c r="T77" i="21"/>
  <c r="T78" i="21"/>
  <c r="T79" i="21"/>
  <c r="T80" i="21"/>
  <c r="T81" i="21"/>
  <c r="T82" i="21"/>
  <c r="T83" i="21"/>
  <c r="T84" i="21"/>
  <c r="T85" i="21"/>
  <c r="T86" i="21"/>
  <c r="T87" i="21"/>
  <c r="T88" i="21"/>
  <c r="T89" i="21"/>
  <c r="T90" i="21"/>
  <c r="T91" i="21"/>
  <c r="T92" i="21"/>
  <c r="T93" i="21"/>
  <c r="T94" i="21"/>
  <c r="T95" i="21"/>
  <c r="T96" i="21"/>
  <c r="T97" i="21"/>
  <c r="T98" i="21"/>
  <c r="T99" i="21"/>
  <c r="T100" i="21"/>
  <c r="T101" i="21"/>
  <c r="T102" i="21"/>
  <c r="T103" i="21"/>
  <c r="T104" i="21"/>
  <c r="T105" i="21"/>
  <c r="T106" i="21"/>
  <c r="T107" i="21"/>
  <c r="T108" i="21"/>
  <c r="T109" i="21"/>
  <c r="T110" i="21"/>
  <c r="T111" i="21"/>
  <c r="T112" i="21"/>
  <c r="T113" i="21"/>
  <c r="T114" i="21"/>
  <c r="T115" i="21"/>
  <c r="T116" i="21"/>
  <c r="T117" i="21"/>
  <c r="T118" i="21"/>
  <c r="T119" i="21"/>
  <c r="T120" i="21"/>
  <c r="T121" i="21"/>
  <c r="T122" i="21"/>
  <c r="T123" i="21"/>
  <c r="T124" i="21"/>
  <c r="T125" i="21"/>
  <c r="T126" i="21"/>
  <c r="T127" i="21"/>
  <c r="T128" i="21"/>
  <c r="T129" i="21"/>
  <c r="T130" i="21"/>
  <c r="T131" i="21"/>
  <c r="T132" i="21"/>
  <c r="T133" i="21"/>
  <c r="T134" i="21"/>
  <c r="T135" i="21"/>
  <c r="T136" i="21"/>
  <c r="T137" i="21"/>
  <c r="T138" i="21"/>
  <c r="T139" i="21"/>
  <c r="T140" i="21"/>
  <c r="T141" i="21"/>
  <c r="T142" i="21"/>
  <c r="T143" i="21"/>
  <c r="T144" i="21"/>
  <c r="T145" i="21"/>
  <c r="T146" i="21"/>
  <c r="T147" i="21"/>
  <c r="T148" i="21"/>
  <c r="T149" i="21"/>
  <c r="T150" i="21"/>
  <c r="T151" i="21"/>
  <c r="T152" i="21"/>
  <c r="T153" i="21"/>
  <c r="T154" i="21"/>
  <c r="T155" i="21"/>
  <c r="T156" i="21"/>
  <c r="T157" i="21"/>
  <c r="T158" i="21"/>
  <c r="T159" i="21"/>
  <c r="T160" i="21"/>
  <c r="T161" i="21"/>
  <c r="T162" i="21"/>
  <c r="T163" i="21"/>
  <c r="T164" i="21"/>
  <c r="T165" i="21"/>
  <c r="T166" i="21"/>
  <c r="T167" i="21"/>
  <c r="T168" i="21"/>
  <c r="T169" i="21"/>
  <c r="T170" i="21"/>
  <c r="T171" i="21"/>
  <c r="AB8" i="21"/>
  <c r="AA8" i="21"/>
  <c r="Z8" i="21"/>
  <c r="Y8" i="21"/>
  <c r="X8" i="21"/>
  <c r="W8" i="21"/>
  <c r="V8" i="21"/>
  <c r="N8" i="21"/>
  <c r="L8" i="21"/>
  <c r="J8" i="21"/>
  <c r="I8" i="21"/>
  <c r="H8" i="21"/>
  <c r="G8" i="21"/>
  <c r="F8" i="21"/>
  <c r="E8" i="21"/>
  <c r="AB7" i="21"/>
  <c r="AA7" i="21"/>
  <c r="Z7" i="21"/>
  <c r="Y7" i="21"/>
  <c r="X7" i="21"/>
  <c r="W7" i="21"/>
  <c r="V7" i="21"/>
  <c r="N7" i="21"/>
  <c r="L7" i="21"/>
  <c r="J7" i="21"/>
  <c r="I7" i="21"/>
  <c r="H7" i="21"/>
  <c r="G7" i="21"/>
  <c r="F7" i="21"/>
  <c r="E7" i="21"/>
  <c r="E6" i="21"/>
  <c r="AB6" i="21"/>
  <c r="AA6" i="21"/>
  <c r="Z6" i="21"/>
  <c r="Y6" i="21"/>
  <c r="X6" i="21"/>
  <c r="W6" i="21"/>
  <c r="V6" i="21"/>
  <c r="N6" i="21"/>
  <c r="L6" i="21"/>
  <c r="J6" i="21"/>
  <c r="I6" i="21"/>
  <c r="H6" i="21"/>
  <c r="G6" i="21"/>
  <c r="F6" i="21"/>
  <c r="AB5" i="21"/>
  <c r="AA5" i="21"/>
  <c r="Z5" i="21"/>
  <c r="Y5" i="21"/>
  <c r="X5" i="21"/>
  <c r="W5" i="21"/>
  <c r="V5" i="21"/>
  <c r="N5" i="21"/>
  <c r="L5" i="21"/>
  <c r="J5" i="21"/>
  <c r="I5" i="21"/>
  <c r="H5" i="21"/>
  <c r="G5" i="21"/>
  <c r="F5" i="21"/>
  <c r="E5" i="21"/>
  <c r="AN171" i="21"/>
  <c r="AM171" i="21"/>
  <c r="AL171" i="21"/>
  <c r="AK171" i="21"/>
  <c r="AJ171" i="21"/>
  <c r="AI171" i="21"/>
  <c r="AH171" i="21"/>
  <c r="AG171" i="21"/>
  <c r="AF171" i="21"/>
  <c r="AE171" i="21"/>
  <c r="AD171" i="21"/>
  <c r="P171" i="21"/>
  <c r="M171" i="21"/>
  <c r="K171" i="21"/>
  <c r="AN170" i="21"/>
  <c r="AM170" i="21"/>
  <c r="AL170" i="21"/>
  <c r="AK170" i="21"/>
  <c r="AJ170" i="21"/>
  <c r="AI170" i="21"/>
  <c r="AH170" i="21"/>
  <c r="AG170" i="21"/>
  <c r="AF170" i="21"/>
  <c r="AE170" i="21"/>
  <c r="AD170" i="21"/>
  <c r="P170" i="21"/>
  <c r="M170" i="21"/>
  <c r="K170" i="21"/>
  <c r="AN169" i="21"/>
  <c r="AM169" i="21"/>
  <c r="AL169" i="21"/>
  <c r="AK169" i="21"/>
  <c r="AJ169" i="21"/>
  <c r="AI169" i="21"/>
  <c r="AH169" i="21"/>
  <c r="AG169" i="21"/>
  <c r="AF169" i="21"/>
  <c r="AE169" i="21"/>
  <c r="AD169" i="21"/>
  <c r="P169" i="21"/>
  <c r="M169" i="21"/>
  <c r="K169" i="21"/>
  <c r="AN168" i="21"/>
  <c r="AM168" i="21"/>
  <c r="AL168" i="21"/>
  <c r="AK168" i="21"/>
  <c r="AJ168" i="21"/>
  <c r="AI168" i="21"/>
  <c r="AH168" i="21"/>
  <c r="AG168" i="21"/>
  <c r="AF168" i="21"/>
  <c r="AE168" i="21"/>
  <c r="AD168" i="21"/>
  <c r="P168" i="21"/>
  <c r="M168" i="21"/>
  <c r="K168" i="21"/>
  <c r="AN167" i="21"/>
  <c r="AM167" i="21"/>
  <c r="AL167" i="21"/>
  <c r="AK167" i="21"/>
  <c r="AJ167" i="21"/>
  <c r="AI167" i="21"/>
  <c r="AH167" i="21"/>
  <c r="AG167" i="21"/>
  <c r="AF167" i="21"/>
  <c r="AE167" i="21"/>
  <c r="AD167" i="21"/>
  <c r="P167" i="21"/>
  <c r="M167" i="21"/>
  <c r="K167" i="21"/>
  <c r="AN166" i="21"/>
  <c r="AM166" i="21"/>
  <c r="AL166" i="21"/>
  <c r="AK166" i="21"/>
  <c r="AJ166" i="21"/>
  <c r="AI166" i="21"/>
  <c r="AH166" i="21"/>
  <c r="AG166" i="21"/>
  <c r="AF166" i="21"/>
  <c r="AE166" i="21"/>
  <c r="AD166" i="21"/>
  <c r="P166" i="21"/>
  <c r="M166" i="21"/>
  <c r="K166" i="21"/>
  <c r="AN165" i="21"/>
  <c r="AM165" i="21"/>
  <c r="AL165" i="21"/>
  <c r="AK165" i="21"/>
  <c r="AJ165" i="21"/>
  <c r="AI165" i="21"/>
  <c r="AH165" i="21"/>
  <c r="AG165" i="21"/>
  <c r="AF165" i="21"/>
  <c r="AE165" i="21"/>
  <c r="AD165" i="21"/>
  <c r="P165" i="21"/>
  <c r="M165" i="21"/>
  <c r="K165" i="21"/>
  <c r="AN164" i="21"/>
  <c r="AM164" i="21"/>
  <c r="AL164" i="21"/>
  <c r="AK164" i="21"/>
  <c r="AJ164" i="21"/>
  <c r="AI164" i="21"/>
  <c r="AH164" i="21"/>
  <c r="AG164" i="21"/>
  <c r="AF164" i="21"/>
  <c r="AE164" i="21"/>
  <c r="AD164" i="21"/>
  <c r="P164" i="21"/>
  <c r="M164" i="21"/>
  <c r="K164" i="21"/>
  <c r="AN163" i="21"/>
  <c r="AM163" i="21"/>
  <c r="AL163" i="21"/>
  <c r="AK163" i="21"/>
  <c r="AJ163" i="21"/>
  <c r="AI163" i="21"/>
  <c r="AH163" i="21"/>
  <c r="AG163" i="21"/>
  <c r="AF163" i="21"/>
  <c r="AE163" i="21"/>
  <c r="AD163" i="21"/>
  <c r="P163" i="21"/>
  <c r="M163" i="21"/>
  <c r="K163" i="21"/>
  <c r="AN162" i="21"/>
  <c r="AM162" i="21"/>
  <c r="AL162" i="21"/>
  <c r="AK162" i="21"/>
  <c r="AJ162" i="21"/>
  <c r="AI162" i="21"/>
  <c r="AH162" i="21"/>
  <c r="AG162" i="21"/>
  <c r="AF162" i="21"/>
  <c r="AE162" i="21"/>
  <c r="AD162" i="21"/>
  <c r="P162" i="21"/>
  <c r="M162" i="21"/>
  <c r="K162" i="21"/>
  <c r="AN161" i="21"/>
  <c r="AM161" i="21"/>
  <c r="AL161" i="21"/>
  <c r="AK161" i="21"/>
  <c r="AJ161" i="21"/>
  <c r="AI161" i="21"/>
  <c r="AH161" i="21"/>
  <c r="AG161" i="21"/>
  <c r="AF161" i="21"/>
  <c r="AE161" i="21"/>
  <c r="AD161" i="21"/>
  <c r="P161" i="21"/>
  <c r="M161" i="21"/>
  <c r="K161" i="21"/>
  <c r="AN160" i="21"/>
  <c r="AM160" i="21"/>
  <c r="AL160" i="21"/>
  <c r="AK160" i="21"/>
  <c r="AJ160" i="21"/>
  <c r="AI160" i="21"/>
  <c r="AH160" i="21"/>
  <c r="AG160" i="21"/>
  <c r="AF160" i="21"/>
  <c r="AE160" i="21"/>
  <c r="AD160" i="21"/>
  <c r="P160" i="21"/>
  <c r="M160" i="21"/>
  <c r="K160" i="21"/>
  <c r="AN159" i="21"/>
  <c r="AM159" i="21"/>
  <c r="AL159" i="21"/>
  <c r="AK159" i="21"/>
  <c r="AJ159" i="21"/>
  <c r="AI159" i="21"/>
  <c r="AH159" i="21"/>
  <c r="AG159" i="21"/>
  <c r="AF159" i="21"/>
  <c r="AE159" i="21"/>
  <c r="AD159" i="21"/>
  <c r="P159" i="21"/>
  <c r="M159" i="21"/>
  <c r="K159" i="21"/>
  <c r="AN125" i="21"/>
  <c r="AM125" i="21"/>
  <c r="AL125" i="21"/>
  <c r="AK125" i="21"/>
  <c r="AJ125" i="21"/>
  <c r="AI125" i="21"/>
  <c r="AH125" i="21"/>
  <c r="AG125" i="21"/>
  <c r="AF125" i="21"/>
  <c r="AE125" i="21"/>
  <c r="AD125" i="21"/>
  <c r="P125" i="21"/>
  <c r="M125" i="21"/>
  <c r="K125" i="21"/>
  <c r="AN124" i="21"/>
  <c r="AM124" i="21"/>
  <c r="AL124" i="21"/>
  <c r="AK124" i="21"/>
  <c r="AJ124" i="21"/>
  <c r="AI124" i="21"/>
  <c r="AH124" i="21"/>
  <c r="AG124" i="21"/>
  <c r="AF124" i="21"/>
  <c r="AE124" i="21"/>
  <c r="AD124" i="21"/>
  <c r="P124" i="21"/>
  <c r="M124" i="21"/>
  <c r="K124" i="21"/>
  <c r="AN123" i="21"/>
  <c r="AM123" i="21"/>
  <c r="AL123" i="21"/>
  <c r="AK123" i="21"/>
  <c r="AJ123" i="21"/>
  <c r="AI123" i="21"/>
  <c r="AH123" i="21"/>
  <c r="AG123" i="21"/>
  <c r="AF123" i="21"/>
  <c r="AE123" i="21"/>
  <c r="AD123" i="21"/>
  <c r="P123" i="21"/>
  <c r="M123" i="21"/>
  <c r="K123" i="21"/>
  <c r="AN122" i="21"/>
  <c r="AM122" i="21"/>
  <c r="AL122" i="21"/>
  <c r="AK122" i="21"/>
  <c r="AJ122" i="21"/>
  <c r="AI122" i="21"/>
  <c r="AH122" i="21"/>
  <c r="AG122" i="21"/>
  <c r="AF122" i="21"/>
  <c r="AE122" i="21"/>
  <c r="AD122" i="21"/>
  <c r="P122" i="21"/>
  <c r="M122" i="21"/>
  <c r="K122" i="21"/>
  <c r="AN121" i="21"/>
  <c r="AM121" i="21"/>
  <c r="AL121" i="21"/>
  <c r="AK121" i="21"/>
  <c r="AJ121" i="21"/>
  <c r="AI121" i="21"/>
  <c r="AH121" i="21"/>
  <c r="AG121" i="21"/>
  <c r="AF121" i="21"/>
  <c r="AE121" i="21"/>
  <c r="AD121" i="21"/>
  <c r="P121" i="21"/>
  <c r="M121" i="21"/>
  <c r="K121" i="21"/>
  <c r="AN120" i="21"/>
  <c r="AM120" i="21"/>
  <c r="AL120" i="21"/>
  <c r="AK120" i="21"/>
  <c r="AJ120" i="21"/>
  <c r="AI120" i="21"/>
  <c r="AH120" i="21"/>
  <c r="AG120" i="21"/>
  <c r="AF120" i="21"/>
  <c r="AE120" i="21"/>
  <c r="AD120" i="21"/>
  <c r="P120" i="21"/>
  <c r="M120" i="21"/>
  <c r="K120" i="21"/>
  <c r="AN119" i="21"/>
  <c r="AM119" i="21"/>
  <c r="AL119" i="21"/>
  <c r="AK119" i="21"/>
  <c r="AJ119" i="21"/>
  <c r="AI119" i="21"/>
  <c r="AH119" i="21"/>
  <c r="AG119" i="21"/>
  <c r="AF119" i="21"/>
  <c r="AE119" i="21"/>
  <c r="AD119" i="21"/>
  <c r="P119" i="21"/>
  <c r="M119" i="21"/>
  <c r="K119" i="21"/>
  <c r="AN118" i="21"/>
  <c r="AM118" i="21"/>
  <c r="AL118" i="21"/>
  <c r="AK118" i="21"/>
  <c r="AJ118" i="21"/>
  <c r="AI118" i="21"/>
  <c r="AH118" i="21"/>
  <c r="AG118" i="21"/>
  <c r="AF118" i="21"/>
  <c r="AE118" i="21"/>
  <c r="AD118" i="21"/>
  <c r="P118" i="21"/>
  <c r="M118" i="21"/>
  <c r="K118" i="21"/>
  <c r="AN117" i="21"/>
  <c r="AM117" i="21"/>
  <c r="AL117" i="21"/>
  <c r="AK117" i="21"/>
  <c r="AJ117" i="21"/>
  <c r="AI117" i="21"/>
  <c r="AH117" i="21"/>
  <c r="AG117" i="21"/>
  <c r="AF117" i="21"/>
  <c r="AE117" i="21"/>
  <c r="AD117" i="21"/>
  <c r="P117" i="21"/>
  <c r="M117" i="21"/>
  <c r="K117" i="21"/>
  <c r="AN116" i="21"/>
  <c r="AM116" i="21"/>
  <c r="AL116" i="21"/>
  <c r="AK116" i="21"/>
  <c r="AJ116" i="21"/>
  <c r="AI116" i="21"/>
  <c r="AH116" i="21"/>
  <c r="AG116" i="21"/>
  <c r="AF116" i="21"/>
  <c r="AE116" i="21"/>
  <c r="AD116" i="21"/>
  <c r="P116" i="21"/>
  <c r="M116" i="21"/>
  <c r="K116" i="21"/>
  <c r="AN115" i="21"/>
  <c r="AM115" i="21"/>
  <c r="AL115" i="21"/>
  <c r="AK115" i="21"/>
  <c r="AJ115" i="21"/>
  <c r="AI115" i="21"/>
  <c r="AH115" i="21"/>
  <c r="AG115" i="21"/>
  <c r="AF115" i="21"/>
  <c r="AE115" i="21"/>
  <c r="AD115" i="21"/>
  <c r="P115" i="21"/>
  <c r="M115" i="21"/>
  <c r="K115" i="21"/>
  <c r="AN114" i="21"/>
  <c r="AM114" i="21"/>
  <c r="AL114" i="21"/>
  <c r="AK114" i="21"/>
  <c r="AJ114" i="21"/>
  <c r="AI114" i="21"/>
  <c r="AH114" i="21"/>
  <c r="AG114" i="21"/>
  <c r="AF114" i="21"/>
  <c r="AE114" i="21"/>
  <c r="AD114" i="21"/>
  <c r="P114" i="21"/>
  <c r="M114" i="21"/>
  <c r="K114" i="21"/>
  <c r="AN113" i="21"/>
  <c r="AM113" i="21"/>
  <c r="AL113" i="21"/>
  <c r="AK113" i="21"/>
  <c r="AJ113" i="21"/>
  <c r="AI113" i="21"/>
  <c r="AH113" i="21"/>
  <c r="AG113" i="21"/>
  <c r="AF113" i="21"/>
  <c r="AE113" i="21"/>
  <c r="AD113" i="21"/>
  <c r="P113" i="21"/>
  <c r="M113" i="21"/>
  <c r="K113" i="21"/>
  <c r="AN112" i="21"/>
  <c r="AM112" i="21"/>
  <c r="AL112" i="21"/>
  <c r="AK112" i="21"/>
  <c r="AJ112" i="21"/>
  <c r="AI112" i="21"/>
  <c r="AH112" i="21"/>
  <c r="AG112" i="21"/>
  <c r="AF112" i="21"/>
  <c r="AE112" i="21"/>
  <c r="AD112" i="21"/>
  <c r="P112" i="21"/>
  <c r="M112" i="21"/>
  <c r="K112" i="21"/>
  <c r="AN111" i="21"/>
  <c r="AM111" i="21"/>
  <c r="AL111" i="21"/>
  <c r="AK111" i="21"/>
  <c r="AJ111" i="21"/>
  <c r="AI111" i="21"/>
  <c r="AH111" i="21"/>
  <c r="AG111" i="21"/>
  <c r="AF111" i="21"/>
  <c r="AE111" i="21"/>
  <c r="AD111" i="21"/>
  <c r="P111" i="21"/>
  <c r="M111" i="21"/>
  <c r="K111" i="21"/>
  <c r="AN110" i="21"/>
  <c r="AM110" i="21"/>
  <c r="AL110" i="21"/>
  <c r="AK110" i="21"/>
  <c r="AJ110" i="21"/>
  <c r="AI110" i="21"/>
  <c r="AH110" i="21"/>
  <c r="AG110" i="21"/>
  <c r="AF110" i="21"/>
  <c r="AE110" i="21"/>
  <c r="AD110" i="21"/>
  <c r="P110" i="21"/>
  <c r="M110" i="21"/>
  <c r="K110" i="21"/>
  <c r="AN109" i="21"/>
  <c r="AM109" i="21"/>
  <c r="AL109" i="21"/>
  <c r="AK109" i="21"/>
  <c r="AJ109" i="21"/>
  <c r="AI109" i="21"/>
  <c r="AH109" i="21"/>
  <c r="AG109" i="21"/>
  <c r="AF109" i="21"/>
  <c r="AE109" i="21"/>
  <c r="AD109" i="21"/>
  <c r="P109" i="21"/>
  <c r="M109" i="21"/>
  <c r="K109" i="21"/>
  <c r="AN108" i="21"/>
  <c r="AM108" i="21"/>
  <c r="AL108" i="21"/>
  <c r="AK108" i="21"/>
  <c r="AJ108" i="21"/>
  <c r="AI108" i="21"/>
  <c r="AH108" i="21"/>
  <c r="AG108" i="21"/>
  <c r="AF108" i="21"/>
  <c r="AE108" i="21"/>
  <c r="AD108" i="21"/>
  <c r="P108" i="21"/>
  <c r="M108" i="21"/>
  <c r="K108" i="21"/>
  <c r="AN107" i="21"/>
  <c r="AM107" i="21"/>
  <c r="AL107" i="21"/>
  <c r="AK107" i="21"/>
  <c r="AJ107" i="21"/>
  <c r="AI107" i="21"/>
  <c r="AH107" i="21"/>
  <c r="AG107" i="21"/>
  <c r="AF107" i="21"/>
  <c r="AE107" i="21"/>
  <c r="AD107" i="21"/>
  <c r="P107" i="21"/>
  <c r="M107" i="21"/>
  <c r="K107" i="21"/>
  <c r="AN106" i="21"/>
  <c r="AM106" i="21"/>
  <c r="AL106" i="21"/>
  <c r="AK106" i="21"/>
  <c r="AJ106" i="21"/>
  <c r="AI106" i="21"/>
  <c r="AH106" i="21"/>
  <c r="AG106" i="21"/>
  <c r="AF106" i="21"/>
  <c r="AE106" i="21"/>
  <c r="AD106" i="21"/>
  <c r="P106" i="21"/>
  <c r="M106" i="21"/>
  <c r="K106" i="21"/>
  <c r="AN105" i="21"/>
  <c r="AM105" i="21"/>
  <c r="AL105" i="21"/>
  <c r="AK105" i="21"/>
  <c r="AJ105" i="21"/>
  <c r="AI105" i="21"/>
  <c r="AH105" i="21"/>
  <c r="AG105" i="21"/>
  <c r="AF105" i="21"/>
  <c r="AE105" i="21"/>
  <c r="AD105" i="21"/>
  <c r="P105" i="21"/>
  <c r="M105" i="21"/>
  <c r="K105" i="21"/>
  <c r="AN104" i="21"/>
  <c r="AM104" i="21"/>
  <c r="AL104" i="21"/>
  <c r="AK104" i="21"/>
  <c r="AJ104" i="21"/>
  <c r="AI104" i="21"/>
  <c r="AH104" i="21"/>
  <c r="AG104" i="21"/>
  <c r="AF104" i="21"/>
  <c r="AE104" i="21"/>
  <c r="AD104" i="21"/>
  <c r="P104" i="21"/>
  <c r="M104" i="21"/>
  <c r="K104" i="21"/>
  <c r="AN103" i="21"/>
  <c r="AM103" i="21"/>
  <c r="AL103" i="21"/>
  <c r="AK103" i="21"/>
  <c r="AJ103" i="21"/>
  <c r="AI103" i="21"/>
  <c r="AH103" i="21"/>
  <c r="AG103" i="21"/>
  <c r="AF103" i="21"/>
  <c r="AE103" i="21"/>
  <c r="AD103" i="21"/>
  <c r="P103" i="21"/>
  <c r="M103" i="21"/>
  <c r="K103" i="21"/>
  <c r="AN102" i="21"/>
  <c r="AM102" i="21"/>
  <c r="AL102" i="21"/>
  <c r="AK102" i="21"/>
  <c r="AJ102" i="21"/>
  <c r="AI102" i="21"/>
  <c r="AH102" i="21"/>
  <c r="AG102" i="21"/>
  <c r="AF102" i="21"/>
  <c r="AE102" i="21"/>
  <c r="AD102" i="21"/>
  <c r="P102" i="21"/>
  <c r="M102" i="21"/>
  <c r="K102" i="21"/>
  <c r="AN101" i="21"/>
  <c r="AM101" i="21"/>
  <c r="AL101" i="21"/>
  <c r="AK101" i="21"/>
  <c r="AJ101" i="21"/>
  <c r="AI101" i="21"/>
  <c r="AH101" i="21"/>
  <c r="AG101" i="21"/>
  <c r="AF101" i="21"/>
  <c r="AE101" i="21"/>
  <c r="AD101" i="21"/>
  <c r="P101" i="21"/>
  <c r="M101" i="21"/>
  <c r="K101" i="21"/>
  <c r="AN100" i="21"/>
  <c r="AM100" i="21"/>
  <c r="AL100" i="21"/>
  <c r="AK100" i="21"/>
  <c r="AJ100" i="21"/>
  <c r="AI100" i="21"/>
  <c r="AH100" i="21"/>
  <c r="AG100" i="21"/>
  <c r="AF100" i="21"/>
  <c r="AE100" i="21"/>
  <c r="AD100" i="21"/>
  <c r="P100" i="21"/>
  <c r="M100" i="21"/>
  <c r="K100" i="21"/>
  <c r="AN99" i="21"/>
  <c r="AM99" i="21"/>
  <c r="AL99" i="21"/>
  <c r="AK99" i="21"/>
  <c r="AJ99" i="21"/>
  <c r="AI99" i="21"/>
  <c r="AH99" i="21"/>
  <c r="AG99" i="21"/>
  <c r="AF99" i="21"/>
  <c r="AE99" i="21"/>
  <c r="AD99" i="21"/>
  <c r="P99" i="21"/>
  <c r="M99" i="21"/>
  <c r="K99" i="21"/>
  <c r="AN98" i="21"/>
  <c r="AM98" i="21"/>
  <c r="AL98" i="21"/>
  <c r="AK98" i="21"/>
  <c r="AJ98" i="21"/>
  <c r="AI98" i="21"/>
  <c r="AH98" i="21"/>
  <c r="AG98" i="21"/>
  <c r="AF98" i="21"/>
  <c r="AE98" i="21"/>
  <c r="AD98" i="21"/>
  <c r="P98" i="21"/>
  <c r="M98" i="21"/>
  <c r="K98" i="21"/>
  <c r="AN97" i="21"/>
  <c r="AM97" i="21"/>
  <c r="AL97" i="21"/>
  <c r="AK97" i="21"/>
  <c r="AJ97" i="21"/>
  <c r="AI97" i="21"/>
  <c r="AH97" i="21"/>
  <c r="AG97" i="21"/>
  <c r="AF97" i="21"/>
  <c r="AE97" i="21"/>
  <c r="AD97" i="21"/>
  <c r="P97" i="21"/>
  <c r="M97" i="21"/>
  <c r="K97" i="21"/>
  <c r="AN96" i="21"/>
  <c r="AM96" i="21"/>
  <c r="AL96" i="21"/>
  <c r="AK96" i="21"/>
  <c r="AJ96" i="21"/>
  <c r="AI96" i="21"/>
  <c r="AH96" i="21"/>
  <c r="AG96" i="21"/>
  <c r="AF96" i="21"/>
  <c r="AE96" i="21"/>
  <c r="AD96" i="21"/>
  <c r="P96" i="21"/>
  <c r="M96" i="21"/>
  <c r="K96" i="21"/>
  <c r="AN95" i="21"/>
  <c r="AM95" i="21"/>
  <c r="AL95" i="21"/>
  <c r="AK95" i="21"/>
  <c r="AJ95" i="21"/>
  <c r="AI95" i="21"/>
  <c r="AH95" i="21"/>
  <c r="AG95" i="21"/>
  <c r="AF95" i="21"/>
  <c r="AE95" i="21"/>
  <c r="AD95" i="21"/>
  <c r="P95" i="21"/>
  <c r="M95" i="21"/>
  <c r="K95" i="21"/>
  <c r="AN94" i="21"/>
  <c r="AM94" i="21"/>
  <c r="AL94" i="21"/>
  <c r="AK94" i="21"/>
  <c r="AJ94" i="21"/>
  <c r="AI94" i="21"/>
  <c r="AH94" i="21"/>
  <c r="AG94" i="21"/>
  <c r="AF94" i="21"/>
  <c r="AE94" i="21"/>
  <c r="AD94" i="21"/>
  <c r="P94" i="21"/>
  <c r="M94" i="21"/>
  <c r="K94" i="21"/>
  <c r="AN93" i="21"/>
  <c r="AM93" i="21"/>
  <c r="AL93" i="21"/>
  <c r="AK93" i="21"/>
  <c r="AJ93" i="21"/>
  <c r="AI93" i="21"/>
  <c r="AH93" i="21"/>
  <c r="AG93" i="21"/>
  <c r="AF93" i="21"/>
  <c r="AE93" i="21"/>
  <c r="AD93" i="21"/>
  <c r="P93" i="21"/>
  <c r="M93" i="21"/>
  <c r="K93" i="21"/>
  <c r="AN92" i="21"/>
  <c r="AM92" i="21"/>
  <c r="AL92" i="21"/>
  <c r="AK92" i="21"/>
  <c r="AJ92" i="21"/>
  <c r="AI92" i="21"/>
  <c r="AH92" i="21"/>
  <c r="AG92" i="21"/>
  <c r="AF92" i="21"/>
  <c r="AE92" i="21"/>
  <c r="AD92" i="21"/>
  <c r="P92" i="21"/>
  <c r="M92" i="21"/>
  <c r="K92" i="21"/>
  <c r="AN91" i="21"/>
  <c r="AM91" i="21"/>
  <c r="AL91" i="21"/>
  <c r="AK91" i="21"/>
  <c r="AJ91" i="21"/>
  <c r="AI91" i="21"/>
  <c r="AH91" i="21"/>
  <c r="AG91" i="21"/>
  <c r="AF91" i="21"/>
  <c r="AE91" i="21"/>
  <c r="AD91" i="21"/>
  <c r="P91" i="21"/>
  <c r="M91" i="21"/>
  <c r="K91" i="21"/>
  <c r="AN90" i="21"/>
  <c r="AM90" i="21"/>
  <c r="AL90" i="21"/>
  <c r="AK90" i="21"/>
  <c r="AJ90" i="21"/>
  <c r="AI90" i="21"/>
  <c r="AH90" i="21"/>
  <c r="AG90" i="21"/>
  <c r="AF90" i="21"/>
  <c r="AE90" i="21"/>
  <c r="AD90" i="21"/>
  <c r="P90" i="21"/>
  <c r="M90" i="21"/>
  <c r="K90" i="21"/>
  <c r="AN89" i="21"/>
  <c r="AM89" i="21"/>
  <c r="AL89" i="21"/>
  <c r="AK89" i="21"/>
  <c r="AJ89" i="21"/>
  <c r="AI89" i="21"/>
  <c r="AH89" i="21"/>
  <c r="AG89" i="21"/>
  <c r="AF89" i="21"/>
  <c r="AE89" i="21"/>
  <c r="AD89" i="21"/>
  <c r="P89" i="21"/>
  <c r="M89" i="21"/>
  <c r="K89" i="21"/>
  <c r="AN88" i="21"/>
  <c r="AM88" i="21"/>
  <c r="AL88" i="21"/>
  <c r="AK88" i="21"/>
  <c r="AJ88" i="21"/>
  <c r="AI88" i="21"/>
  <c r="AH88" i="21"/>
  <c r="AG88" i="21"/>
  <c r="AF88" i="21"/>
  <c r="AE88" i="21"/>
  <c r="AD88" i="21"/>
  <c r="P88" i="21"/>
  <c r="M88" i="21"/>
  <c r="K88" i="21"/>
  <c r="AN87" i="21"/>
  <c r="AM87" i="21"/>
  <c r="AL87" i="21"/>
  <c r="AK87" i="21"/>
  <c r="AJ87" i="21"/>
  <c r="AI87" i="21"/>
  <c r="AH87" i="21"/>
  <c r="AG87" i="21"/>
  <c r="AF87" i="21"/>
  <c r="AE87" i="21"/>
  <c r="AD87" i="21"/>
  <c r="P87" i="21"/>
  <c r="M87" i="21"/>
  <c r="K87" i="21"/>
  <c r="AN86" i="21"/>
  <c r="AM86" i="21"/>
  <c r="AL86" i="21"/>
  <c r="AK86" i="21"/>
  <c r="AJ86" i="21"/>
  <c r="AI86" i="21"/>
  <c r="AH86" i="21"/>
  <c r="AG86" i="21"/>
  <c r="AF86" i="21"/>
  <c r="AE86" i="21"/>
  <c r="AD86" i="21"/>
  <c r="P86" i="21"/>
  <c r="M86" i="21"/>
  <c r="K86" i="21"/>
  <c r="AN85" i="21"/>
  <c r="AM85" i="21"/>
  <c r="AL85" i="21"/>
  <c r="AK85" i="21"/>
  <c r="AJ85" i="21"/>
  <c r="AI85" i="21"/>
  <c r="AH85" i="21"/>
  <c r="AG85" i="21"/>
  <c r="AF85" i="21"/>
  <c r="AE85" i="21"/>
  <c r="AD85" i="21"/>
  <c r="P85" i="21"/>
  <c r="M85" i="21"/>
  <c r="K85" i="21"/>
  <c r="AN84" i="21"/>
  <c r="AM84" i="21"/>
  <c r="AL84" i="21"/>
  <c r="AK84" i="21"/>
  <c r="AJ84" i="21"/>
  <c r="AI84" i="21"/>
  <c r="AH84" i="21"/>
  <c r="AG84" i="21"/>
  <c r="AF84" i="21"/>
  <c r="AE84" i="21"/>
  <c r="AD84" i="21"/>
  <c r="P84" i="21"/>
  <c r="M84" i="21"/>
  <c r="K84" i="21"/>
  <c r="AN83" i="21"/>
  <c r="AM83" i="21"/>
  <c r="AL83" i="21"/>
  <c r="AK83" i="21"/>
  <c r="AJ83" i="21"/>
  <c r="AI83" i="21"/>
  <c r="AH83" i="21"/>
  <c r="AG83" i="21"/>
  <c r="AF83" i="21"/>
  <c r="AE83" i="21"/>
  <c r="AD83" i="21"/>
  <c r="P83" i="21"/>
  <c r="M83" i="21"/>
  <c r="K83" i="21"/>
  <c r="AN82" i="21"/>
  <c r="AM82" i="21"/>
  <c r="AL82" i="21"/>
  <c r="AK82" i="21"/>
  <c r="AJ82" i="21"/>
  <c r="AI82" i="21"/>
  <c r="AH82" i="21"/>
  <c r="AG82" i="21"/>
  <c r="AF82" i="21"/>
  <c r="AE82" i="21"/>
  <c r="AD82" i="21"/>
  <c r="P82" i="21"/>
  <c r="M82" i="21"/>
  <c r="K82" i="21"/>
  <c r="AN81" i="21"/>
  <c r="AM81" i="21"/>
  <c r="AL81" i="21"/>
  <c r="AK81" i="21"/>
  <c r="AJ81" i="21"/>
  <c r="AI81" i="21"/>
  <c r="AH81" i="21"/>
  <c r="AG81" i="21"/>
  <c r="AF81" i="21"/>
  <c r="AE81" i="21"/>
  <c r="AD81" i="21"/>
  <c r="P81" i="21"/>
  <c r="M81" i="21"/>
  <c r="K81" i="21"/>
  <c r="AN80" i="21"/>
  <c r="AM80" i="21"/>
  <c r="AL80" i="21"/>
  <c r="AK80" i="21"/>
  <c r="AJ80" i="21"/>
  <c r="AI80" i="21"/>
  <c r="AH80" i="21"/>
  <c r="AG80" i="21"/>
  <c r="AF80" i="21"/>
  <c r="AE80" i="21"/>
  <c r="AD80" i="21"/>
  <c r="P80" i="21"/>
  <c r="M80" i="21"/>
  <c r="K80" i="21"/>
  <c r="AN79" i="21"/>
  <c r="AM79" i="21"/>
  <c r="AL79" i="21"/>
  <c r="AK79" i="21"/>
  <c r="AJ79" i="21"/>
  <c r="AI79" i="21"/>
  <c r="AH79" i="21"/>
  <c r="AG79" i="21"/>
  <c r="AF79" i="21"/>
  <c r="AE79" i="21"/>
  <c r="AD79" i="21"/>
  <c r="P79" i="21"/>
  <c r="M79" i="21"/>
  <c r="K79" i="21"/>
  <c r="AN78" i="21"/>
  <c r="AM78" i="21"/>
  <c r="AL78" i="21"/>
  <c r="AK78" i="21"/>
  <c r="AJ78" i="21"/>
  <c r="AI78" i="21"/>
  <c r="AH78" i="21"/>
  <c r="AG78" i="21"/>
  <c r="AF78" i="21"/>
  <c r="AE78" i="21"/>
  <c r="AD78" i="21"/>
  <c r="P78" i="21"/>
  <c r="M78" i="21"/>
  <c r="K78" i="21"/>
  <c r="AN77" i="21"/>
  <c r="AM77" i="21"/>
  <c r="AL77" i="21"/>
  <c r="AK77" i="21"/>
  <c r="AJ77" i="21"/>
  <c r="AI77" i="21"/>
  <c r="AH77" i="21"/>
  <c r="AG77" i="21"/>
  <c r="AF77" i="21"/>
  <c r="AE77" i="21"/>
  <c r="AD77" i="21"/>
  <c r="P77" i="21"/>
  <c r="M77" i="21"/>
  <c r="K77" i="21"/>
  <c r="AN76" i="21"/>
  <c r="AM76" i="21"/>
  <c r="AL76" i="21"/>
  <c r="AK76" i="21"/>
  <c r="AJ76" i="21"/>
  <c r="AI76" i="21"/>
  <c r="AH76" i="21"/>
  <c r="AG76" i="21"/>
  <c r="AF76" i="21"/>
  <c r="AE76" i="21"/>
  <c r="AD76" i="21"/>
  <c r="P76" i="21"/>
  <c r="M76" i="21"/>
  <c r="K76" i="21"/>
  <c r="AN75" i="21"/>
  <c r="AM75" i="21"/>
  <c r="AL75" i="21"/>
  <c r="AK75" i="21"/>
  <c r="AJ75" i="21"/>
  <c r="AI75" i="21"/>
  <c r="AH75" i="21"/>
  <c r="AG75" i="21"/>
  <c r="AF75" i="21"/>
  <c r="AE75" i="21"/>
  <c r="AD75" i="21"/>
  <c r="P75" i="21"/>
  <c r="M75" i="21"/>
  <c r="K75" i="21"/>
  <c r="AN74" i="21"/>
  <c r="AM74" i="21"/>
  <c r="AL74" i="21"/>
  <c r="AK74" i="21"/>
  <c r="AJ74" i="21"/>
  <c r="AI74" i="21"/>
  <c r="AH74" i="21"/>
  <c r="AG74" i="21"/>
  <c r="AF74" i="21"/>
  <c r="AE74" i="21"/>
  <c r="AD74" i="21"/>
  <c r="P74" i="21"/>
  <c r="M74" i="21"/>
  <c r="K74" i="21"/>
  <c r="AN73" i="21"/>
  <c r="AM73" i="21"/>
  <c r="AL73" i="21"/>
  <c r="AK73" i="21"/>
  <c r="AJ73" i="21"/>
  <c r="AI73" i="21"/>
  <c r="AH73" i="21"/>
  <c r="AG73" i="21"/>
  <c r="AF73" i="21"/>
  <c r="AE73" i="21"/>
  <c r="AD73" i="21"/>
  <c r="P73" i="21"/>
  <c r="M73" i="21"/>
  <c r="K73" i="21"/>
  <c r="AN72" i="21"/>
  <c r="AM72" i="21"/>
  <c r="AL72" i="21"/>
  <c r="AK72" i="21"/>
  <c r="AJ72" i="21"/>
  <c r="AI72" i="21"/>
  <c r="AH72" i="21"/>
  <c r="AG72" i="21"/>
  <c r="AF72" i="21"/>
  <c r="AE72" i="21"/>
  <c r="AD72" i="21"/>
  <c r="P72" i="21"/>
  <c r="M72" i="21"/>
  <c r="K72" i="21"/>
  <c r="AN71" i="21"/>
  <c r="AM71" i="21"/>
  <c r="AL71" i="21"/>
  <c r="AK71" i="21"/>
  <c r="AJ71" i="21"/>
  <c r="AI71" i="21"/>
  <c r="AH71" i="21"/>
  <c r="AG71" i="21"/>
  <c r="AF71" i="21"/>
  <c r="AE71" i="21"/>
  <c r="AD71" i="21"/>
  <c r="P71" i="21"/>
  <c r="M71" i="21"/>
  <c r="K71" i="21"/>
  <c r="AN70" i="21"/>
  <c r="AM70" i="21"/>
  <c r="AL70" i="21"/>
  <c r="AK70" i="21"/>
  <c r="AJ70" i="21"/>
  <c r="AI70" i="21"/>
  <c r="AH70" i="21"/>
  <c r="AG70" i="21"/>
  <c r="AF70" i="21"/>
  <c r="AE70" i="21"/>
  <c r="AD70" i="21"/>
  <c r="P70" i="21"/>
  <c r="M70" i="21"/>
  <c r="K70" i="21"/>
  <c r="AN69" i="21"/>
  <c r="AM69" i="21"/>
  <c r="AL69" i="21"/>
  <c r="AK69" i="21"/>
  <c r="AJ69" i="21"/>
  <c r="AI69" i="21"/>
  <c r="AH69" i="21"/>
  <c r="AG69" i="21"/>
  <c r="AF69" i="21"/>
  <c r="AE69" i="21"/>
  <c r="AD69" i="21"/>
  <c r="P69" i="21"/>
  <c r="M69" i="21"/>
  <c r="K69" i="21"/>
  <c r="AN68" i="21"/>
  <c r="AM68" i="21"/>
  <c r="AL68" i="21"/>
  <c r="AK68" i="21"/>
  <c r="AJ68" i="21"/>
  <c r="AI68" i="21"/>
  <c r="AH68" i="21"/>
  <c r="AG68" i="21"/>
  <c r="AF68" i="21"/>
  <c r="AE68" i="21"/>
  <c r="AD68" i="21"/>
  <c r="P68" i="21"/>
  <c r="M68" i="21"/>
  <c r="K68" i="21"/>
  <c r="AN67" i="21"/>
  <c r="AM67" i="21"/>
  <c r="AL67" i="21"/>
  <c r="AK67" i="21"/>
  <c r="AJ67" i="21"/>
  <c r="AI67" i="21"/>
  <c r="AH67" i="21"/>
  <c r="AG67" i="21"/>
  <c r="AF67" i="21"/>
  <c r="AE67" i="21"/>
  <c r="AD67" i="21"/>
  <c r="P67" i="21"/>
  <c r="M67" i="21"/>
  <c r="K67" i="21"/>
  <c r="AN66" i="21"/>
  <c r="AM66" i="21"/>
  <c r="AL66" i="21"/>
  <c r="AK66" i="21"/>
  <c r="AJ66" i="21"/>
  <c r="AI66" i="21"/>
  <c r="AH66" i="21"/>
  <c r="AG66" i="21"/>
  <c r="AF66" i="21"/>
  <c r="AE66" i="21"/>
  <c r="AD66" i="21"/>
  <c r="P66" i="21"/>
  <c r="M66" i="21"/>
  <c r="K66" i="21"/>
  <c r="AC8" i="21" l="1"/>
  <c r="AC5" i="21"/>
  <c r="AC6" i="21"/>
  <c r="AC7"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8" i="21" l="1"/>
  <c r="AI7" i="21"/>
  <c r="AI6" i="21"/>
  <c r="AI5"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8" i="21" l="1"/>
  <c r="AH7" i="21"/>
  <c r="AH6" i="21"/>
  <c r="AH5" i="21"/>
  <c r="P22" i="21"/>
  <c r="P21" i="21"/>
  <c r="P20" i="21"/>
  <c r="P19" i="21"/>
  <c r="P18" i="21"/>
  <c r="P17" i="21"/>
  <c r="P16" i="21"/>
  <c r="P15" i="21"/>
  <c r="P14" i="21"/>
  <c r="AN158" i="21"/>
  <c r="AM158" i="21"/>
  <c r="AL158" i="21"/>
  <c r="AK158" i="21"/>
  <c r="AJ158" i="21"/>
  <c r="AG158" i="21"/>
  <c r="AF158" i="21"/>
  <c r="AE158" i="21"/>
  <c r="AD158" i="21"/>
  <c r="AN157" i="21"/>
  <c r="AM157" i="21"/>
  <c r="AL157" i="21"/>
  <c r="AK157" i="21"/>
  <c r="AJ157" i="21"/>
  <c r="AG157" i="21"/>
  <c r="AF157" i="21"/>
  <c r="AE157" i="21"/>
  <c r="AD157" i="21"/>
  <c r="AN156" i="21"/>
  <c r="AM156" i="21"/>
  <c r="AL156" i="21"/>
  <c r="AK156" i="21"/>
  <c r="AJ156" i="21"/>
  <c r="AG156" i="21"/>
  <c r="AF156" i="21"/>
  <c r="AE156" i="21"/>
  <c r="AD156" i="21"/>
  <c r="AN155" i="21"/>
  <c r="AM155" i="21"/>
  <c r="AL155" i="21"/>
  <c r="AK155" i="21"/>
  <c r="AJ155" i="21"/>
  <c r="AG155" i="21"/>
  <c r="AF155" i="21"/>
  <c r="AE155" i="21"/>
  <c r="AD155" i="21"/>
  <c r="AN154" i="21"/>
  <c r="AM154" i="21"/>
  <c r="AL154" i="21"/>
  <c r="AK154" i="21"/>
  <c r="AJ154" i="21"/>
  <c r="AG154" i="21"/>
  <c r="AF154" i="21"/>
  <c r="AE154" i="21"/>
  <c r="AD154" i="21"/>
  <c r="AN153" i="21"/>
  <c r="AM153" i="21"/>
  <c r="AL153" i="21"/>
  <c r="AK153" i="21"/>
  <c r="AJ153" i="21"/>
  <c r="AG153" i="21"/>
  <c r="AF153" i="21"/>
  <c r="AE153" i="21"/>
  <c r="AD153" i="21"/>
  <c r="AN152" i="21"/>
  <c r="AM152" i="21"/>
  <c r="AL152" i="21"/>
  <c r="AK152" i="21"/>
  <c r="AJ152" i="21"/>
  <c r="AG152" i="21"/>
  <c r="AF152" i="21"/>
  <c r="AE152" i="21"/>
  <c r="AD152" i="21"/>
  <c r="AN151" i="21"/>
  <c r="AM151" i="21"/>
  <c r="AL151" i="21"/>
  <c r="AK151" i="21"/>
  <c r="AJ151" i="21"/>
  <c r="AG151" i="21"/>
  <c r="AF151" i="21"/>
  <c r="AE151" i="21"/>
  <c r="AD151" i="21"/>
  <c r="AN150" i="21"/>
  <c r="AM150" i="21"/>
  <c r="AL150" i="21"/>
  <c r="AK150" i="21"/>
  <c r="AJ150" i="21"/>
  <c r="AG150" i="21"/>
  <c r="AF150" i="21"/>
  <c r="AE150" i="21"/>
  <c r="AN149" i="21"/>
  <c r="AM149" i="21"/>
  <c r="AL149" i="21"/>
  <c r="AK149" i="21"/>
  <c r="AJ149" i="21"/>
  <c r="AG149" i="21"/>
  <c r="AF149" i="21"/>
  <c r="AE149" i="21"/>
  <c r="AD149" i="21"/>
  <c r="AN148" i="21"/>
  <c r="AM148" i="21"/>
  <c r="AL148" i="21"/>
  <c r="AK148" i="21"/>
  <c r="AJ148" i="21"/>
  <c r="AG148" i="21"/>
  <c r="AF148" i="21"/>
  <c r="AE148" i="21"/>
  <c r="AD148" i="21"/>
  <c r="AN147" i="21"/>
  <c r="AM147" i="21"/>
  <c r="AL147" i="21"/>
  <c r="AK147" i="21"/>
  <c r="AJ147" i="21"/>
  <c r="AG147" i="21"/>
  <c r="AF147" i="21"/>
  <c r="AE147" i="21"/>
  <c r="AD147" i="21"/>
  <c r="AN146" i="21"/>
  <c r="AM146" i="21"/>
  <c r="AL146" i="21"/>
  <c r="AK146" i="21"/>
  <c r="AJ146" i="21"/>
  <c r="AG146" i="21"/>
  <c r="AF146" i="21"/>
  <c r="AE146" i="21"/>
  <c r="AD146" i="21"/>
  <c r="AN145" i="21"/>
  <c r="AM145" i="21"/>
  <c r="AL145" i="21"/>
  <c r="AK145" i="21"/>
  <c r="AJ145" i="21"/>
  <c r="AG145" i="21"/>
  <c r="AF145" i="21"/>
  <c r="AE145" i="21"/>
  <c r="AD145" i="21"/>
  <c r="AN144" i="21"/>
  <c r="AM144" i="21"/>
  <c r="AL144" i="21"/>
  <c r="AK144" i="21"/>
  <c r="AJ144" i="21"/>
  <c r="AG144" i="21"/>
  <c r="AF144" i="21"/>
  <c r="AE144" i="21"/>
  <c r="AD144" i="21"/>
  <c r="AN143" i="21"/>
  <c r="AM143" i="21"/>
  <c r="AL143" i="21"/>
  <c r="AK143" i="21"/>
  <c r="AJ143" i="21"/>
  <c r="AG143" i="21"/>
  <c r="AF143" i="21"/>
  <c r="AE143" i="21"/>
  <c r="AD143" i="21"/>
  <c r="AN142" i="21"/>
  <c r="AM142" i="21"/>
  <c r="AL142" i="21"/>
  <c r="AK142" i="21"/>
  <c r="AJ142" i="21"/>
  <c r="AG142" i="21"/>
  <c r="AF142" i="21"/>
  <c r="AE142" i="21"/>
  <c r="AD142" i="21"/>
  <c r="AN141" i="21"/>
  <c r="AM141" i="21"/>
  <c r="AL141" i="21"/>
  <c r="AK141" i="21"/>
  <c r="AJ141" i="21"/>
  <c r="AG141" i="21"/>
  <c r="AF141" i="21"/>
  <c r="AE141" i="21"/>
  <c r="AD141" i="21"/>
  <c r="AN140" i="21"/>
  <c r="AM140" i="21"/>
  <c r="AL140" i="21"/>
  <c r="AK140" i="21"/>
  <c r="AJ140" i="21"/>
  <c r="AG140" i="21"/>
  <c r="AF140" i="21"/>
  <c r="AE140" i="21"/>
  <c r="AD140" i="21"/>
  <c r="AN139" i="21"/>
  <c r="AM139" i="21"/>
  <c r="AL139" i="21"/>
  <c r="AK139" i="21"/>
  <c r="AJ139" i="21"/>
  <c r="AG139" i="21"/>
  <c r="AF139" i="21"/>
  <c r="AE139" i="21"/>
  <c r="AD139" i="21"/>
  <c r="AN138" i="21"/>
  <c r="AM138" i="21"/>
  <c r="AL138" i="21"/>
  <c r="AK138" i="21"/>
  <c r="AJ138" i="21"/>
  <c r="AG138" i="21"/>
  <c r="AF138" i="21"/>
  <c r="AE138" i="21"/>
  <c r="AD138" i="21"/>
  <c r="AN137" i="21"/>
  <c r="AM137" i="21"/>
  <c r="AL137" i="21"/>
  <c r="AK137" i="21"/>
  <c r="AJ137" i="21"/>
  <c r="AG137" i="21"/>
  <c r="AF137" i="21"/>
  <c r="AE137" i="21"/>
  <c r="AD137" i="21"/>
  <c r="AN136" i="21"/>
  <c r="AM136" i="21"/>
  <c r="AL136" i="21"/>
  <c r="AK136" i="21"/>
  <c r="AJ136" i="21"/>
  <c r="AG136" i="21"/>
  <c r="AF136" i="21"/>
  <c r="AE136" i="21"/>
  <c r="AD136" i="21"/>
  <c r="AN135" i="21"/>
  <c r="AM135" i="21"/>
  <c r="AL135" i="21"/>
  <c r="AK135" i="21"/>
  <c r="AJ135" i="21"/>
  <c r="AG135" i="21"/>
  <c r="AF135" i="21"/>
  <c r="AE135" i="21"/>
  <c r="AD135" i="21"/>
  <c r="AN134" i="21"/>
  <c r="AM134" i="21"/>
  <c r="AL134" i="21"/>
  <c r="AK134" i="21"/>
  <c r="AJ134" i="21"/>
  <c r="AG134" i="21"/>
  <c r="AF134" i="21"/>
  <c r="AE134" i="21"/>
  <c r="AD134" i="21"/>
  <c r="AN133" i="21"/>
  <c r="AM133" i="21"/>
  <c r="AL133" i="21"/>
  <c r="AK133" i="21"/>
  <c r="AJ133" i="21"/>
  <c r="AG133" i="21"/>
  <c r="AF133" i="21"/>
  <c r="AE133" i="21"/>
  <c r="AD133" i="21"/>
  <c r="AN132" i="21"/>
  <c r="AM132" i="21"/>
  <c r="AL132" i="21"/>
  <c r="AK132" i="21"/>
  <c r="AJ132" i="21"/>
  <c r="AG132" i="21"/>
  <c r="AF132" i="21"/>
  <c r="AE132" i="21"/>
  <c r="AD132" i="21"/>
  <c r="AN131" i="21"/>
  <c r="AM131" i="21"/>
  <c r="AL131" i="21"/>
  <c r="AK131" i="21"/>
  <c r="AJ131" i="21"/>
  <c r="AG131" i="21"/>
  <c r="AF131" i="21"/>
  <c r="AE131" i="21"/>
  <c r="AD131" i="21"/>
  <c r="AN130" i="21"/>
  <c r="AM130" i="21"/>
  <c r="AL130" i="21"/>
  <c r="AK130" i="21"/>
  <c r="AJ130" i="21"/>
  <c r="AG130" i="21"/>
  <c r="AF130" i="21"/>
  <c r="AE130" i="21"/>
  <c r="AD130" i="21"/>
  <c r="AN129" i="21"/>
  <c r="AM129" i="21"/>
  <c r="AL129" i="21"/>
  <c r="AK129" i="21"/>
  <c r="AJ129" i="21"/>
  <c r="AG129" i="21"/>
  <c r="AF129" i="21"/>
  <c r="AE129" i="21"/>
  <c r="AD129" i="21"/>
  <c r="AN128" i="21"/>
  <c r="AM128" i="21"/>
  <c r="AL128" i="21"/>
  <c r="AK128" i="21"/>
  <c r="AJ128" i="21"/>
  <c r="AG128" i="21"/>
  <c r="AF128" i="21"/>
  <c r="AE128" i="21"/>
  <c r="AD128" i="21"/>
  <c r="AN127" i="21"/>
  <c r="AM127" i="21"/>
  <c r="AL127" i="21"/>
  <c r="AK127" i="21"/>
  <c r="AJ127" i="21"/>
  <c r="AG127" i="21"/>
  <c r="AF127" i="21"/>
  <c r="AE127" i="21"/>
  <c r="AD127" i="21"/>
  <c r="AN126" i="21"/>
  <c r="AM126" i="21"/>
  <c r="AL126" i="21"/>
  <c r="AK126" i="21"/>
  <c r="AJ126" i="21"/>
  <c r="AG126" i="21"/>
  <c r="AF126" i="21"/>
  <c r="AE126" i="21"/>
  <c r="AD126" i="21"/>
  <c r="AN65" i="21"/>
  <c r="AM65" i="21"/>
  <c r="AL65" i="21"/>
  <c r="AK65" i="21"/>
  <c r="AJ65" i="21"/>
  <c r="AG65" i="21"/>
  <c r="AF65" i="21"/>
  <c r="AE65" i="21"/>
  <c r="AD65" i="21"/>
  <c r="AN64" i="21"/>
  <c r="AM64" i="21"/>
  <c r="AL64" i="21"/>
  <c r="AK64" i="21"/>
  <c r="AJ64" i="21"/>
  <c r="AG64" i="21"/>
  <c r="AF64" i="21"/>
  <c r="AE64" i="21"/>
  <c r="AD64" i="21"/>
  <c r="AN63" i="21"/>
  <c r="AM63" i="21"/>
  <c r="AL63" i="21"/>
  <c r="AK63" i="21"/>
  <c r="AJ63" i="21"/>
  <c r="AG63" i="21"/>
  <c r="AF63" i="21"/>
  <c r="AE63" i="21"/>
  <c r="AD63" i="21"/>
  <c r="AN62" i="21"/>
  <c r="AM62" i="21"/>
  <c r="AL62" i="21"/>
  <c r="AK62" i="21"/>
  <c r="AJ62" i="21"/>
  <c r="AG62" i="21"/>
  <c r="AF62" i="21"/>
  <c r="AE62" i="21"/>
  <c r="AD62" i="21"/>
  <c r="AN61" i="21"/>
  <c r="AM61" i="21"/>
  <c r="AL61" i="21"/>
  <c r="AK61" i="21"/>
  <c r="AJ61" i="21"/>
  <c r="AG61" i="21"/>
  <c r="AF61" i="21"/>
  <c r="AE61" i="21"/>
  <c r="AD61" i="21"/>
  <c r="AN60" i="21"/>
  <c r="AM60" i="21"/>
  <c r="AL60" i="21"/>
  <c r="AK60" i="21"/>
  <c r="AJ60" i="21"/>
  <c r="AG60" i="21"/>
  <c r="AF60" i="21"/>
  <c r="AE60" i="21"/>
  <c r="AD60" i="21"/>
  <c r="AN59" i="21"/>
  <c r="AM59" i="21"/>
  <c r="AL59" i="21"/>
  <c r="AK59" i="21"/>
  <c r="AJ59" i="21"/>
  <c r="AG59" i="21"/>
  <c r="AF59" i="21"/>
  <c r="AE59" i="21"/>
  <c r="AD59" i="21"/>
  <c r="AN58" i="21"/>
  <c r="AM58" i="21"/>
  <c r="AL58" i="21"/>
  <c r="AK58" i="21"/>
  <c r="AJ58" i="21"/>
  <c r="AG58" i="21"/>
  <c r="AF58" i="21"/>
  <c r="AE58" i="21"/>
  <c r="AD58" i="21"/>
  <c r="AN57" i="21"/>
  <c r="AM57" i="21"/>
  <c r="AL57" i="21"/>
  <c r="AK57" i="21"/>
  <c r="AJ57" i="21"/>
  <c r="AG57" i="21"/>
  <c r="AF57" i="21"/>
  <c r="AE57" i="21"/>
  <c r="AD57" i="21"/>
  <c r="AN56" i="21"/>
  <c r="AM56" i="21"/>
  <c r="AL56" i="21"/>
  <c r="AK56" i="21"/>
  <c r="AJ56" i="21"/>
  <c r="AG56" i="21"/>
  <c r="AF56" i="21"/>
  <c r="AE56" i="21"/>
  <c r="AD56" i="21"/>
  <c r="AN55" i="21"/>
  <c r="AM55" i="21"/>
  <c r="AL55" i="21"/>
  <c r="AK55" i="21"/>
  <c r="AJ55" i="21"/>
  <c r="AG55" i="21"/>
  <c r="AF55" i="21"/>
  <c r="AE55" i="21"/>
  <c r="AD55" i="21"/>
  <c r="AN54" i="21"/>
  <c r="AM54" i="21"/>
  <c r="AL54" i="21"/>
  <c r="AK54" i="21"/>
  <c r="AJ54" i="21"/>
  <c r="AG54" i="21"/>
  <c r="AF54" i="21"/>
  <c r="AE54" i="21"/>
  <c r="AD54" i="21"/>
  <c r="AN53" i="21"/>
  <c r="AM53" i="21"/>
  <c r="AL53" i="21"/>
  <c r="AK53" i="21"/>
  <c r="AJ53" i="21"/>
  <c r="AG53" i="21"/>
  <c r="AF53" i="21"/>
  <c r="AE53" i="21"/>
  <c r="AD53" i="21"/>
  <c r="AN52" i="21"/>
  <c r="AM52" i="21"/>
  <c r="AL52" i="21"/>
  <c r="AK52" i="21"/>
  <c r="AJ52" i="21"/>
  <c r="AG52" i="21"/>
  <c r="AF52" i="21"/>
  <c r="AE52" i="21"/>
  <c r="AD52" i="21"/>
  <c r="AN51" i="21"/>
  <c r="AM51" i="21"/>
  <c r="AL51" i="21"/>
  <c r="AK51" i="21"/>
  <c r="AJ51" i="21"/>
  <c r="AG51" i="21"/>
  <c r="AF51" i="21"/>
  <c r="AE51" i="21"/>
  <c r="AD51" i="21"/>
  <c r="AN50" i="21"/>
  <c r="AM50" i="21"/>
  <c r="AL50" i="21"/>
  <c r="AK50" i="21"/>
  <c r="AJ50" i="21"/>
  <c r="AG50" i="21"/>
  <c r="AF50" i="21"/>
  <c r="AE50" i="21"/>
  <c r="AD50" i="21"/>
  <c r="AN49" i="21"/>
  <c r="AM49" i="21"/>
  <c r="AL49" i="21"/>
  <c r="AK49" i="21"/>
  <c r="AJ49" i="21"/>
  <c r="AG49" i="21"/>
  <c r="AF49" i="21"/>
  <c r="AE49" i="21"/>
  <c r="AD49" i="21"/>
  <c r="AN48" i="21"/>
  <c r="AM48" i="21"/>
  <c r="AL48" i="21"/>
  <c r="AK48" i="21"/>
  <c r="AJ48" i="21"/>
  <c r="AG48" i="21"/>
  <c r="AF48" i="21"/>
  <c r="AE48" i="21"/>
  <c r="AD48" i="21"/>
  <c r="AN47" i="21"/>
  <c r="AM47" i="21"/>
  <c r="AL47" i="21"/>
  <c r="AK47" i="21"/>
  <c r="AJ47" i="21"/>
  <c r="AG47" i="21"/>
  <c r="AF47" i="21"/>
  <c r="AE47" i="21"/>
  <c r="AD47" i="21"/>
  <c r="AN46" i="21"/>
  <c r="AM46" i="21"/>
  <c r="AL46" i="21"/>
  <c r="AK46" i="21"/>
  <c r="AJ46" i="21"/>
  <c r="AG46" i="21"/>
  <c r="AF46" i="21"/>
  <c r="AE46" i="21"/>
  <c r="AD46" i="21"/>
  <c r="AN45" i="21"/>
  <c r="AM45" i="21"/>
  <c r="AL45" i="21"/>
  <c r="AK45" i="21"/>
  <c r="AJ45" i="21"/>
  <c r="AG45" i="21"/>
  <c r="AF45" i="21"/>
  <c r="AE45" i="21"/>
  <c r="AD45" i="21"/>
  <c r="AN44" i="21"/>
  <c r="AM44" i="21"/>
  <c r="AL44" i="21"/>
  <c r="AK44" i="21"/>
  <c r="AJ44" i="21"/>
  <c r="AG44" i="21"/>
  <c r="AF44" i="21"/>
  <c r="AE44" i="21"/>
  <c r="AD44" i="21"/>
  <c r="AN43" i="21"/>
  <c r="AM43" i="21"/>
  <c r="AL43" i="21"/>
  <c r="AK43" i="21"/>
  <c r="AJ43" i="21"/>
  <c r="AG43" i="21"/>
  <c r="AF43" i="21"/>
  <c r="AE43" i="21"/>
  <c r="AD43" i="21"/>
  <c r="AN42" i="21"/>
  <c r="AM42" i="21"/>
  <c r="AL42" i="21"/>
  <c r="AK42" i="21"/>
  <c r="AJ42" i="21"/>
  <c r="AG42" i="21"/>
  <c r="AF42" i="21"/>
  <c r="AE42" i="21"/>
  <c r="AD42" i="21"/>
  <c r="AN41" i="21"/>
  <c r="AM41" i="21"/>
  <c r="AL41" i="21"/>
  <c r="AK41" i="21"/>
  <c r="AJ41" i="21"/>
  <c r="AG41" i="21"/>
  <c r="AF41" i="21"/>
  <c r="AE41" i="21"/>
  <c r="AD41" i="21"/>
  <c r="AN40" i="21"/>
  <c r="AM40" i="21"/>
  <c r="AL40" i="21"/>
  <c r="AK40" i="21"/>
  <c r="AJ40" i="21"/>
  <c r="AG40" i="21"/>
  <c r="AF40" i="21"/>
  <c r="AE40" i="21"/>
  <c r="AD40" i="21"/>
  <c r="AN39" i="21"/>
  <c r="AM39" i="21"/>
  <c r="AL39" i="21"/>
  <c r="AK39" i="21"/>
  <c r="AJ39" i="21"/>
  <c r="AG39" i="21"/>
  <c r="AF39" i="21"/>
  <c r="AE39" i="21"/>
  <c r="AD39" i="21"/>
  <c r="AN38" i="21"/>
  <c r="AM38" i="21"/>
  <c r="AL38" i="21"/>
  <c r="AK38" i="21"/>
  <c r="AJ38" i="21"/>
  <c r="AG38" i="21"/>
  <c r="AF38" i="21"/>
  <c r="AE38" i="21"/>
  <c r="AD38" i="21"/>
  <c r="AN37" i="21"/>
  <c r="AM37" i="21"/>
  <c r="AL37" i="21"/>
  <c r="AK37" i="21"/>
  <c r="AJ37" i="21"/>
  <c r="AG37" i="21"/>
  <c r="AF37" i="21"/>
  <c r="AE37" i="21"/>
  <c r="AD37" i="21"/>
  <c r="AN36" i="21"/>
  <c r="AM36" i="21"/>
  <c r="AL36" i="21"/>
  <c r="AK36" i="21"/>
  <c r="AJ36" i="21"/>
  <c r="AG36" i="21"/>
  <c r="AF36" i="21"/>
  <c r="AE36" i="21"/>
  <c r="AD36" i="21"/>
  <c r="AN35" i="21"/>
  <c r="AM35" i="21"/>
  <c r="AL35" i="21"/>
  <c r="AK35" i="21"/>
  <c r="AJ35" i="21"/>
  <c r="AG35" i="21"/>
  <c r="AF35" i="21"/>
  <c r="AE35" i="21"/>
  <c r="AD35" i="21"/>
  <c r="AN34" i="21"/>
  <c r="AM34" i="21"/>
  <c r="AL34" i="21"/>
  <c r="AK34" i="21"/>
  <c r="AJ34" i="21"/>
  <c r="AG34" i="21"/>
  <c r="AF34" i="21"/>
  <c r="AE34" i="21"/>
  <c r="AD34" i="21"/>
  <c r="AN33" i="21"/>
  <c r="AM33" i="21"/>
  <c r="AL33" i="21"/>
  <c r="AK33" i="21"/>
  <c r="AJ33" i="21"/>
  <c r="AG33" i="21"/>
  <c r="AF33" i="21"/>
  <c r="AE33" i="21"/>
  <c r="AD33" i="21"/>
  <c r="AN32" i="21"/>
  <c r="AM32" i="21"/>
  <c r="AL32" i="21"/>
  <c r="AK32" i="21"/>
  <c r="AJ32" i="21"/>
  <c r="AG32" i="21"/>
  <c r="AF32" i="21"/>
  <c r="AE32" i="21"/>
  <c r="AD32" i="21"/>
  <c r="AN31" i="21"/>
  <c r="AM31" i="21"/>
  <c r="AL31" i="21"/>
  <c r="AK31" i="21"/>
  <c r="AJ31" i="21"/>
  <c r="AG31" i="21"/>
  <c r="AF31" i="21"/>
  <c r="AE31" i="21"/>
  <c r="AD31" i="21"/>
  <c r="AN30" i="21"/>
  <c r="AM30" i="21"/>
  <c r="AL30" i="21"/>
  <c r="AK30" i="21"/>
  <c r="AJ30" i="21"/>
  <c r="AG30" i="21"/>
  <c r="AF30" i="21"/>
  <c r="AE30" i="21"/>
  <c r="AD30" i="21"/>
  <c r="AN29" i="21"/>
  <c r="AM29" i="21"/>
  <c r="AL29" i="21"/>
  <c r="AK29" i="21"/>
  <c r="AJ29" i="21"/>
  <c r="AG29" i="21"/>
  <c r="AF29" i="21"/>
  <c r="AE29" i="21"/>
  <c r="AD29" i="21"/>
  <c r="AN28" i="21"/>
  <c r="AM28" i="21"/>
  <c r="AL28" i="21"/>
  <c r="AK28" i="21"/>
  <c r="AJ28" i="21"/>
  <c r="AG28" i="21"/>
  <c r="AF28" i="21"/>
  <c r="AE28" i="21"/>
  <c r="AD28" i="21"/>
  <c r="AN27" i="21"/>
  <c r="AM27" i="21"/>
  <c r="AL27" i="21"/>
  <c r="AK27" i="21"/>
  <c r="AJ27" i="21"/>
  <c r="AG27" i="21"/>
  <c r="AF27" i="21"/>
  <c r="AE27" i="21"/>
  <c r="AD27" i="21"/>
  <c r="AN26" i="21"/>
  <c r="AM26" i="21"/>
  <c r="AL26" i="21"/>
  <c r="AK26" i="21"/>
  <c r="AJ26" i="21"/>
  <c r="AG26" i="21"/>
  <c r="AF26" i="21"/>
  <c r="AE26" i="21"/>
  <c r="AD26" i="21"/>
  <c r="AN25" i="21"/>
  <c r="AM25" i="21"/>
  <c r="AL25" i="21"/>
  <c r="AK25" i="21"/>
  <c r="AJ25" i="21"/>
  <c r="AG25" i="21"/>
  <c r="AF25" i="21"/>
  <c r="AE25" i="21"/>
  <c r="AD25" i="21"/>
  <c r="AN24" i="21"/>
  <c r="AM24" i="21"/>
  <c r="AL24" i="21"/>
  <c r="AK24" i="21"/>
  <c r="AJ24" i="21"/>
  <c r="AG24" i="21"/>
  <c r="AF24" i="21"/>
  <c r="AE24" i="21"/>
  <c r="AD24" i="21"/>
  <c r="AN23" i="21"/>
  <c r="AM23" i="21"/>
  <c r="AL23" i="21"/>
  <c r="AK23" i="21"/>
  <c r="AJ23" i="21"/>
  <c r="AG23" i="21"/>
  <c r="AF23" i="21"/>
  <c r="AE23" i="21"/>
  <c r="AD23" i="21"/>
  <c r="AN22" i="21"/>
  <c r="AM22" i="21"/>
  <c r="AL22" i="21"/>
  <c r="AK22" i="21"/>
  <c r="AJ22" i="21"/>
  <c r="AG22" i="21"/>
  <c r="AF22" i="21"/>
  <c r="AE22" i="21"/>
  <c r="AD22" i="21"/>
  <c r="AN21" i="21"/>
  <c r="AM21" i="21"/>
  <c r="AL21" i="21"/>
  <c r="AK21" i="21"/>
  <c r="AJ21" i="21"/>
  <c r="AG21" i="21"/>
  <c r="AF21" i="21"/>
  <c r="AE21" i="21"/>
  <c r="AD21" i="21"/>
  <c r="AN20" i="21"/>
  <c r="AM20" i="21"/>
  <c r="AL20" i="21"/>
  <c r="AK20" i="21"/>
  <c r="AJ20" i="21"/>
  <c r="AG20" i="21"/>
  <c r="AF20" i="21"/>
  <c r="AE20" i="21"/>
  <c r="AD20" i="21"/>
  <c r="AN19" i="21"/>
  <c r="AM19" i="21"/>
  <c r="AL19" i="21"/>
  <c r="AK19" i="21"/>
  <c r="AJ19" i="21"/>
  <c r="AG19" i="21"/>
  <c r="AF19" i="21"/>
  <c r="AE19" i="21"/>
  <c r="AD19" i="21"/>
  <c r="AN18" i="21"/>
  <c r="AM18" i="21"/>
  <c r="AL18" i="21"/>
  <c r="AK18" i="21"/>
  <c r="AJ18" i="21"/>
  <c r="AG18" i="21"/>
  <c r="AF18" i="21"/>
  <c r="AE18" i="21"/>
  <c r="AD18" i="21"/>
  <c r="AN17" i="21"/>
  <c r="AM17" i="21"/>
  <c r="AL17" i="21"/>
  <c r="AK17" i="21"/>
  <c r="AJ17" i="21"/>
  <c r="AG17" i="21"/>
  <c r="AF17" i="21"/>
  <c r="AE17" i="21"/>
  <c r="AD17" i="21"/>
  <c r="AN16" i="21"/>
  <c r="AM16" i="21"/>
  <c r="AL16" i="21"/>
  <c r="AK16" i="21"/>
  <c r="AJ16" i="21"/>
  <c r="AG16" i="21"/>
  <c r="AF16" i="21"/>
  <c r="AE16" i="21"/>
  <c r="AD16" i="21"/>
  <c r="AN15" i="21"/>
  <c r="AM15" i="21"/>
  <c r="AL15" i="21"/>
  <c r="AK15" i="21"/>
  <c r="AJ15" i="21"/>
  <c r="AG15" i="21"/>
  <c r="AF15" i="21"/>
  <c r="AE15" i="21"/>
  <c r="AD15" i="21"/>
  <c r="AN14" i="21"/>
  <c r="AM14" i="21"/>
  <c r="AL14" i="21"/>
  <c r="AK14" i="21"/>
  <c r="AJ14" i="21"/>
  <c r="AG14" i="21"/>
  <c r="AF14" i="21"/>
  <c r="AE14" i="21"/>
  <c r="AD14"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49" i="21"/>
  <c r="M150" i="21"/>
  <c r="M151" i="21"/>
  <c r="M152" i="21"/>
  <c r="M153" i="21"/>
  <c r="M154" i="21"/>
  <c r="M155" i="21"/>
  <c r="M156" i="21"/>
  <c r="M157" i="21"/>
  <c r="M158" i="21"/>
  <c r="K54" i="21"/>
  <c r="K53" i="21"/>
  <c r="K52" i="21"/>
  <c r="K51" i="21"/>
  <c r="K50" i="21"/>
  <c r="K49" i="21"/>
  <c r="K48" i="21"/>
  <c r="K47" i="21"/>
  <c r="K46" i="21"/>
  <c r="K45" i="21"/>
  <c r="K44" i="21"/>
  <c r="K43" i="21"/>
  <c r="K42" i="21"/>
  <c r="K41" i="21"/>
  <c r="K40" i="21"/>
  <c r="K39" i="21"/>
  <c r="K38" i="21"/>
  <c r="K37" i="21"/>
  <c r="K36" i="21"/>
  <c r="K35" i="21"/>
  <c r="K34" i="21"/>
  <c r="K33" i="21"/>
  <c r="K32" i="21"/>
  <c r="K31" i="21"/>
  <c r="K30" i="21"/>
  <c r="K29" i="21"/>
  <c r="K28" i="21"/>
  <c r="K27" i="21"/>
  <c r="K26" i="21"/>
  <c r="K25" i="21"/>
  <c r="K24" i="21"/>
  <c r="K23" i="21"/>
  <c r="K22" i="21"/>
  <c r="K21" i="21"/>
  <c r="K20" i="21"/>
  <c r="K19" i="21"/>
  <c r="K18" i="21"/>
  <c r="K151" i="21"/>
  <c r="K150" i="21"/>
  <c r="K149" i="21"/>
  <c r="K148" i="21"/>
  <c r="K147" i="21"/>
  <c r="K146" i="21"/>
  <c r="K145" i="21"/>
  <c r="K144" i="21"/>
  <c r="K143" i="21"/>
  <c r="K142" i="21"/>
  <c r="K141" i="21"/>
  <c r="K140" i="21"/>
  <c r="K139" i="21"/>
  <c r="K138" i="21"/>
  <c r="K137" i="21"/>
  <c r="K136" i="21"/>
  <c r="K135" i="21"/>
  <c r="K134" i="21"/>
  <c r="K133" i="21"/>
  <c r="K132" i="21"/>
  <c r="K131" i="21"/>
  <c r="K130" i="21"/>
  <c r="K129" i="21"/>
  <c r="K128" i="21"/>
  <c r="K127" i="21"/>
  <c r="K126" i="21"/>
  <c r="K65" i="21"/>
  <c r="K64" i="21"/>
  <c r="K63" i="21"/>
  <c r="K62" i="21"/>
  <c r="K61" i="21"/>
  <c r="K60" i="21"/>
  <c r="K59" i="21"/>
  <c r="K58" i="21"/>
  <c r="K57" i="21"/>
  <c r="K56" i="21"/>
  <c r="K55" i="21"/>
  <c r="K158" i="21"/>
  <c r="K157" i="21"/>
  <c r="K156" i="21"/>
  <c r="K155" i="21"/>
  <c r="K154" i="21"/>
  <c r="K153" i="21"/>
  <c r="K152" i="21"/>
  <c r="K17" i="21"/>
  <c r="K16" i="21"/>
  <c r="K15" i="21"/>
  <c r="K14" i="21"/>
  <c r="AD7" i="21" l="1"/>
  <c r="AD8" i="21"/>
  <c r="M7" i="21"/>
  <c r="M8" i="21"/>
  <c r="AK7" i="21"/>
  <c r="AK8" i="21"/>
  <c r="K7" i="21"/>
  <c r="K8" i="21"/>
  <c r="P8" i="21"/>
  <c r="P7" i="21"/>
  <c r="P6" i="21"/>
  <c r="P5" i="21"/>
  <c r="K6" i="21"/>
  <c r="K5" i="21"/>
  <c r="M6" i="21"/>
  <c r="M5" i="21"/>
  <c r="AG8" i="21" l="1"/>
  <c r="AG7" i="21"/>
  <c r="AF8" i="21"/>
  <c r="AF7" i="21"/>
  <c r="AM8" i="21"/>
  <c r="AM7" i="21"/>
  <c r="AG6" i="21"/>
  <c r="AG5" i="21"/>
  <c r="AF6" i="21"/>
  <c r="AF5" i="21"/>
  <c r="AK6" i="21"/>
  <c r="AK5" i="21"/>
  <c r="AM6" i="21"/>
  <c r="AM5" i="21"/>
  <c r="AJ7" i="21" l="1"/>
  <c r="AJ8" i="21"/>
  <c r="AL8" i="21"/>
  <c r="AL7" i="21"/>
  <c r="AE8" i="21"/>
  <c r="AE7" i="21"/>
  <c r="AN8" i="21"/>
  <c r="AN7" i="21"/>
  <c r="AN6" i="21"/>
  <c r="AN5" i="21"/>
  <c r="AD6" i="21"/>
  <c r="AD5" i="21"/>
  <c r="AL6" i="21"/>
  <c r="AL5" i="21"/>
  <c r="AE6" i="21"/>
  <c r="AE5" i="21"/>
  <c r="AJ6" i="21"/>
  <c r="AJ5" i="21"/>
  <c r="O8" i="21" l="1"/>
  <c r="O7" i="21"/>
  <c r="O6" i="21"/>
  <c r="O5"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thor>
  </authors>
  <commentList>
    <comment ref="C9" authorId="0" shapeId="0" xr:uid="{0A007042-75D6-4E66-8528-AB9A4B82F476}">
      <text>
        <r>
          <rPr>
            <sz val="9"/>
            <color indexed="81"/>
            <rFont val="Tahoma"/>
            <family val="2"/>
          </rPr>
          <t>From HEC-GeoHMS Subbasin layer, Name.</t>
        </r>
      </text>
    </comment>
    <comment ref="D9" authorId="0" shapeId="0" xr:uid="{9083F765-D4BA-44C6-85EA-EEEECF3E72C6}">
      <text>
        <r>
          <rPr>
            <sz val="9"/>
            <color indexed="81"/>
            <rFont val="Tahoma"/>
            <family val="2"/>
          </rPr>
          <t>From HEC-GeoHMS Subbasin layer, DrainID.
Common code value for Basins, Rivers, LongestFlowPath…</t>
        </r>
      </text>
    </comment>
    <comment ref="J9" authorId="0" shapeId="0" xr:uid="{968771CC-EE9E-4888-87E5-A5CA55BF7426}">
      <text>
        <r>
          <rPr>
            <sz val="9"/>
            <color indexed="81"/>
            <rFont val="Tahoma"/>
            <family val="2"/>
          </rPr>
          <t>Basin slope (%)
From HEC-GeoHMS Subbasin layer, BasinSlope</t>
        </r>
      </text>
    </comment>
    <comment ref="P9" authorId="0" shapeId="0" xr:uid="{03FABB62-E617-4FDE-BB10-EC897051A240}">
      <text>
        <r>
          <rPr>
            <sz val="9"/>
            <color indexed="81"/>
            <rFont val="Tahoma"/>
            <family val="2"/>
          </rPr>
          <t>S = (1000 / CN) - 10</t>
        </r>
      </text>
    </comment>
    <comment ref="U9" authorId="0" shapeId="0" xr:uid="{EEEA36ED-4A9C-453C-9C38-A5E1F0C3BCE2}">
      <text>
        <r>
          <rPr>
            <b/>
            <sz val="9"/>
            <color indexed="81"/>
            <rFont val="Tahoma"/>
            <family val="2"/>
          </rPr>
          <t>R:</t>
        </r>
        <r>
          <rPr>
            <sz val="9"/>
            <color indexed="81"/>
            <rFont val="Tahoma"/>
            <family val="2"/>
          </rPr>
          <t xml:space="preserve">
0 - Transit line
1 - Header basin river
</t>
        </r>
      </text>
    </comment>
    <comment ref="V9" authorId="0" shapeId="0" xr:uid="{B14DE93F-59FB-4605-941A-EB413BDCD589}">
      <text>
        <r>
          <rPr>
            <sz val="9"/>
            <color indexed="81"/>
            <rFont val="Tahoma"/>
            <family val="2"/>
          </rPr>
          <t>Centroid Elevation m.s.n.m</t>
        </r>
      </text>
    </comment>
    <comment ref="AA9" authorId="0" shapeId="0" xr:uid="{EA56511A-7360-4E2D-BC10-FA04E37033F6}">
      <text>
        <r>
          <rPr>
            <sz val="9"/>
            <color indexed="81"/>
            <rFont val="Tahoma"/>
            <family val="2"/>
          </rPr>
          <t>Hydraulic length of the watershed (meter).
Value from HEC-GeoHMS LongestFlowPath layer, Shape_Length or updated value over LongestFL field.</t>
        </r>
      </text>
    </comment>
    <comment ref="AB9" authorId="0" shapeId="0" xr:uid="{E5CD4E39-B065-485F-8211-91D8A9E2D220}">
      <text>
        <r>
          <rPr>
            <sz val="9"/>
            <color indexed="81"/>
            <rFont val="Tahoma"/>
            <family val="2"/>
          </rPr>
          <t>From Zonal Statistic as table using ALOS PALSAR 12.5m DEM Slope and the river network.</t>
        </r>
      </text>
    </comment>
  </commentList>
</comments>
</file>

<file path=xl/sharedStrings.xml><?xml version="1.0" encoding="utf-8"?>
<sst xmlns="http://schemas.openxmlformats.org/spreadsheetml/2006/main" count="9741" uniqueCount="490">
  <si>
    <t>Nombre de cuenca</t>
  </si>
  <si>
    <t>CN I
Seco</t>
  </si>
  <si>
    <t>CN II
Normal</t>
  </si>
  <si>
    <t>CN III
Húmedo</t>
  </si>
  <si>
    <t>Nombre del cauce Principal</t>
  </si>
  <si>
    <t>Factor de Forma</t>
  </si>
  <si>
    <t>Número de Corrientes</t>
  </si>
  <si>
    <t>W26710</t>
  </si>
  <si>
    <t>W26720</t>
  </si>
  <si>
    <t>W26740</t>
  </si>
  <si>
    <t>W26750</t>
  </si>
  <si>
    <t>W26760</t>
  </si>
  <si>
    <t>W26770</t>
  </si>
  <si>
    <t>W26780</t>
  </si>
  <si>
    <t>W26790</t>
  </si>
  <si>
    <t>W26810</t>
  </si>
  <si>
    <t>W26820</t>
  </si>
  <si>
    <t>W26840</t>
  </si>
  <si>
    <t>W26850</t>
  </si>
  <si>
    <t>W26880</t>
  </si>
  <si>
    <t>W26900</t>
  </si>
  <si>
    <t>W26910</t>
  </si>
  <si>
    <t>W26920</t>
  </si>
  <si>
    <t>W26930</t>
  </si>
  <si>
    <t>W26940</t>
  </si>
  <si>
    <t>W26960</t>
  </si>
  <si>
    <t>W26970</t>
  </si>
  <si>
    <t>W26990</t>
  </si>
  <si>
    <t>W27000</t>
  </si>
  <si>
    <t>W27010</t>
  </si>
  <si>
    <t>W27040</t>
  </si>
  <si>
    <t>W27060</t>
  </si>
  <si>
    <t>W27080</t>
  </si>
  <si>
    <t>W27100</t>
  </si>
  <si>
    <t>W27120</t>
  </si>
  <si>
    <t>W27130</t>
  </si>
  <si>
    <t>W27140</t>
  </si>
  <si>
    <t>W27150</t>
  </si>
  <si>
    <t>W27160</t>
  </si>
  <si>
    <t>W27170</t>
  </si>
  <si>
    <t>W27200</t>
  </si>
  <si>
    <t>W27250</t>
  </si>
  <si>
    <t>W27290</t>
  </si>
  <si>
    <t>W27300</t>
  </si>
  <si>
    <t>W27340</t>
  </si>
  <si>
    <t>W27350</t>
  </si>
  <si>
    <t>W27390</t>
  </si>
  <si>
    <t>W27400</t>
  </si>
  <si>
    <t>W27440</t>
  </si>
  <si>
    <t>W27450</t>
  </si>
  <si>
    <t>W27490</t>
  </si>
  <si>
    <t>W27500</t>
  </si>
  <si>
    <t>Ruta más larga de la escorrentía, m</t>
  </si>
  <si>
    <t>Longitud cauce principal, km</t>
  </si>
  <si>
    <t>Longitud total cauces, km</t>
  </si>
  <si>
    <t>Pendiente media cauces, m/m</t>
  </si>
  <si>
    <t>Pendiente media cauce principal, m/m</t>
  </si>
  <si>
    <t>Perímetro, km</t>
  </si>
  <si>
    <t>Cota Mínima, m.s.n.m</t>
  </si>
  <si>
    <t>Cota Máxima, m.s.n.m</t>
  </si>
  <si>
    <t>Cota Media, m.s.n.m</t>
  </si>
  <si>
    <t>Pendiente Media, %</t>
  </si>
  <si>
    <t>Tiempo de retardo Lagtime, hr
CNLag=Método del SCS</t>
  </si>
  <si>
    <t>DrainID
HEC-HMS</t>
  </si>
  <si>
    <t>RiverName
HEC-HMS</t>
  </si>
  <si>
    <t>ISHEAD
HEC-HMS</t>
  </si>
  <si>
    <t>Nombre de subcuenca
HEC-HMS</t>
  </si>
  <si>
    <t>Z, Cota  centroide cauce principal, m.s.n.m</t>
  </si>
  <si>
    <t>Densidad de Drenaje, km/km²</t>
  </si>
  <si>
    <t>Río Calenturitas</t>
  </si>
  <si>
    <t>Name</t>
  </si>
  <si>
    <t>OBJECTID *</t>
  </si>
  <si>
    <t>Shape *</t>
  </si>
  <si>
    <t>gridcode</t>
  </si>
  <si>
    <t>Shape_Length</t>
  </si>
  <si>
    <t>Shape_Area</t>
  </si>
  <si>
    <t>HydroID</t>
  </si>
  <si>
    <t>DrainID</t>
  </si>
  <si>
    <t>Description</t>
  </si>
  <si>
    <t>PrecipGage</t>
  </si>
  <si>
    <t>TotStormP</t>
  </si>
  <si>
    <t>BasinSlope</t>
  </si>
  <si>
    <t>LossMet</t>
  </si>
  <si>
    <t>TransMet</t>
  </si>
  <si>
    <t>BaseMet</t>
  </si>
  <si>
    <t>PctImp</t>
  </si>
  <si>
    <t>InitAbst</t>
  </si>
  <si>
    <t>BasinCN</t>
  </si>
  <si>
    <t>Rain2Yr</t>
  </si>
  <si>
    <t>LagMethod</t>
  </si>
  <si>
    <t>Tc</t>
  </si>
  <si>
    <t>BasinLag</t>
  </si>
  <si>
    <t>MaxDeficit</t>
  </si>
  <si>
    <t>IDeficit</t>
  </si>
  <si>
    <t>InitLoss</t>
  </si>
  <si>
    <t>LossRate</t>
  </si>
  <si>
    <t>HyConduct</t>
  </si>
  <si>
    <t>WetDeficit</t>
  </si>
  <si>
    <t>WFSuction</t>
  </si>
  <si>
    <t>InitContent</t>
  </si>
  <si>
    <t>SatConduct</t>
  </si>
  <si>
    <t>ResiContent</t>
  </si>
  <si>
    <t>SatContent</t>
  </si>
  <si>
    <t>BubbPress</t>
  </si>
  <si>
    <t>PoreDist</t>
  </si>
  <si>
    <t>MaxCanopS</t>
  </si>
  <si>
    <t>MaxSurfS</t>
  </si>
  <si>
    <t>MaxSurfI</t>
  </si>
  <si>
    <t>MaxSoilPer</t>
  </si>
  <si>
    <t>SoilTensS</t>
  </si>
  <si>
    <t>MaxSoilS</t>
  </si>
  <si>
    <t>GW1MaxS</t>
  </si>
  <si>
    <t>GW2MaxS</t>
  </si>
  <si>
    <t>GW1MaxPer</t>
  </si>
  <si>
    <t>GW2MaxPer</t>
  </si>
  <si>
    <t>PctUrban</t>
  </si>
  <si>
    <t>PctSand</t>
  </si>
  <si>
    <t>PctChannel</t>
  </si>
  <si>
    <t>W25670</t>
  </si>
  <si>
    <t>Polígono</t>
  </si>
  <si>
    <t>&lt;Nulo&gt;</t>
  </si>
  <si>
    <t>SCS</t>
  </si>
  <si>
    <t>W25680</t>
  </si>
  <si>
    <t>W25690</t>
  </si>
  <si>
    <t>W25700</t>
  </si>
  <si>
    <t>W25710</t>
  </si>
  <si>
    <t>W25720</t>
  </si>
  <si>
    <t>W25730</t>
  </si>
  <si>
    <t>W25740</t>
  </si>
  <si>
    <t>W25750</t>
  </si>
  <si>
    <t>W25760</t>
  </si>
  <si>
    <t>W25770</t>
  </si>
  <si>
    <t>W25780</t>
  </si>
  <si>
    <t>W25790</t>
  </si>
  <si>
    <t>W25800</t>
  </si>
  <si>
    <t>W25810</t>
  </si>
  <si>
    <t>W25820</t>
  </si>
  <si>
    <t>W25830</t>
  </si>
  <si>
    <t>W25840</t>
  </si>
  <si>
    <t>W25850</t>
  </si>
  <si>
    <t>W25860</t>
  </si>
  <si>
    <t>W25870</t>
  </si>
  <si>
    <t>W25880</t>
  </si>
  <si>
    <t>W25890</t>
  </si>
  <si>
    <t>W25900</t>
  </si>
  <si>
    <t>W25910</t>
  </si>
  <si>
    <t>W25920</t>
  </si>
  <si>
    <t>W25930</t>
  </si>
  <si>
    <t>W25940</t>
  </si>
  <si>
    <t>W25950</t>
  </si>
  <si>
    <t>W25960</t>
  </si>
  <si>
    <t>W25970</t>
  </si>
  <si>
    <t>W25980</t>
  </si>
  <si>
    <t>W25990</t>
  </si>
  <si>
    <t>W26000</t>
  </si>
  <si>
    <t>W26010</t>
  </si>
  <si>
    <t>W26020</t>
  </si>
  <si>
    <t>W26030</t>
  </si>
  <si>
    <t>W26040</t>
  </si>
  <si>
    <t>W26050</t>
  </si>
  <si>
    <t>W26060</t>
  </si>
  <si>
    <t>W26070</t>
  </si>
  <si>
    <t>W26080</t>
  </si>
  <si>
    <t>W26090</t>
  </si>
  <si>
    <t>W26100</t>
  </si>
  <si>
    <t>W26110</t>
  </si>
  <si>
    <t>W26120</t>
  </si>
  <si>
    <t>W26130</t>
  </si>
  <si>
    <t>W26140</t>
  </si>
  <si>
    <t>W26150</t>
  </si>
  <si>
    <t>W26160</t>
  </si>
  <si>
    <t>W26170</t>
  </si>
  <si>
    <t>W26180</t>
  </si>
  <si>
    <t>W26190</t>
  </si>
  <si>
    <t>W26200</t>
  </si>
  <si>
    <t>W26210</t>
  </si>
  <si>
    <t>W26220</t>
  </si>
  <si>
    <t>W26230</t>
  </si>
  <si>
    <t>W26240</t>
  </si>
  <si>
    <t>W26250</t>
  </si>
  <si>
    <t>W26260</t>
  </si>
  <si>
    <t>W26270</t>
  </si>
  <si>
    <t>W26280</t>
  </si>
  <si>
    <t>W26290</t>
  </si>
  <si>
    <t>W26300</t>
  </si>
  <si>
    <t>W26310</t>
  </si>
  <si>
    <t>W26320</t>
  </si>
  <si>
    <t>W26330</t>
  </si>
  <si>
    <t>W26340</t>
  </si>
  <si>
    <t>W26350</t>
  </si>
  <si>
    <t>W26360</t>
  </si>
  <si>
    <t>W26370</t>
  </si>
  <si>
    <t>W26380</t>
  </si>
  <si>
    <t>W26390</t>
  </si>
  <si>
    <t>W26410</t>
  </si>
  <si>
    <t>W26420</t>
  </si>
  <si>
    <t>W26440</t>
  </si>
  <si>
    <t>W26450</t>
  </si>
  <si>
    <t>W26460</t>
  </si>
  <si>
    <t>W26470</t>
  </si>
  <si>
    <t>W26480</t>
  </si>
  <si>
    <t>W26490</t>
  </si>
  <si>
    <t>W26500</t>
  </si>
  <si>
    <t>W26510</t>
  </si>
  <si>
    <t>W26520</t>
  </si>
  <si>
    <t>W26530</t>
  </si>
  <si>
    <t>W26540</t>
  </si>
  <si>
    <t>W26550</t>
  </si>
  <si>
    <t>W26560</t>
  </si>
  <si>
    <t>W26570</t>
  </si>
  <si>
    <t>W26580</t>
  </si>
  <si>
    <t>W26590</t>
  </si>
  <si>
    <t>W26600</t>
  </si>
  <si>
    <t>W26620</t>
  </si>
  <si>
    <t>W26630</t>
  </si>
  <si>
    <t>W26640</t>
  </si>
  <si>
    <t>W26650</t>
  </si>
  <si>
    <t>W26660</t>
  </si>
  <si>
    <t>W26670</t>
  </si>
  <si>
    <t>W26680</t>
  </si>
  <si>
    <t>W26690</t>
  </si>
  <si>
    <t>W26700</t>
  </si>
  <si>
    <t>W26830</t>
  </si>
  <si>
    <t>W26870</t>
  </si>
  <si>
    <t>W26890</t>
  </si>
  <si>
    <t>W26950</t>
  </si>
  <si>
    <t>W26980</t>
  </si>
  <si>
    <t>W27050</t>
  </si>
  <si>
    <t>W27070</t>
  </si>
  <si>
    <t>W27090</t>
  </si>
  <si>
    <t>W27110</t>
  </si>
  <si>
    <t>W27190</t>
  </si>
  <si>
    <t>W27240</t>
  </si>
  <si>
    <t>W27600</t>
  </si>
  <si>
    <t>W27610</t>
  </si>
  <si>
    <t>Shape_LengthKm</t>
  </si>
  <si>
    <t>Máximo</t>
  </si>
  <si>
    <t>Medio</t>
  </si>
  <si>
    <t>Mínimo</t>
  </si>
  <si>
    <t>Desviación</t>
  </si>
  <si>
    <t>Estadísticos</t>
  </si>
  <si>
    <t>arcid</t>
  </si>
  <si>
    <t>grid_code</t>
  </si>
  <si>
    <t>from_node</t>
  </si>
  <si>
    <t>to_node</t>
  </si>
  <si>
    <t>NextDownID</t>
  </si>
  <si>
    <t>Slp</t>
  </si>
  <si>
    <t>SlpZonal</t>
  </si>
  <si>
    <t>ElevUP</t>
  </si>
  <si>
    <t>ElevDS</t>
  </si>
  <si>
    <t>RivLen</t>
  </si>
  <si>
    <t>ChnShapeMusk</t>
  </si>
  <si>
    <t>ChnShapeKine</t>
  </si>
  <si>
    <t>ChnWidth</t>
  </si>
  <si>
    <t>ChnSdSlp</t>
  </si>
  <si>
    <t>ChnManN</t>
  </si>
  <si>
    <t>RouteMet</t>
  </si>
  <si>
    <t>R24160</t>
  </si>
  <si>
    <t>Polilínea</t>
  </si>
  <si>
    <t>Muskingum</t>
  </si>
  <si>
    <t>R24170</t>
  </si>
  <si>
    <t>R24180</t>
  </si>
  <si>
    <t>R24190</t>
  </si>
  <si>
    <t>R24220</t>
  </si>
  <si>
    <t>R24200</t>
  </si>
  <si>
    <t>R24210</t>
  </si>
  <si>
    <t>R24250</t>
  </si>
  <si>
    <t>R24230</t>
  </si>
  <si>
    <t>R24260</t>
  </si>
  <si>
    <t>R24240</t>
  </si>
  <si>
    <t>R24320</t>
  </si>
  <si>
    <t>R24280</t>
  </si>
  <si>
    <t>R24270</t>
  </si>
  <si>
    <t>R24300</t>
  </si>
  <si>
    <t>R24290</t>
  </si>
  <si>
    <t>R24310</t>
  </si>
  <si>
    <t>R24350</t>
  </si>
  <si>
    <t>R24340</t>
  </si>
  <si>
    <t>R24330</t>
  </si>
  <si>
    <t>R24360</t>
  </si>
  <si>
    <t>R24370</t>
  </si>
  <si>
    <t>R24410</t>
  </si>
  <si>
    <t>R24400</t>
  </si>
  <si>
    <t>R24380</t>
  </si>
  <si>
    <t>R24390</t>
  </si>
  <si>
    <t>R24450</t>
  </si>
  <si>
    <t>R24520</t>
  </si>
  <si>
    <t>R24460</t>
  </si>
  <si>
    <t>R24420</t>
  </si>
  <si>
    <t>R24430</t>
  </si>
  <si>
    <t>R24490</t>
  </si>
  <si>
    <t>R24440</t>
  </si>
  <si>
    <t>R24470</t>
  </si>
  <si>
    <t>R24480</t>
  </si>
  <si>
    <t>R24510</t>
  </si>
  <si>
    <t>R24710</t>
  </si>
  <si>
    <t>R24500</t>
  </si>
  <si>
    <t>R24530</t>
  </si>
  <si>
    <t>R24540</t>
  </si>
  <si>
    <t>R24550</t>
  </si>
  <si>
    <t>R24590</t>
  </si>
  <si>
    <t>R24560</t>
  </si>
  <si>
    <t>R24580</t>
  </si>
  <si>
    <t>R24630</t>
  </si>
  <si>
    <t>R24690</t>
  </si>
  <si>
    <t>R24570</t>
  </si>
  <si>
    <t>R24660</t>
  </si>
  <si>
    <t>R24620</t>
  </si>
  <si>
    <t>R24730</t>
  </si>
  <si>
    <t>R24610</t>
  </si>
  <si>
    <t>R24700</t>
  </si>
  <si>
    <t>R24600</t>
  </si>
  <si>
    <t>R24680</t>
  </si>
  <si>
    <t>R24670</t>
  </si>
  <si>
    <t>R24640</t>
  </si>
  <si>
    <t>R24650</t>
  </si>
  <si>
    <t>R24830</t>
  </si>
  <si>
    <t>R24760</t>
  </si>
  <si>
    <t>R24720</t>
  </si>
  <si>
    <t>R24810</t>
  </si>
  <si>
    <t>R24750</t>
  </si>
  <si>
    <t>R24850</t>
  </si>
  <si>
    <t>R24770</t>
  </si>
  <si>
    <t>R24740</t>
  </si>
  <si>
    <t>R24880</t>
  </si>
  <si>
    <t>R24910</t>
  </si>
  <si>
    <t>R24840</t>
  </si>
  <si>
    <t>R24780</t>
  </si>
  <si>
    <t>R25060</t>
  </si>
  <si>
    <t>R24900</t>
  </si>
  <si>
    <t>R24960</t>
  </si>
  <si>
    <t>R25050</t>
  </si>
  <si>
    <t>R24940</t>
  </si>
  <si>
    <t>R24890</t>
  </si>
  <si>
    <t>R24860</t>
  </si>
  <si>
    <t>R24920</t>
  </si>
  <si>
    <t>R24800</t>
  </si>
  <si>
    <t>R24820</t>
  </si>
  <si>
    <t>R24870</t>
  </si>
  <si>
    <t>R25020</t>
  </si>
  <si>
    <t>R24980</t>
  </si>
  <si>
    <t>R24950</t>
  </si>
  <si>
    <t>R25000</t>
  </si>
  <si>
    <t>R24970</t>
  </si>
  <si>
    <t>R25270</t>
  </si>
  <si>
    <t>R25170</t>
  </si>
  <si>
    <t>R25010</t>
  </si>
  <si>
    <t>R24990</t>
  </si>
  <si>
    <t>R25040</t>
  </si>
  <si>
    <t>R25030</t>
  </si>
  <si>
    <t>R25080</t>
  </si>
  <si>
    <t>R25100</t>
  </si>
  <si>
    <t>R25150</t>
  </si>
  <si>
    <t>R25160</t>
  </si>
  <si>
    <t>R25070</t>
  </si>
  <si>
    <t>R25130</t>
  </si>
  <si>
    <t>R25140</t>
  </si>
  <si>
    <t>R25110</t>
  </si>
  <si>
    <t>R25120</t>
  </si>
  <si>
    <t>R25220</t>
  </si>
  <si>
    <t>R25190</t>
  </si>
  <si>
    <t>R25200</t>
  </si>
  <si>
    <t>R25240</t>
  </si>
  <si>
    <t>R25230</t>
  </si>
  <si>
    <t>R25440</t>
  </si>
  <si>
    <t>R25210</t>
  </si>
  <si>
    <t>R25260</t>
  </si>
  <si>
    <t>R25530</t>
  </si>
  <si>
    <t>R25420</t>
  </si>
  <si>
    <t>R25290</t>
  </si>
  <si>
    <t>R25280</t>
  </si>
  <si>
    <t>R25380</t>
  </si>
  <si>
    <t>R25300</t>
  </si>
  <si>
    <t>R25370</t>
  </si>
  <si>
    <t>R25340</t>
  </si>
  <si>
    <t>R25310</t>
  </si>
  <si>
    <t>R25330</t>
  </si>
  <si>
    <t>R25360</t>
  </si>
  <si>
    <t>R25320</t>
  </si>
  <si>
    <t>R25350</t>
  </si>
  <si>
    <t>R25450</t>
  </si>
  <si>
    <t>R25390</t>
  </si>
  <si>
    <t>R25460</t>
  </si>
  <si>
    <t>R25430</t>
  </si>
  <si>
    <t>R25410</t>
  </si>
  <si>
    <t>R25500</t>
  </si>
  <si>
    <t>R25510</t>
  </si>
  <si>
    <t>R25490</t>
  </si>
  <si>
    <t>R25480</t>
  </si>
  <si>
    <t>R25520</t>
  </si>
  <si>
    <t>R25570</t>
  </si>
  <si>
    <t>R25540</t>
  </si>
  <si>
    <t>R25590</t>
  </si>
  <si>
    <t>R25550</t>
  </si>
  <si>
    <t>R25560</t>
  </si>
  <si>
    <t>R25580</t>
  </si>
  <si>
    <t>R25640</t>
  </si>
  <si>
    <t>R25610</t>
  </si>
  <si>
    <t>R25630</t>
  </si>
  <si>
    <t>R25650</t>
  </si>
  <si>
    <t>R25620</t>
  </si>
  <si>
    <t>R25660</t>
  </si>
  <si>
    <t>R24930</t>
  </si>
  <si>
    <t>R27210</t>
  </si>
  <si>
    <t>R24790</t>
  </si>
  <si>
    <t>R27270</t>
  </si>
  <si>
    <t>R25090</t>
  </si>
  <si>
    <t>R27310</t>
  </si>
  <si>
    <t>R25180</t>
  </si>
  <si>
    <t>R27360</t>
  </si>
  <si>
    <t>R25250</t>
  </si>
  <si>
    <t>R27420</t>
  </si>
  <si>
    <t>R25400</t>
  </si>
  <si>
    <t>R27470</t>
  </si>
  <si>
    <t>R25470</t>
  </si>
  <si>
    <t>R27520</t>
  </si>
  <si>
    <t>R25600</t>
  </si>
  <si>
    <t>R27630</t>
  </si>
  <si>
    <t>DrainID
HEC-HMS Eval</t>
  </si>
  <si>
    <t>Slp1085</t>
  </si>
  <si>
    <t>Elev10</t>
  </si>
  <si>
    <t>Elev85</t>
  </si>
  <si>
    <t>LengthMi</t>
  </si>
  <si>
    <t>LengthDown</t>
  </si>
  <si>
    <t>LongestFL</t>
  </si>
  <si>
    <t>ShSlopeFpf</t>
  </si>
  <si>
    <t>ConShSlopeFpf</t>
  </si>
  <si>
    <t>ChSlopeFpf</t>
  </si>
  <si>
    <t>ShLengthFt</t>
  </si>
  <si>
    <t>ConShLengthFt</t>
  </si>
  <si>
    <t>ChLengthFt</t>
  </si>
  <si>
    <t>HYDROID</t>
  </si>
  <si>
    <t>Pilgrim</t>
  </si>
  <si>
    <t>Témez</t>
  </si>
  <si>
    <t>Kirpich</t>
  </si>
  <si>
    <t>Giandotti</t>
  </si>
  <si>
    <t>Valencia y Zuluaga</t>
  </si>
  <si>
    <t>ASC Modificado</t>
  </si>
  <si>
    <t>Clark</t>
  </si>
  <si>
    <t>Tiempo de retardo Lagtime, hr
CNLag=0.6*Tc SCS</t>
  </si>
  <si>
    <t>Kc, Coeficiente de Compacidad</t>
  </si>
  <si>
    <t>Kf, Factor de Forma</t>
  </si>
  <si>
    <t>Dd, Densidad de Drenaje, km/km²</t>
  </si>
  <si>
    <t>Used for small watersheds (A &lt;= 2000 acres) where overland flow dominates. Built into the SCS TR-55 and TR-25 urban watershed models. (where L is watershed length in ft, slope  S, and CN is the SCS runoff curve number)</t>
  </si>
  <si>
    <t>Pilgrim y McDermott</t>
  </si>
  <si>
    <t>A: Área de la cuenca en km²
S: Pendiente del cauce principal en m/m
L: Longitud del cauce en Km</t>
  </si>
  <si>
    <t>A: Área de la cuenca km²
So: Pendiente del cauce en %
L: Longitud del cauce en Km</t>
  </si>
  <si>
    <t>ASC Modificada</t>
  </si>
  <si>
    <t>n: coeficiente de rugosidad del cauce
Lp: Longitud del cauce en pies
S: Pendiente del cauce principal en m/m
P2: Precipitación max para un Tr de 2 años en pulgadas</t>
  </si>
  <si>
    <t>En función de,
L: longitud hidráulica de la cuenca en ft. 
S: parámetro en función del número de curva del suelo. Recomendado para valores de CN entre 50 y 95.
Y: pendiente de la cuenca en %.</t>
  </si>
  <si>
    <t>Coeficiente de Compacidad o Índice de Gravelius</t>
  </si>
  <si>
    <t>El Coeficiente de Compacidad siempre será mayor que uno, En la medida que éste se acerque a uno, la forma de la cuenca se parecerá a la de un círculo.
A: Área de la cuenca en km²
P: Perímetro de la cuenca en km</t>
  </si>
  <si>
    <t>Es la relación entre el ancho medio de la cuenca (B) y la longitud de su cauce principal (Lc). El ancho medio se obtiene cuando se divide el área de la cuenca por la longitud del cauce principal. En la medida que el Coeficiente de Forma de una cuenca determinada sea más bajo, estará menos sujeta a crecientes que otra del mismo tamaño (Área) pero con mayor Coeficiente de Forma de forma (Caso inverso al presentado para el Coeficiente de Compacidad o Índice de Gravelius).
A: Área de la cuenca en km²
Lc: Longitud del Cauce Principal km</t>
  </si>
  <si>
    <t>Es la relación entre la longitud total de los cursos de agua dentro de la cuenca y el área total de ésta. Donde ΣLci, es la longitud total de los cauces de agua en Km. Generalmente la Densidad de Drenaje es expresada en Km/Km², tomando valores que van desde 0,5 Km/Km² (cuencas con drenaje pobre) hasta 3,5 Km/Km² (cuencas excepcionalmente bien drenadas). Finalmente hay que destacar que, en la medida que los parámetros asociados al Sistema de Drenaje de la Cuenca Hidrográfica son de mayor magnitud, es de esperarse que el Tiempo de Concentración tienda a ser menor con la consiguiente mayor capacidad de producción de caudal superficial por parte de la Cuenca.
A: Área de la cuenca en km²
Sum Lci: Sumatoria de longitudes de drenajes de la cuenca en km</t>
  </si>
  <si>
    <t>Densidad de corrientes, 1/Km²</t>
  </si>
  <si>
    <t>Es la relación entre el número de corrientes identificadas en la cuenca y su área.
n: número de corrientes
A: Área de la cuenca en km²</t>
  </si>
  <si>
    <t>http://www.scielo.org.co/pdf/dyna/v78n165/a06v78n165.pdf</t>
  </si>
  <si>
    <t>HEC-GeoHMS, Geospatial Hydrologic Modeling Extension, User's Manual. Version 5.0, October 2010, CPD-77</t>
  </si>
  <si>
    <t>https://www.aguaysig.com/2014/08/tiempo-de-concentracion-de-la-cuenca.html</t>
  </si>
  <si>
    <t>http://ingenieriacivil.tutorialesaldia.com/algunos-parametros-de-forma-y-drenaje-de-la-cuenca-hidrografica-y-su-relacion-con-el-tiempo-de-concentracion/</t>
  </si>
  <si>
    <t>http://www.fca.uner.edu.ar/files/academica/deptos/catedras/riego/Archivos/Cap%2006%20-%20Escurrimiento%20Superficial.pdf#targetText=%2D%20Tiempo%20de%20Retardo%20%3D%20tiempo%20que,gravedad%20del%20Hidrograma%20de%20caudales.&amp;targetText=A%20partir%20de%20ese%20momento,2.</t>
  </si>
  <si>
    <t>Shape_AreaKM2</t>
  </si>
  <si>
    <t>PMax24hr, mm 
Tr: 2yr</t>
  </si>
  <si>
    <t>Val</t>
  </si>
  <si>
    <t>Tiempos de concentración Tc, hr: Tiempo mínimo necesario para que todas las 
celdas de una subcuenca, aporten escorrentía simultáneamente hasta su punto de salida.</t>
  </si>
  <si>
    <t>LagTime, BasinLag o Tiempo de retardo, hr: Tiempo que transcurre desde el centro de gravedad del 
hietograma de precipitación hasta el centro de gravedad del hidrograma producido.</t>
  </si>
  <si>
    <t>Características morfométricas de subcuencas</t>
  </si>
  <si>
    <t>Información general de la cuenca</t>
  </si>
  <si>
    <t>Parámetros de la cuenca</t>
  </si>
  <si>
    <t>Número de curva del Soil</t>
  </si>
  <si>
    <t>Precipitación máxima en 24h</t>
  </si>
  <si>
    <t>Tiempo de retardo, hr</t>
  </si>
  <si>
    <t>Parámetros de cauces</t>
  </si>
  <si>
    <t>tc, tiempos de concentración, hr</t>
  </si>
  <si>
    <t>Forma y densidad</t>
  </si>
  <si>
    <t>Contenido creado por:</t>
  </si>
  <si>
    <t>r.cfdtools@gmail.com</t>
  </si>
  <si>
    <t>https://github.com/rcfdtools</t>
  </si>
  <si>
    <t>Licencia, cláusulas y condiciones de uso en:</t>
  </si>
  <si>
    <t>https://github.com/rcfdtools/R.HydroTools/wiki/License</t>
  </si>
  <si>
    <t>Password: 1234</t>
  </si>
  <si>
    <t>Morfometría: forma y densidad.
Estudio de las características físicas de la cuenca.</t>
  </si>
  <si>
    <t xml:space="preserve">A: Área de la cuenca en km²
S: Pendiente del cauce principal en m/m
</t>
  </si>
  <si>
    <t xml:space="preserve">L: Longitud cauce principal en km
S: Pendiente del cauce principal en m/m
</t>
  </si>
  <si>
    <t xml:space="preserve">Lp: Longitud del cauce principal en ft
S: Pendiente del cauce principal en m/m
</t>
  </si>
  <si>
    <t xml:space="preserve">A: Área de la cuenca en km²
</t>
  </si>
  <si>
    <t xml:space="preserve">En función del tiempo de concentración tc.
</t>
  </si>
  <si>
    <t>Referencias</t>
  </si>
  <si>
    <t>Área, km²</t>
  </si>
  <si>
    <t>Dc, Densidad de Corrientes, 1/Km²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</si>
</sst>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
    <numFmt numFmtId="166" formatCode="0.000"/>
    <numFmt numFmtId="167" formatCode="0.0000000"/>
    <numFmt numFmtId="168" formatCode="0.000000"/>
  </numFmts>
  <fonts count="15" x14ac:knownFonts="1">
    <font>
      <sz val="11"/>
      <color theme="1"/>
      <name val="Calibri"/>
      <family val="2"/>
      <scheme val="minor"/>
    </font>
    <font>
      <sz val="10"/>
      <color indexed="8"/>
      <name val="Arial"/>
      <family val="2"/>
    </font>
    <font>
      <sz val="9"/>
      <color indexed="81"/>
      <name val="Tahoma"/>
      <family val="2"/>
    </font>
    <font>
      <b/>
      <sz val="9"/>
      <color indexed="81"/>
      <name val="Tahoma"/>
      <family val="2"/>
    </font>
    <font>
      <u/>
      <sz val="11"/>
      <color theme="10"/>
      <name val="Calibri"/>
      <family val="2"/>
      <scheme val="minor"/>
    </font>
    <font>
      <sz val="11"/>
      <color theme="1"/>
      <name val="Segoe UI Light"/>
      <family val="2"/>
    </font>
    <font>
      <sz val="11"/>
      <color theme="10"/>
      <name val="Segoe UI Light"/>
      <family val="2"/>
    </font>
    <font>
      <sz val="10"/>
      <color theme="1"/>
      <name val="Segoe UI Light"/>
      <family val="2"/>
    </font>
    <font>
      <sz val="10"/>
      <color theme="0" tint="-0.499984740745262"/>
      <name val="Segoe UI Light"/>
      <family val="2"/>
    </font>
    <font>
      <sz val="8"/>
      <color theme="1"/>
      <name val="Segoe UI Light"/>
      <family val="2"/>
    </font>
    <font>
      <sz val="10"/>
      <color indexed="8"/>
      <name val="Segoe UI Light"/>
      <family val="2"/>
    </font>
    <font>
      <sz val="10"/>
      <color rgb="FF0070C0"/>
      <name val="Segoe UI Light"/>
      <family val="2"/>
    </font>
    <font>
      <sz val="10"/>
      <name val="Segoe UI Light"/>
      <family val="2"/>
    </font>
    <font>
      <sz val="10"/>
      <color theme="0" tint="-0.34998626667073579"/>
      <name val="Segoe UI Light"/>
      <family val="2"/>
    </font>
    <font>
      <sz val="11"/>
      <color rgb="FF0070C0"/>
      <name val="Segoe UI Light"/>
      <family val="2"/>
    </font>
  </fonts>
  <fills count="4">
    <fill>
      <patternFill patternType="none"/>
    </fill>
    <fill>
      <patternFill patternType="gray125"/>
    </fill>
    <fill>
      <patternFill patternType="solid">
        <fgColor theme="0" tint="-4.9989318521683403E-2"/>
        <bgColor indexed="64"/>
      </patternFill>
    </fill>
    <fill>
      <patternFill patternType="solid">
        <fgColor theme="0" tint="-4.9989318521683403E-2"/>
        <bgColor indexed="0"/>
      </patternFill>
    </fill>
  </fills>
  <borders count="43">
    <border>
      <left/>
      <right/>
      <top/>
      <bottom/>
      <diagonal/>
    </border>
    <border>
      <left style="hair">
        <color theme="0" tint="-4.9989318521683403E-2"/>
      </left>
      <right style="hair">
        <color theme="0" tint="-4.9989318521683403E-2"/>
      </right>
      <top style="hair">
        <color theme="0" tint="-4.9989318521683403E-2"/>
      </top>
      <bottom style="hair">
        <color theme="0" tint="-4.9989318521683403E-2"/>
      </bottom>
      <diagonal/>
    </border>
    <border>
      <left style="thin">
        <color indexed="64"/>
      </left>
      <right style="hair">
        <color theme="0" tint="-4.9989318521683403E-2"/>
      </right>
      <top style="thin">
        <color indexed="64"/>
      </top>
      <bottom style="hair">
        <color theme="0" tint="-4.9989318521683403E-2"/>
      </bottom>
      <diagonal/>
    </border>
    <border>
      <left style="hair">
        <color theme="0" tint="-4.9989318521683403E-2"/>
      </left>
      <right style="hair">
        <color theme="0" tint="-4.9989318521683403E-2"/>
      </right>
      <top style="thin">
        <color indexed="64"/>
      </top>
      <bottom style="hair">
        <color theme="0" tint="-4.9989318521683403E-2"/>
      </bottom>
      <diagonal/>
    </border>
    <border>
      <left style="hair">
        <color theme="0" tint="-4.9989318521683403E-2"/>
      </left>
      <right style="thin">
        <color indexed="64"/>
      </right>
      <top style="thin">
        <color indexed="64"/>
      </top>
      <bottom style="hair">
        <color theme="0" tint="-4.9989318521683403E-2"/>
      </bottom>
      <diagonal/>
    </border>
    <border>
      <left style="thin">
        <color indexed="64"/>
      </left>
      <right style="hair">
        <color theme="0" tint="-4.9989318521683403E-2"/>
      </right>
      <top style="hair">
        <color theme="0" tint="-4.9989318521683403E-2"/>
      </top>
      <bottom style="hair">
        <color theme="0" tint="-4.9989318521683403E-2"/>
      </bottom>
      <diagonal/>
    </border>
    <border>
      <left style="hair">
        <color theme="0" tint="-4.9989318521683403E-2"/>
      </left>
      <right style="thin">
        <color indexed="64"/>
      </right>
      <top style="hair">
        <color theme="0" tint="-4.9989318521683403E-2"/>
      </top>
      <bottom style="hair">
        <color theme="0" tint="-4.9989318521683403E-2"/>
      </bottom>
      <diagonal/>
    </border>
    <border>
      <left style="thin">
        <color indexed="64"/>
      </left>
      <right style="hair">
        <color theme="0" tint="-4.9989318521683403E-2"/>
      </right>
      <top style="hair">
        <color theme="0" tint="-4.9989318521683403E-2"/>
      </top>
      <bottom style="thin">
        <color indexed="64"/>
      </bottom>
      <diagonal/>
    </border>
    <border>
      <left style="hair">
        <color theme="0" tint="-4.9989318521683403E-2"/>
      </left>
      <right style="hair">
        <color theme="0" tint="-4.9989318521683403E-2"/>
      </right>
      <top style="hair">
        <color theme="0" tint="-4.9989318521683403E-2"/>
      </top>
      <bottom style="thin">
        <color indexed="64"/>
      </bottom>
      <diagonal/>
    </border>
    <border>
      <left style="hair">
        <color theme="0" tint="-4.9989318521683403E-2"/>
      </left>
      <right style="thin">
        <color indexed="64"/>
      </right>
      <top style="hair">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indexed="64"/>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indexed="64"/>
      </bottom>
      <diagonal/>
    </border>
    <border>
      <left style="thin">
        <color indexed="64"/>
      </left>
      <right style="thin">
        <color indexed="64"/>
      </right>
      <top style="thin">
        <color indexed="64"/>
      </top>
      <bottom style="thin">
        <color theme="0" tint="-4.9989318521683403E-2"/>
      </bottom>
      <diagonal/>
    </border>
    <border>
      <left style="thin">
        <color indexed="64"/>
      </left>
      <right style="thin">
        <color indexed="64"/>
      </right>
      <top style="thin">
        <color theme="0" tint="-4.9989318521683403E-2"/>
      </top>
      <bottom style="thin">
        <color theme="0" tint="-4.9989318521683403E-2"/>
      </bottom>
      <diagonal/>
    </border>
    <border>
      <left style="thin">
        <color indexed="64"/>
      </left>
      <right style="thin">
        <color indexed="64"/>
      </right>
      <top style="thin">
        <color theme="0" tint="-4.9989318521683403E-2"/>
      </top>
      <bottom style="thin">
        <color indexed="64"/>
      </bottom>
      <diagonal/>
    </border>
    <border>
      <left style="thin">
        <color indexed="64"/>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indexed="64"/>
      </right>
      <top style="thin">
        <color theme="0" tint="-4.9989318521683403E-2"/>
      </top>
      <bottom/>
      <diagonal/>
    </border>
    <border>
      <left/>
      <right style="thin">
        <color theme="0" tint="-4.9989318521683403E-2"/>
      </right>
      <top style="thin">
        <color theme="0" tint="-4.9989318521683403E-2"/>
      </top>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indexed="64"/>
      </left>
      <right style="thin">
        <color indexed="64"/>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style="thin">
        <color indexed="64"/>
      </right>
      <top/>
      <bottom/>
      <diagonal/>
    </border>
    <border>
      <left style="thin">
        <color theme="0" tint="-4.9989318521683403E-2"/>
      </left>
      <right style="thin">
        <color theme="0" tint="-4.9989318521683403E-2"/>
      </right>
      <top/>
      <bottom/>
      <diagonal/>
    </border>
    <border>
      <left style="thin">
        <color indexed="64"/>
      </left>
      <right style="thin">
        <color theme="0" tint="-4.9989318521683403E-2"/>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49">
    <xf numFmtId="0" fontId="0" fillId="0" borderId="0" xfId="0"/>
    <xf numFmtId="0" fontId="5" fillId="0" borderId="0" xfId="0" applyFont="1" applyAlignment="1">
      <alignment horizontal="left" vertical="top" wrapText="1"/>
    </xf>
    <xf numFmtId="0" fontId="7"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right"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wrapText="1"/>
    </xf>
    <xf numFmtId="164" fontId="7" fillId="0" borderId="0" xfId="0" applyNumberFormat="1" applyFont="1" applyAlignment="1">
      <alignment horizontal="center" vertical="center"/>
    </xf>
    <xf numFmtId="0" fontId="5" fillId="0" borderId="1" xfId="0" applyFont="1" applyBorder="1" applyAlignment="1">
      <alignment horizontal="left" vertical="top"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5" xfId="0" applyFont="1" applyBorder="1" applyAlignment="1">
      <alignment horizontal="left" vertical="top" wrapText="1"/>
    </xf>
    <xf numFmtId="0" fontId="5" fillId="0" borderId="18" xfId="0" applyFont="1" applyBorder="1" applyAlignment="1">
      <alignment horizontal="left" vertical="top" wrapText="1"/>
    </xf>
    <xf numFmtId="2" fontId="12" fillId="0" borderId="10" xfId="1" applyNumberFormat="1" applyFont="1" applyBorder="1" applyAlignment="1">
      <alignment horizontal="center" vertical="center" wrapText="1"/>
    </xf>
    <xf numFmtId="2" fontId="12" fillId="0" borderId="15" xfId="1" applyNumberFormat="1" applyFont="1" applyBorder="1" applyAlignment="1">
      <alignment horizontal="center" vertical="center" wrapText="1"/>
    </xf>
    <xf numFmtId="2" fontId="10" fillId="0" borderId="17" xfId="1" applyNumberFormat="1" applyFont="1" applyBorder="1" applyAlignment="1">
      <alignment horizontal="center" vertical="center" wrapText="1"/>
    </xf>
    <xf numFmtId="2" fontId="10" fillId="0" borderId="18" xfId="1" applyNumberFormat="1"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2" fontId="7" fillId="2" borderId="10" xfId="0" applyNumberFormat="1" applyFont="1" applyFill="1" applyBorder="1" applyAlignment="1">
      <alignment horizontal="center" vertical="center"/>
    </xf>
    <xf numFmtId="2" fontId="7" fillId="2" borderId="10" xfId="0" applyNumberFormat="1" applyFont="1" applyFill="1" applyBorder="1" applyAlignment="1">
      <alignment vertical="center"/>
    </xf>
    <xf numFmtId="2" fontId="7" fillId="2" borderId="15" xfId="0" applyNumberFormat="1" applyFont="1" applyFill="1" applyBorder="1" applyAlignment="1">
      <alignment horizontal="center" vertical="center"/>
    </xf>
    <xf numFmtId="0" fontId="7" fillId="2" borderId="20" xfId="0" applyFont="1" applyFill="1" applyBorder="1" applyAlignment="1">
      <alignment vertical="center"/>
    </xf>
    <xf numFmtId="2" fontId="7" fillId="2" borderId="23" xfId="0" applyNumberFormat="1" applyFont="1" applyFill="1" applyBorder="1" applyAlignment="1">
      <alignment horizontal="center" vertical="center"/>
    </xf>
    <xf numFmtId="2" fontId="7" fillId="2" borderId="14" xfId="0" applyNumberFormat="1" applyFont="1" applyFill="1" applyBorder="1" applyAlignment="1">
      <alignment horizontal="center" vertical="center"/>
    </xf>
    <xf numFmtId="0" fontId="10" fillId="0" borderId="14" xfId="1" applyFont="1" applyBorder="1" applyAlignment="1">
      <alignment horizontal="center" vertical="center" wrapText="1"/>
    </xf>
    <xf numFmtId="166" fontId="10" fillId="0" borderId="14" xfId="1" applyNumberFormat="1" applyFont="1" applyBorder="1" applyAlignment="1">
      <alignment horizontal="center" vertical="center" wrapText="1"/>
    </xf>
    <xf numFmtId="166" fontId="10" fillId="0" borderId="15" xfId="1" applyNumberFormat="1" applyFont="1" applyBorder="1" applyAlignment="1">
      <alignment horizontal="center" vertical="center" wrapText="1"/>
    </xf>
    <xf numFmtId="165" fontId="10" fillId="0" borderId="16" xfId="1" applyNumberFormat="1" applyFont="1" applyBorder="1" applyAlignment="1">
      <alignment horizontal="center" vertical="center" wrapText="1"/>
    </xf>
    <xf numFmtId="166" fontId="10" fillId="0" borderId="18" xfId="1" applyNumberFormat="1" applyFont="1" applyBorder="1" applyAlignment="1">
      <alignment horizontal="center" vertical="center" wrapText="1"/>
    </xf>
    <xf numFmtId="2" fontId="12" fillId="0" borderId="23" xfId="1" applyNumberFormat="1" applyFont="1" applyBorder="1" applyAlignment="1">
      <alignment horizontal="center" vertical="center" wrapText="1"/>
    </xf>
    <xf numFmtId="2" fontId="10" fillId="0" borderId="24" xfId="1" applyNumberFormat="1" applyFont="1" applyBorder="1" applyAlignment="1">
      <alignment horizontal="center" vertical="center" wrapText="1"/>
    </xf>
    <xf numFmtId="2" fontId="7" fillId="2" borderId="26" xfId="0" applyNumberFormat="1" applyFont="1" applyFill="1" applyBorder="1" applyAlignment="1">
      <alignment horizontal="center" vertical="center"/>
    </xf>
    <xf numFmtId="2" fontId="12" fillId="0" borderId="14" xfId="1" applyNumberFormat="1" applyFont="1" applyBorder="1" applyAlignment="1">
      <alignment horizontal="center" vertical="center" wrapText="1"/>
    </xf>
    <xf numFmtId="2" fontId="10" fillId="0" borderId="16" xfId="1" applyNumberFormat="1" applyFont="1" applyBorder="1" applyAlignment="1">
      <alignment horizontal="center" vertical="center" wrapText="1"/>
    </xf>
    <xf numFmtId="2" fontId="11" fillId="0" borderId="16" xfId="1" applyNumberFormat="1" applyFont="1" applyBorder="1" applyAlignment="1">
      <alignment horizontal="center" vertical="center" wrapText="1"/>
    </xf>
    <xf numFmtId="0" fontId="7" fillId="0" borderId="0" xfId="0" applyFont="1" applyAlignment="1">
      <alignment horizontal="left" vertical="top"/>
    </xf>
    <xf numFmtId="0" fontId="10" fillId="3" borderId="34" xfId="1" applyFont="1" applyFill="1" applyBorder="1" applyAlignment="1">
      <alignment horizontal="center" vertical="center" wrapText="1"/>
    </xf>
    <xf numFmtId="0" fontId="10" fillId="3" borderId="37" xfId="1" applyFont="1" applyFill="1" applyBorder="1" applyAlignment="1">
      <alignment horizontal="center" vertical="center" wrapText="1"/>
    </xf>
    <xf numFmtId="0" fontId="10" fillId="3" borderId="35" xfId="1" applyFont="1" applyFill="1" applyBorder="1" applyAlignment="1">
      <alignment horizontal="center" vertical="center" wrapText="1"/>
    </xf>
    <xf numFmtId="0" fontId="10" fillId="3" borderId="39" xfId="1" applyFont="1" applyFill="1" applyBorder="1" applyAlignment="1">
      <alignment horizontal="center" vertical="center" wrapText="1"/>
    </xf>
    <xf numFmtId="0" fontId="7" fillId="2" borderId="19" xfId="0" applyFont="1" applyFill="1" applyBorder="1" applyAlignment="1">
      <alignment vertical="center"/>
    </xf>
    <xf numFmtId="2" fontId="7" fillId="2" borderId="11" xfId="0" applyNumberFormat="1" applyFont="1" applyFill="1" applyBorder="1" applyAlignment="1">
      <alignment horizontal="center" vertical="center"/>
    </xf>
    <xf numFmtId="2" fontId="7" fillId="2" borderId="12" xfId="0" applyNumberFormat="1" applyFont="1" applyFill="1" applyBorder="1" applyAlignment="1">
      <alignment horizontal="center" vertical="center"/>
    </xf>
    <xf numFmtId="2" fontId="7" fillId="2" borderId="13" xfId="0" applyNumberFormat="1" applyFont="1" applyFill="1" applyBorder="1" applyAlignment="1">
      <alignment horizontal="center" vertical="center"/>
    </xf>
    <xf numFmtId="2" fontId="7" fillId="2" borderId="25" xfId="0" applyNumberFormat="1" applyFont="1" applyFill="1" applyBorder="1" applyAlignment="1">
      <alignment horizontal="center" vertical="center"/>
    </xf>
    <xf numFmtId="2" fontId="7" fillId="2" borderId="12" xfId="0" applyNumberFormat="1" applyFont="1" applyFill="1" applyBorder="1" applyAlignment="1">
      <alignment vertical="center"/>
    </xf>
    <xf numFmtId="2" fontId="7" fillId="2" borderId="22" xfId="0" applyNumberFormat="1" applyFont="1" applyFill="1" applyBorder="1" applyAlignment="1">
      <alignment horizontal="center" vertical="center"/>
    </xf>
    <xf numFmtId="0" fontId="7" fillId="2" borderId="21" xfId="0" applyFont="1" applyFill="1" applyBorder="1" applyAlignment="1">
      <alignment vertical="center"/>
    </xf>
    <xf numFmtId="2" fontId="7" fillId="2" borderId="16" xfId="0" applyNumberFormat="1" applyFont="1" applyFill="1" applyBorder="1" applyAlignment="1">
      <alignment horizontal="center" vertical="center"/>
    </xf>
    <xf numFmtId="2" fontId="7" fillId="2" borderId="17" xfId="0" applyNumberFormat="1" applyFont="1" applyFill="1" applyBorder="1" applyAlignment="1">
      <alignment horizontal="center" vertical="center"/>
    </xf>
    <xf numFmtId="2" fontId="7" fillId="2" borderId="18" xfId="0" applyNumberFormat="1" applyFont="1" applyFill="1" applyBorder="1" applyAlignment="1">
      <alignment horizontal="center" vertical="center"/>
    </xf>
    <xf numFmtId="2" fontId="7" fillId="2" borderId="27" xfId="0" applyNumberFormat="1" applyFont="1" applyFill="1" applyBorder="1" applyAlignment="1">
      <alignment horizontal="center" vertical="center"/>
    </xf>
    <xf numFmtId="2" fontId="7" fillId="2" borderId="17" xfId="0" applyNumberFormat="1" applyFont="1" applyFill="1" applyBorder="1" applyAlignment="1">
      <alignment vertical="center"/>
    </xf>
    <xf numFmtId="2" fontId="7" fillId="2" borderId="24" xfId="0" applyNumberFormat="1" applyFont="1" applyFill="1" applyBorder="1" applyAlignment="1">
      <alignment horizontal="center" vertical="center"/>
    </xf>
    <xf numFmtId="0" fontId="11" fillId="0" borderId="14" xfId="1" applyFont="1" applyBorder="1" applyAlignment="1" applyProtection="1">
      <alignment horizontal="center" vertical="center" wrapText="1"/>
      <protection locked="0"/>
    </xf>
    <xf numFmtId="0" fontId="11" fillId="0" borderId="10" xfId="1" applyFont="1" applyBorder="1" applyAlignment="1" applyProtection="1">
      <alignment horizontal="center" vertical="center" wrapText="1"/>
      <protection locked="0"/>
    </xf>
    <xf numFmtId="0" fontId="11" fillId="0" borderId="20" xfId="1" applyFont="1" applyBorder="1" applyAlignment="1" applyProtection="1">
      <alignment horizontal="center" vertical="center" wrapText="1"/>
      <protection locked="0"/>
    </xf>
    <xf numFmtId="164" fontId="11" fillId="0" borderId="14" xfId="1" applyNumberFormat="1" applyFont="1" applyBorder="1" applyAlignment="1" applyProtection="1">
      <alignment horizontal="center" vertical="center" wrapText="1"/>
      <protection locked="0"/>
    </xf>
    <xf numFmtId="2" fontId="11" fillId="0" borderId="10" xfId="1" applyNumberFormat="1" applyFont="1" applyBorder="1" applyAlignment="1" applyProtection="1">
      <alignment horizontal="center" vertical="center" wrapText="1"/>
      <protection locked="0"/>
    </xf>
    <xf numFmtId="2" fontId="11" fillId="0" borderId="15" xfId="1" applyNumberFormat="1" applyFont="1" applyBorder="1" applyAlignment="1" applyProtection="1">
      <alignment horizontal="center" vertical="center" wrapText="1"/>
      <protection locked="0"/>
    </xf>
    <xf numFmtId="0" fontId="11" fillId="0" borderId="16" xfId="1" applyFont="1" applyBorder="1" applyAlignment="1" applyProtection="1">
      <alignment horizontal="center" vertical="center" wrapText="1"/>
      <protection locked="0"/>
    </xf>
    <xf numFmtId="0" fontId="11" fillId="0" borderId="17" xfId="1" applyFont="1" applyBorder="1" applyAlignment="1" applyProtection="1">
      <alignment horizontal="center" vertical="center" wrapText="1"/>
      <protection locked="0"/>
    </xf>
    <xf numFmtId="0" fontId="11" fillId="0" borderId="21" xfId="1" applyFont="1" applyBorder="1" applyAlignment="1" applyProtection="1">
      <alignment horizontal="center" vertical="center" wrapText="1"/>
      <protection locked="0"/>
    </xf>
    <xf numFmtId="164" fontId="11" fillId="0" borderId="16" xfId="1" applyNumberFormat="1" applyFont="1" applyBorder="1" applyAlignment="1" applyProtection="1">
      <alignment horizontal="center" vertical="center" wrapText="1"/>
      <protection locked="0"/>
    </xf>
    <xf numFmtId="2" fontId="11" fillId="0" borderId="17" xfId="1" applyNumberFormat="1" applyFont="1" applyBorder="1" applyAlignment="1" applyProtection="1">
      <alignment horizontal="center" vertical="center" wrapText="1"/>
      <protection locked="0"/>
    </xf>
    <xf numFmtId="2" fontId="11" fillId="0" borderId="18" xfId="1" applyNumberFormat="1" applyFont="1" applyBorder="1" applyAlignment="1" applyProtection="1">
      <alignment horizontal="center" vertical="center" wrapText="1"/>
      <protection locked="0"/>
    </xf>
    <xf numFmtId="166" fontId="11" fillId="0" borderId="10" xfId="1" applyNumberFormat="1" applyFont="1" applyBorder="1" applyAlignment="1" applyProtection="1">
      <alignment horizontal="center" vertical="center" wrapText="1"/>
      <protection locked="0"/>
    </xf>
    <xf numFmtId="166" fontId="11" fillId="0" borderId="17" xfId="1" applyNumberFormat="1" applyFont="1" applyBorder="1" applyAlignment="1" applyProtection="1">
      <alignment horizontal="center" vertical="center" wrapText="1"/>
      <protection locked="0"/>
    </xf>
    <xf numFmtId="165" fontId="11" fillId="0" borderId="26" xfId="1" applyNumberFormat="1" applyFont="1" applyBorder="1" applyAlignment="1" applyProtection="1">
      <alignment horizontal="center" vertical="center" wrapText="1"/>
      <protection locked="0"/>
    </xf>
    <xf numFmtId="165" fontId="11" fillId="0" borderId="27" xfId="1" applyNumberFormat="1" applyFont="1" applyBorder="1" applyAlignment="1" applyProtection="1">
      <alignment horizontal="center" vertical="center" wrapText="1"/>
      <protection locked="0"/>
    </xf>
    <xf numFmtId="165" fontId="11" fillId="0" borderId="10" xfId="1" applyNumberFormat="1" applyFont="1" applyBorder="1" applyAlignment="1" applyProtection="1">
      <alignment horizontal="center" vertical="center" wrapText="1"/>
      <protection locked="0"/>
    </xf>
    <xf numFmtId="164" fontId="11" fillId="0" borderId="10" xfId="1" applyNumberFormat="1" applyFont="1" applyBorder="1" applyAlignment="1" applyProtection="1">
      <alignment horizontal="center" vertical="center" wrapText="1"/>
      <protection locked="0"/>
    </xf>
    <xf numFmtId="1" fontId="11" fillId="0" borderId="10" xfId="1" applyNumberFormat="1" applyFont="1" applyBorder="1" applyAlignment="1" applyProtection="1">
      <alignment horizontal="center" vertical="center" wrapText="1"/>
      <protection locked="0"/>
    </xf>
    <xf numFmtId="168" fontId="11" fillId="0" borderId="10" xfId="1" applyNumberFormat="1" applyFont="1" applyBorder="1" applyAlignment="1" applyProtection="1">
      <alignment horizontal="center" vertical="center" wrapText="1"/>
      <protection locked="0"/>
    </xf>
    <xf numFmtId="168" fontId="11" fillId="0" borderId="15" xfId="1" applyNumberFormat="1" applyFont="1" applyBorder="1" applyAlignment="1" applyProtection="1">
      <alignment horizontal="center" vertical="center" wrapText="1"/>
      <protection locked="0"/>
    </xf>
    <xf numFmtId="167" fontId="11" fillId="0" borderId="17" xfId="1" applyNumberFormat="1" applyFont="1" applyBorder="1" applyAlignment="1" applyProtection="1">
      <alignment horizontal="center" vertical="center" wrapText="1"/>
      <protection locked="0"/>
    </xf>
    <xf numFmtId="167" fontId="11" fillId="0" borderId="18" xfId="1" applyNumberFormat="1" applyFont="1" applyBorder="1" applyAlignment="1" applyProtection="1">
      <alignment horizontal="center" vertical="center" wrapText="1"/>
      <protection locked="0"/>
    </xf>
    <xf numFmtId="0" fontId="5" fillId="0" borderId="0" xfId="0" applyFont="1" applyAlignment="1">
      <alignment vertical="top"/>
    </xf>
    <xf numFmtId="0" fontId="11" fillId="0" borderId="0" xfId="1" applyFont="1" applyAlignment="1">
      <alignment horizontal="left" vertical="top" wrapText="1"/>
    </xf>
    <xf numFmtId="0" fontId="5" fillId="0" borderId="0" xfId="0" applyFont="1" applyAlignment="1">
      <alignment horizontal="center" vertical="top" wrapText="1"/>
    </xf>
    <xf numFmtId="0" fontId="14" fillId="0" borderId="0" xfId="2" applyFont="1" applyAlignment="1" applyProtection="1">
      <alignment horizontal="center" vertical="top" wrapText="1"/>
    </xf>
    <xf numFmtId="0" fontId="14" fillId="0" borderId="0" xfId="2" applyFont="1" applyAlignment="1" applyProtection="1">
      <alignment horizontal="center" vertical="top"/>
      <protection locked="0"/>
    </xf>
    <xf numFmtId="0" fontId="9" fillId="0" borderId="0" xfId="0" applyFont="1" applyAlignment="1">
      <alignment horizontal="center" vertical="top" wrapText="1"/>
    </xf>
    <xf numFmtId="0" fontId="5" fillId="2" borderId="5" xfId="0" applyFont="1" applyFill="1" applyBorder="1" applyAlignment="1">
      <alignment horizontal="center" vertical="top" wrapText="1"/>
    </xf>
    <xf numFmtId="0" fontId="5" fillId="2" borderId="7" xfId="0" applyFont="1" applyFill="1" applyBorder="1" applyAlignment="1">
      <alignment horizontal="center" vertical="top" wrapText="1"/>
    </xf>
    <xf numFmtId="0" fontId="5" fillId="0" borderId="8" xfId="0" applyFont="1" applyBorder="1" applyAlignment="1">
      <alignment horizontal="left" vertical="top" wrapText="1"/>
    </xf>
    <xf numFmtId="0" fontId="5" fillId="2" borderId="14" xfId="0" applyFont="1" applyFill="1" applyBorder="1" applyAlignment="1">
      <alignment horizontal="center" vertical="top" wrapText="1"/>
    </xf>
    <xf numFmtId="0" fontId="5" fillId="2" borderId="16" xfId="0" applyFont="1" applyFill="1" applyBorder="1" applyAlignment="1">
      <alignment horizontal="center" vertical="top" wrapText="1"/>
    </xf>
    <xf numFmtId="0" fontId="5" fillId="0" borderId="17" xfId="0" applyFont="1" applyBorder="1" applyAlignment="1">
      <alignment horizontal="left" vertical="top" wrapText="1"/>
    </xf>
    <xf numFmtId="0" fontId="6" fillId="0" borderId="0" xfId="2" applyFont="1" applyAlignment="1">
      <alignment vertical="top"/>
    </xf>
    <xf numFmtId="0" fontId="5" fillId="0" borderId="0" xfId="0" applyFont="1" applyAlignment="1">
      <alignment vertical="top"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10" fillId="3" borderId="35" xfId="1" applyFont="1" applyFill="1" applyBorder="1" applyAlignment="1">
      <alignment horizontal="center" vertical="center" wrapText="1"/>
    </xf>
    <xf numFmtId="0" fontId="10" fillId="3" borderId="10" xfId="1" applyFont="1" applyFill="1" applyBorder="1" applyAlignment="1">
      <alignment horizontal="center" vertical="center" wrapText="1"/>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17" xfId="0" applyFont="1" applyFill="1" applyBorder="1" applyAlignment="1">
      <alignment horizontal="center" vertical="center"/>
    </xf>
    <xf numFmtId="0" fontId="10" fillId="3" borderId="34" xfId="1" applyFont="1" applyFill="1" applyBorder="1" applyAlignment="1">
      <alignment horizontal="center" vertical="center" wrapText="1"/>
    </xf>
    <xf numFmtId="0" fontId="10" fillId="3" borderId="14" xfId="1" applyFont="1" applyFill="1" applyBorder="1" applyAlignment="1">
      <alignment horizontal="center" vertical="center" wrapText="1"/>
    </xf>
    <xf numFmtId="0" fontId="10" fillId="3" borderId="36" xfId="1" applyFont="1" applyFill="1" applyBorder="1" applyAlignment="1">
      <alignment horizontal="center" vertical="center" wrapText="1"/>
    </xf>
    <xf numFmtId="0" fontId="10" fillId="3" borderId="20" xfId="1"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10" fillId="3" borderId="37" xfId="1" applyFont="1" applyFill="1" applyBorder="1" applyAlignment="1">
      <alignment horizontal="center" vertical="center" wrapText="1"/>
    </xf>
    <xf numFmtId="0" fontId="10" fillId="3" borderId="15" xfId="1" applyFont="1" applyFill="1" applyBorder="1" applyAlignment="1">
      <alignment horizontal="center" vertical="center" wrapText="1"/>
    </xf>
    <xf numFmtId="2" fontId="7" fillId="2" borderId="11" xfId="0" applyNumberFormat="1" applyFont="1" applyFill="1" applyBorder="1" applyAlignment="1">
      <alignment horizontal="right" vertical="center"/>
    </xf>
    <xf numFmtId="2" fontId="7" fillId="2" borderId="12" xfId="0" applyNumberFormat="1" applyFont="1" applyFill="1" applyBorder="1" applyAlignment="1">
      <alignment horizontal="right" vertical="center"/>
    </xf>
    <xf numFmtId="2" fontId="7" fillId="2" borderId="14" xfId="0" applyNumberFormat="1" applyFont="1" applyFill="1" applyBorder="1" applyAlignment="1">
      <alignment horizontal="right" vertical="center"/>
    </xf>
    <xf numFmtId="2" fontId="7" fillId="2" borderId="10" xfId="0" applyNumberFormat="1" applyFont="1" applyFill="1" applyBorder="1" applyAlignment="1">
      <alignment horizontal="right" vertical="center"/>
    </xf>
    <xf numFmtId="2" fontId="7" fillId="2" borderId="16" xfId="0" applyNumberFormat="1" applyFont="1" applyFill="1" applyBorder="1" applyAlignment="1">
      <alignment horizontal="right" vertical="center"/>
    </xf>
    <xf numFmtId="2" fontId="7" fillId="2" borderId="17" xfId="0" applyNumberFormat="1" applyFont="1" applyFill="1" applyBorder="1" applyAlignment="1">
      <alignment horizontal="right" vertical="center"/>
    </xf>
    <xf numFmtId="0" fontId="7" fillId="2" borderId="25"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33" xfId="0" applyFont="1" applyFill="1" applyBorder="1" applyAlignment="1">
      <alignment horizontal="center" vertical="center" wrapText="1"/>
    </xf>
    <xf numFmtId="0" fontId="10" fillId="0" borderId="31" xfId="1" applyFont="1" applyBorder="1" applyAlignment="1">
      <alignment horizontal="center" vertical="center" wrapText="1"/>
    </xf>
    <xf numFmtId="0" fontId="10" fillId="0" borderId="40" xfId="1" applyFont="1" applyBorder="1" applyAlignment="1">
      <alignment horizontal="center" vertical="center" wrapText="1"/>
    </xf>
    <xf numFmtId="0" fontId="10" fillId="0" borderId="37" xfId="1" applyFont="1" applyBorder="1" applyAlignment="1">
      <alignment horizontal="center" vertical="center" wrapText="1"/>
    </xf>
    <xf numFmtId="0" fontId="10" fillId="0" borderId="29" xfId="1" applyFont="1" applyBorder="1" applyAlignment="1">
      <alignment horizontal="center" vertical="center" wrapText="1"/>
    </xf>
    <xf numFmtId="0" fontId="10" fillId="0" borderId="41" xfId="1" applyFont="1" applyBorder="1" applyAlignment="1">
      <alignment horizontal="center" vertical="center" wrapText="1"/>
    </xf>
    <xf numFmtId="0" fontId="10" fillId="0" borderId="35" xfId="1" applyFont="1" applyBorder="1" applyAlignment="1">
      <alignment horizontal="center" vertical="center" wrapText="1"/>
    </xf>
    <xf numFmtId="0" fontId="10" fillId="0" borderId="28" xfId="1" applyFont="1" applyBorder="1" applyAlignment="1">
      <alignment horizontal="center" vertical="center" wrapText="1"/>
    </xf>
    <xf numFmtId="0" fontId="10" fillId="0" borderId="42" xfId="1" applyFont="1" applyBorder="1" applyAlignment="1">
      <alignment horizontal="center" vertical="center" wrapText="1"/>
    </xf>
    <xf numFmtId="0" fontId="10" fillId="0" borderId="34" xfId="1" applyFont="1" applyBorder="1" applyAlignment="1">
      <alignment horizontal="center" vertical="center" wrapText="1"/>
    </xf>
    <xf numFmtId="0" fontId="10" fillId="3" borderId="38" xfId="1" applyFont="1" applyFill="1" applyBorder="1" applyAlignment="1">
      <alignment horizontal="center" vertical="center" wrapText="1"/>
    </xf>
    <xf numFmtId="0" fontId="10" fillId="3" borderId="26" xfId="1" applyFont="1" applyFill="1" applyBorder="1" applyAlignment="1">
      <alignment horizontal="center" vertical="center"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1"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2" xfId="0" applyFont="1" applyFill="1" applyBorder="1" applyAlignment="1">
      <alignment horizontal="center" vertical="top" wrapText="1"/>
    </xf>
    <xf numFmtId="0" fontId="5" fillId="2" borderId="13" xfId="0" applyFont="1" applyFill="1" applyBorder="1" applyAlignment="1">
      <alignment horizontal="center" vertical="top" wrapText="1"/>
    </xf>
    <xf numFmtId="0" fontId="5" fillId="2" borderId="14" xfId="0" applyFont="1" applyFill="1" applyBorder="1" applyAlignment="1">
      <alignment horizontal="center" vertical="top" wrapText="1"/>
    </xf>
    <xf numFmtId="0" fontId="5" fillId="2" borderId="10" xfId="0" applyFont="1" applyFill="1" applyBorder="1" applyAlignment="1">
      <alignment horizontal="center" vertical="top" wrapText="1"/>
    </xf>
    <xf numFmtId="0" fontId="5" fillId="2" borderId="15" xfId="0" applyFont="1" applyFill="1" applyBorder="1" applyAlignment="1">
      <alignment horizontal="center" vertical="top" wrapText="1"/>
    </xf>
  </cellXfs>
  <cellStyles count="3">
    <cellStyle name="Hyperlink" xfId="2" builtinId="8"/>
    <cellStyle name="Normal" xfId="0" builtinId="0"/>
    <cellStyle name="Normal_Sheet1"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chartsheet" Target="chartsheets/sheet1.xml"/><Relationship Id="rId7" Type="http://schemas.openxmlformats.org/officeDocument/2006/relationships/worksheet" Target="worksheets/sheet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alcChain" Target="calcChain.xml"/><Relationship Id="rId5" Type="http://schemas.openxmlformats.org/officeDocument/2006/relationships/worksheet" Target="worksheets/sheet4.xml"/><Relationship Id="rId10"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a:lstStyle/>
          <a:p>
            <a:pPr>
              <a:defRPr/>
            </a:pPr>
            <a:r>
              <a:rPr lang="es-CO"/>
              <a:t>tc, </a:t>
            </a:r>
            <a:r>
              <a:rPr lang="es-CO" sz="1200" b="0" i="0" u="none" strike="noStrike" baseline="0">
                <a:effectLst/>
              </a:rPr>
              <a:t>Tiempo de concentración</a:t>
            </a:r>
            <a:r>
              <a:rPr lang="es-CO"/>
              <a:t>, hr</a:t>
            </a:r>
          </a:p>
        </c:rich>
      </c:tx>
      <c:overlay val="0"/>
    </c:title>
    <c:autoTitleDeleted val="0"/>
    <c:plotArea>
      <c:layout>
        <c:manualLayout>
          <c:layoutTarget val="inner"/>
          <c:xMode val="edge"/>
          <c:yMode val="edge"/>
          <c:x val="7.6651402191200937E-2"/>
          <c:y val="6.3138230819836189E-2"/>
          <c:w val="0.91400433531268743"/>
          <c:h val="0.74560538935546994"/>
        </c:manualLayout>
      </c:layout>
      <c:barChart>
        <c:barDir val="col"/>
        <c:grouping val="clustered"/>
        <c:varyColors val="0"/>
        <c:ser>
          <c:idx val="3"/>
          <c:order val="0"/>
          <c:tx>
            <c:strRef>
              <c:f>'tc y Morf.'!$U$7</c:f>
              <c:strCache>
                <c:ptCount val="1"/>
                <c:pt idx="0">
                  <c:v>Mínimo</c:v>
                </c:pt>
              </c:strCache>
            </c:strRef>
          </c:tx>
          <c:spPr>
            <a:pattFill prst="dkUpDiag">
              <a:fgClr>
                <a:schemeClr val="tx1"/>
              </a:fgClr>
              <a:bgClr>
                <a:schemeClr val="bg1"/>
              </a:bgClr>
            </a:pattFill>
            <a:ln w="3175" cap="rnd">
              <a:solidFill>
                <a:schemeClr val="tx1"/>
              </a:solidFill>
              <a:round/>
            </a:ln>
            <a:effectLst/>
          </c:spPr>
          <c:invertIfNegative val="0"/>
          <c:cat>
            <c:strRef>
              <c:f>'tc y Morf.'!$AC$9:$AJ$9</c:f>
              <c:strCache>
                <c:ptCount val="8"/>
                <c:pt idx="0">
                  <c:v>SCS</c:v>
                </c:pt>
                <c:pt idx="1">
                  <c:v>Pilgrim</c:v>
                </c:pt>
                <c:pt idx="2">
                  <c:v>Témez</c:v>
                </c:pt>
                <c:pt idx="3">
                  <c:v>Kirpich</c:v>
                </c:pt>
                <c:pt idx="4">
                  <c:v>Giandotti</c:v>
                </c:pt>
                <c:pt idx="5">
                  <c:v>Valencia y Zuluaga</c:v>
                </c:pt>
                <c:pt idx="6">
                  <c:v>ASC Modificado</c:v>
                </c:pt>
                <c:pt idx="7">
                  <c:v>Clark</c:v>
                </c:pt>
              </c:strCache>
            </c:strRef>
          </c:cat>
          <c:val>
            <c:numRef>
              <c:f>'tc y Morf.'!$AC$7:$AJ$7</c:f>
              <c:numCache>
                <c:formatCode>0.00</c:formatCode>
                <c:ptCount val="8"/>
                <c:pt idx="0">
                  <c:v>7.4348758337314219E-2</c:v>
                </c:pt>
                <c:pt idx="1">
                  <c:v>6.5232677124007515E-2</c:v>
                </c:pt>
                <c:pt idx="2">
                  <c:v>8.3118962343155106E-2</c:v>
                </c:pt>
                <c:pt idx="3">
                  <c:v>2.4879337447327197E-2</c:v>
                </c:pt>
                <c:pt idx="4">
                  <c:v>0.80001594917224261</c:v>
                </c:pt>
                <c:pt idx="5">
                  <c:v>0.57904261848485972</c:v>
                </c:pt>
                <c:pt idx="6">
                  <c:v>6.2672804259011061E-2</c:v>
                </c:pt>
                <c:pt idx="7">
                  <c:v>5.6296329828042377E-2</c:v>
                </c:pt>
              </c:numCache>
            </c:numRef>
          </c:val>
          <c:extLst>
            <c:ext xmlns:c16="http://schemas.microsoft.com/office/drawing/2014/chart" uri="{C3380CC4-5D6E-409C-BE32-E72D297353CC}">
              <c16:uniqueId val="{00000007-5CB2-43E8-96F4-936B1B7E5B35}"/>
            </c:ext>
          </c:extLst>
        </c:ser>
        <c:ser>
          <c:idx val="1"/>
          <c:order val="1"/>
          <c:tx>
            <c:strRef>
              <c:f>'tc y Morf.'!$U$6</c:f>
              <c:strCache>
                <c:ptCount val="1"/>
                <c:pt idx="0">
                  <c:v>Medio</c:v>
                </c:pt>
              </c:strCache>
            </c:strRef>
          </c:tx>
          <c:spPr>
            <a:solidFill>
              <a:schemeClr val="tx1">
                <a:lumMod val="85000"/>
                <a:lumOff val="15000"/>
              </a:schemeClr>
            </a:solidFill>
            <a:ln w="15875" cap="rnd">
              <a:noFill/>
              <a:round/>
            </a:ln>
            <a:effectLst/>
          </c:spPr>
          <c:invertIfNegative val="0"/>
          <c:cat>
            <c:strRef>
              <c:f>'tc y Morf.'!$AC$9:$AJ$9</c:f>
              <c:strCache>
                <c:ptCount val="8"/>
                <c:pt idx="0">
                  <c:v>SCS</c:v>
                </c:pt>
                <c:pt idx="1">
                  <c:v>Pilgrim</c:v>
                </c:pt>
                <c:pt idx="2">
                  <c:v>Témez</c:v>
                </c:pt>
                <c:pt idx="3">
                  <c:v>Kirpich</c:v>
                </c:pt>
                <c:pt idx="4">
                  <c:v>Giandotti</c:v>
                </c:pt>
                <c:pt idx="5">
                  <c:v>Valencia y Zuluaga</c:v>
                </c:pt>
                <c:pt idx="6">
                  <c:v>ASC Modificado</c:v>
                </c:pt>
                <c:pt idx="7">
                  <c:v>Clark</c:v>
                </c:pt>
              </c:strCache>
            </c:strRef>
          </c:cat>
          <c:val>
            <c:numRef>
              <c:f>'tc y Morf.'!$AC$6:$AJ$6</c:f>
              <c:numCache>
                <c:formatCode>0.00</c:formatCode>
                <c:ptCount val="8"/>
                <c:pt idx="0">
                  <c:v>2.2816432881835471</c:v>
                </c:pt>
                <c:pt idx="1">
                  <c:v>1.4903078721882455</c:v>
                </c:pt>
                <c:pt idx="2">
                  <c:v>2.0719242760636813</c:v>
                </c:pt>
                <c:pt idx="3">
                  <c:v>1.3681606520457381</c:v>
                </c:pt>
                <c:pt idx="4">
                  <c:v>4.7637651678821245</c:v>
                </c:pt>
                <c:pt idx="5">
                  <c:v>2.9455399626757743</c:v>
                </c:pt>
                <c:pt idx="6">
                  <c:v>4.1553932872852055</c:v>
                </c:pt>
                <c:pt idx="7">
                  <c:v>4.1056155105940677</c:v>
                </c:pt>
              </c:numCache>
            </c:numRef>
          </c:val>
          <c:extLst>
            <c:ext xmlns:c16="http://schemas.microsoft.com/office/drawing/2014/chart" uri="{C3380CC4-5D6E-409C-BE32-E72D297353CC}">
              <c16:uniqueId val="{00000003-5CB2-43E8-96F4-936B1B7E5B35}"/>
            </c:ext>
          </c:extLst>
        </c:ser>
        <c:ser>
          <c:idx val="2"/>
          <c:order val="2"/>
          <c:tx>
            <c:strRef>
              <c:f>'tc y Morf.'!$U$5</c:f>
              <c:strCache>
                <c:ptCount val="1"/>
                <c:pt idx="0">
                  <c:v>Máximo</c:v>
                </c:pt>
              </c:strCache>
            </c:strRef>
          </c:tx>
          <c:spPr>
            <a:pattFill prst="openDmnd">
              <a:fgClr>
                <a:schemeClr val="tx1"/>
              </a:fgClr>
              <a:bgClr>
                <a:schemeClr val="bg1"/>
              </a:bgClr>
            </a:pattFill>
            <a:ln w="3175" cap="rnd">
              <a:solidFill>
                <a:schemeClr val="tx1"/>
              </a:solidFill>
              <a:round/>
            </a:ln>
            <a:effectLst/>
          </c:spPr>
          <c:invertIfNegative val="0"/>
          <c:cat>
            <c:strRef>
              <c:f>'tc y Morf.'!$AC$9:$AJ$9</c:f>
              <c:strCache>
                <c:ptCount val="8"/>
                <c:pt idx="0">
                  <c:v>SCS</c:v>
                </c:pt>
                <c:pt idx="1">
                  <c:v>Pilgrim</c:v>
                </c:pt>
                <c:pt idx="2">
                  <c:v>Témez</c:v>
                </c:pt>
                <c:pt idx="3">
                  <c:v>Kirpich</c:v>
                </c:pt>
                <c:pt idx="4">
                  <c:v>Giandotti</c:v>
                </c:pt>
                <c:pt idx="5">
                  <c:v>Valencia y Zuluaga</c:v>
                </c:pt>
                <c:pt idx="6">
                  <c:v>ASC Modificado</c:v>
                </c:pt>
                <c:pt idx="7">
                  <c:v>Clark</c:v>
                </c:pt>
              </c:strCache>
            </c:strRef>
          </c:cat>
          <c:val>
            <c:numRef>
              <c:f>'tc y Morf.'!$AC$5:$AJ$5</c:f>
              <c:numCache>
                <c:formatCode>0.00</c:formatCode>
                <c:ptCount val="8"/>
                <c:pt idx="0">
                  <c:v>11.292761152633192</c:v>
                </c:pt>
                <c:pt idx="1">
                  <c:v>2.9859330699583078</c:v>
                </c:pt>
                <c:pt idx="2">
                  <c:v>9.4198205699255428</c:v>
                </c:pt>
                <c:pt idx="3">
                  <c:v>7.8785675836616873</c:v>
                </c:pt>
                <c:pt idx="4">
                  <c:v>39.460355842728724</c:v>
                </c:pt>
                <c:pt idx="5">
                  <c:v>9.4226452411717361</c:v>
                </c:pt>
                <c:pt idx="6">
                  <c:v>24.329350512242197</c:v>
                </c:pt>
                <c:pt idx="7">
                  <c:v>19.784444192186857</c:v>
                </c:pt>
              </c:numCache>
            </c:numRef>
          </c:val>
          <c:extLst>
            <c:ext xmlns:c16="http://schemas.microsoft.com/office/drawing/2014/chart" uri="{C3380CC4-5D6E-409C-BE32-E72D297353CC}">
              <c16:uniqueId val="{00000005-5CB2-43E8-96F4-936B1B7E5B35}"/>
            </c:ext>
          </c:extLst>
        </c:ser>
        <c:ser>
          <c:idx val="0"/>
          <c:order val="3"/>
          <c:tx>
            <c:strRef>
              <c:f>'tc y Morf.'!$U$8</c:f>
              <c:strCache>
                <c:ptCount val="1"/>
                <c:pt idx="0">
                  <c:v>Desviación</c:v>
                </c:pt>
              </c:strCache>
            </c:strRef>
          </c:tx>
          <c:spPr>
            <a:solidFill>
              <a:schemeClr val="bg1">
                <a:lumMod val="85000"/>
              </a:schemeClr>
            </a:solidFill>
            <a:ln w="3175" cap="rnd">
              <a:solidFill>
                <a:schemeClr val="tx1"/>
              </a:solidFill>
              <a:round/>
            </a:ln>
            <a:effectLst/>
          </c:spPr>
          <c:invertIfNegative val="0"/>
          <c:cat>
            <c:strRef>
              <c:f>'tc y Morf.'!$AC$9:$AJ$9</c:f>
              <c:strCache>
                <c:ptCount val="8"/>
                <c:pt idx="0">
                  <c:v>SCS</c:v>
                </c:pt>
                <c:pt idx="1">
                  <c:v>Pilgrim</c:v>
                </c:pt>
                <c:pt idx="2">
                  <c:v>Témez</c:v>
                </c:pt>
                <c:pt idx="3">
                  <c:v>Kirpich</c:v>
                </c:pt>
                <c:pt idx="4">
                  <c:v>Giandotti</c:v>
                </c:pt>
                <c:pt idx="5">
                  <c:v>Valencia y Zuluaga</c:v>
                </c:pt>
                <c:pt idx="6">
                  <c:v>ASC Modificado</c:v>
                </c:pt>
                <c:pt idx="7">
                  <c:v>Clark</c:v>
                </c:pt>
              </c:strCache>
            </c:strRef>
          </c:cat>
          <c:val>
            <c:numRef>
              <c:f>'tc y Morf.'!$AC$8:$AJ$8</c:f>
              <c:numCache>
                <c:formatCode>0.00</c:formatCode>
                <c:ptCount val="8"/>
                <c:pt idx="0">
                  <c:v>1.9686604993121031</c:v>
                </c:pt>
                <c:pt idx="1">
                  <c:v>0.56552808841202884</c:v>
                </c:pt>
                <c:pt idx="2">
                  <c:v>1.8208675590729557</c:v>
                </c:pt>
                <c:pt idx="3">
                  <c:v>1.6669495204200004</c:v>
                </c:pt>
                <c:pt idx="4">
                  <c:v>5.6375016110421683</c:v>
                </c:pt>
                <c:pt idx="5">
                  <c:v>1.7617995341892241</c:v>
                </c:pt>
                <c:pt idx="6">
                  <c:v>5.2225175600407185</c:v>
                </c:pt>
                <c:pt idx="7">
                  <c:v>3.1550504904739234</c:v>
                </c:pt>
              </c:numCache>
            </c:numRef>
          </c:val>
          <c:extLst>
            <c:ext xmlns:c16="http://schemas.microsoft.com/office/drawing/2014/chart" uri="{C3380CC4-5D6E-409C-BE32-E72D297353CC}">
              <c16:uniqueId val="{00000001-5CB2-43E8-96F4-936B1B7E5B35}"/>
            </c:ext>
          </c:extLst>
        </c:ser>
        <c:dLbls>
          <c:showLegendKey val="0"/>
          <c:showVal val="0"/>
          <c:showCatName val="0"/>
          <c:showSerName val="0"/>
          <c:showPercent val="0"/>
          <c:showBubbleSize val="0"/>
        </c:dLbls>
        <c:gapWidth val="25"/>
        <c:axId val="675144432"/>
        <c:axId val="683884784"/>
      </c:barChart>
      <c:catAx>
        <c:axId val="675144432"/>
        <c:scaling>
          <c:orientation val="minMax"/>
        </c:scaling>
        <c:delete val="0"/>
        <c:axPos val="b"/>
        <c:minorGridlines>
          <c:spPr>
            <a:ln w="3175">
              <a:solidFill>
                <a:schemeClr val="bg1">
                  <a:lumMod val="95000"/>
                </a:schemeClr>
              </a:solidFill>
              <a:prstDash val="sysDot"/>
            </a:ln>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a:pPr>
            <a:endParaRPr lang="en-US"/>
          </a:p>
        </c:txPr>
        <c:crossAx val="683884784"/>
        <c:crosses val="autoZero"/>
        <c:auto val="1"/>
        <c:lblAlgn val="ctr"/>
        <c:lblOffset val="100"/>
        <c:noMultiLvlLbl val="0"/>
      </c:catAx>
      <c:valAx>
        <c:axId val="683884784"/>
        <c:scaling>
          <c:orientation val="minMax"/>
        </c:scaling>
        <c:delete val="0"/>
        <c:axPos val="l"/>
        <c:majorGridlines>
          <c:spPr>
            <a:ln w="3175">
              <a:solidFill>
                <a:schemeClr val="bg1">
                  <a:lumMod val="95000"/>
                </a:schemeClr>
              </a:solidFill>
              <a:prstDash val="sysDot"/>
            </a:ln>
          </c:spPr>
        </c:majorGridlines>
        <c:title>
          <c:tx>
            <c:rich>
              <a:bodyPr/>
              <a:lstStyle/>
              <a:p>
                <a:pPr>
                  <a:defRPr/>
                </a:pPr>
                <a:r>
                  <a:rPr lang="es-CO"/>
                  <a:t>tc, hr</a:t>
                </a:r>
              </a:p>
            </c:rich>
          </c:tx>
          <c:overlay val="0"/>
        </c:title>
        <c:numFmt formatCode="0.00" sourceLinked="1"/>
        <c:majorTickMark val="none"/>
        <c:minorTickMark val="none"/>
        <c:tickLblPos val="nextTo"/>
        <c:spPr>
          <a:noFill/>
          <a:ln>
            <a:solidFill>
              <a:schemeClr val="tx1"/>
            </a:solidFill>
          </a:ln>
          <a:effectLst/>
        </c:spPr>
        <c:txPr>
          <a:bodyPr rot="-60000000" vert="horz"/>
          <a:lstStyle/>
          <a:p>
            <a:pPr>
              <a:defRPr/>
            </a:pPr>
            <a:endParaRPr lang="en-US"/>
          </a:p>
        </c:txPr>
        <c:crossAx val="675144432"/>
        <c:crosses val="autoZero"/>
        <c:crossBetween val="between"/>
      </c:valAx>
      <c:dTable>
        <c:showHorzBorder val="0"/>
        <c:showVertBorder val="1"/>
        <c:showOutline val="1"/>
        <c:showKeys val="1"/>
      </c:dTable>
      <c:spPr>
        <a:ln w="3175">
          <a:solidFill>
            <a:schemeClr val="bg1">
              <a:lumMod val="95000"/>
            </a:schemeClr>
          </a:solidFill>
        </a:ln>
      </c:spPr>
    </c:plotArea>
    <c:plotVisOnly val="1"/>
    <c:dispBlanksAs val="gap"/>
    <c:showDLblsOverMax val="0"/>
    <c:extLst/>
  </c:chart>
  <c:spPr>
    <a:ln>
      <a:noFill/>
    </a:ln>
  </c:spPr>
  <c:txPr>
    <a:bodyPr/>
    <a:lstStyle/>
    <a:p>
      <a:pPr>
        <a:defRPr sz="1000" b="0">
          <a:latin typeface="Segoe UI Light" panose="020B0502040204020203" pitchFamily="34" charset="0"/>
          <a:cs typeface="Segoe UI Light" panose="020B0502040204020203" pitchFamily="34" charset="0"/>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D10003F-4522-4266-AFBF-0F6B6F23E406}">
  <sheetPr/>
  <sheetViews>
    <sheetView zoomScale="114" workbookViewId="0" zoomToFit="1"/>
  </sheetViews>
  <sheetProtection algorithmName="SHA-512" hashValue="ud6fFcrEoHbHh1eD+GQ+uozfbfpZ+e0A5xJcOIHQGDd8w4+MNPlJTWwP53FqkurTzJnxM83q+Zj45dJagJ2aCQ==" saltValue="5Mhi8YR088+AlvfhLOLy/g==" spinCount="100000" content="1" objects="1"/>
  <pageMargins left="0.25" right="0.25" top="0.75" bottom="0.75" header="0.3" footer="0.3"/>
  <pageSetup paperSize="5" orientation="landscape" r:id="rId1"/>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2.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9.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image" Target="../media/image15.emf"/><Relationship Id="rId3" Type="http://schemas.openxmlformats.org/officeDocument/2006/relationships/image" Target="../media/image6.emf"/><Relationship Id="rId7" Type="http://schemas.openxmlformats.org/officeDocument/2006/relationships/image" Target="../media/image27.emf"/><Relationship Id="rId12" Type="http://schemas.openxmlformats.org/officeDocument/2006/relationships/image" Target="../media/image14.emf"/><Relationship Id="rId2" Type="http://schemas.openxmlformats.org/officeDocument/2006/relationships/image" Target="../media/image23.emf"/><Relationship Id="rId1" Type="http://schemas.openxmlformats.org/officeDocument/2006/relationships/image" Target="../media/image22.emf"/><Relationship Id="rId6" Type="http://schemas.openxmlformats.org/officeDocument/2006/relationships/image" Target="../media/image26.emf"/><Relationship Id="rId11" Type="http://schemas.openxmlformats.org/officeDocument/2006/relationships/image" Target="../media/image13.emf"/><Relationship Id="rId5" Type="http://schemas.openxmlformats.org/officeDocument/2006/relationships/image" Target="../media/image25.emf"/><Relationship Id="rId15" Type="http://schemas.openxmlformats.org/officeDocument/2006/relationships/image" Target="../media/image30.emf"/><Relationship Id="rId10" Type="http://schemas.openxmlformats.org/officeDocument/2006/relationships/image" Target="../media/image10.emf"/><Relationship Id="rId4" Type="http://schemas.openxmlformats.org/officeDocument/2006/relationships/image" Target="../media/image24.emf"/><Relationship Id="rId9" Type="http://schemas.openxmlformats.org/officeDocument/2006/relationships/image" Target="../media/image28.emf"/><Relationship Id="rId14"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161925</xdr:colOff>
          <xdr:row>6</xdr:row>
          <xdr:rowOff>142875</xdr:rowOff>
        </xdr:from>
        <xdr:to>
          <xdr:col>3</xdr:col>
          <xdr:colOff>2400300</xdr:colOff>
          <xdr:row>6</xdr:row>
          <xdr:rowOff>609600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000-000001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733425</xdr:colOff>
          <xdr:row>10</xdr:row>
          <xdr:rowOff>104775</xdr:rowOff>
        </xdr:from>
        <xdr:to>
          <xdr:col>3</xdr:col>
          <xdr:colOff>1638300</xdr:colOff>
          <xdr:row>10</xdr:row>
          <xdr:rowOff>304800</xdr:rowOff>
        </xdr:to>
        <xdr:sp macro="" textlink="">
          <xdr:nvSpPr>
            <xdr:cNvPr id="30722" name="Object 2" hidden="1">
              <a:extLst>
                <a:ext uri="{63B3BB69-23CF-44E3-9099-C40C66FF867C}">
                  <a14:compatExt spid="_x0000_s30722"/>
                </a:ext>
                <a:ext uri="{FF2B5EF4-FFF2-40B4-BE49-F238E27FC236}">
                  <a16:creationId xmlns:a16="http://schemas.microsoft.com/office/drawing/2014/main" id="{00000000-0008-0000-0000-000002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666750</xdr:colOff>
          <xdr:row>8</xdr:row>
          <xdr:rowOff>95250</xdr:rowOff>
        </xdr:from>
        <xdr:to>
          <xdr:col>3</xdr:col>
          <xdr:colOff>1838325</xdr:colOff>
          <xdr:row>8</xdr:row>
          <xdr:rowOff>561975</xdr:rowOff>
        </xdr:to>
        <xdr:sp macro="" textlink="">
          <xdr:nvSpPr>
            <xdr:cNvPr id="30723" name="Object 3" hidden="1">
              <a:extLst>
                <a:ext uri="{63B3BB69-23CF-44E3-9099-C40C66FF867C}">
                  <a14:compatExt spid="_x0000_s30723"/>
                </a:ext>
                <a:ext uri="{FF2B5EF4-FFF2-40B4-BE49-F238E27FC236}">
                  <a16:creationId xmlns:a16="http://schemas.microsoft.com/office/drawing/2014/main" id="{00000000-0008-0000-0000-000003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495300</xdr:colOff>
          <xdr:row>11</xdr:row>
          <xdr:rowOff>76200</xdr:rowOff>
        </xdr:from>
        <xdr:to>
          <xdr:col>3</xdr:col>
          <xdr:colOff>1685925</xdr:colOff>
          <xdr:row>11</xdr:row>
          <xdr:rowOff>571500</xdr:rowOff>
        </xdr:to>
        <xdr:sp macro="" textlink="">
          <xdr:nvSpPr>
            <xdr:cNvPr id="30724" name="Object 4" hidden="1">
              <a:extLst>
                <a:ext uri="{63B3BB69-23CF-44E3-9099-C40C66FF867C}">
                  <a14:compatExt spid="_x0000_s30724"/>
                </a:ext>
                <a:ext uri="{FF2B5EF4-FFF2-40B4-BE49-F238E27FC236}">
                  <a16:creationId xmlns:a16="http://schemas.microsoft.com/office/drawing/2014/main" id="{00000000-0008-0000-0000-000004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161925</xdr:colOff>
          <xdr:row>12</xdr:row>
          <xdr:rowOff>219075</xdr:rowOff>
        </xdr:from>
        <xdr:to>
          <xdr:col>3</xdr:col>
          <xdr:colOff>2133600</xdr:colOff>
          <xdr:row>12</xdr:row>
          <xdr:rowOff>419100</xdr:rowOff>
        </xdr:to>
        <xdr:sp macro="" textlink="">
          <xdr:nvSpPr>
            <xdr:cNvPr id="30725" name="Object 5" hidden="1">
              <a:extLst>
                <a:ext uri="{63B3BB69-23CF-44E3-9099-C40C66FF867C}">
                  <a14:compatExt spid="_x0000_s30725"/>
                </a:ext>
                <a:ext uri="{FF2B5EF4-FFF2-40B4-BE49-F238E27FC236}">
                  <a16:creationId xmlns:a16="http://schemas.microsoft.com/office/drawing/2014/main" id="{00000000-0008-0000-0000-000005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485775</xdr:colOff>
          <xdr:row>13</xdr:row>
          <xdr:rowOff>142875</xdr:rowOff>
        </xdr:from>
        <xdr:to>
          <xdr:col>3</xdr:col>
          <xdr:colOff>1866900</xdr:colOff>
          <xdr:row>13</xdr:row>
          <xdr:rowOff>638175</xdr:rowOff>
        </xdr:to>
        <xdr:sp macro="" textlink="">
          <xdr:nvSpPr>
            <xdr:cNvPr id="30726" name="Object 6" hidden="1">
              <a:extLst>
                <a:ext uri="{63B3BB69-23CF-44E3-9099-C40C66FF867C}">
                  <a14:compatExt spid="_x0000_s30726"/>
                </a:ext>
                <a:ext uri="{FF2B5EF4-FFF2-40B4-BE49-F238E27FC236}">
                  <a16:creationId xmlns:a16="http://schemas.microsoft.com/office/drawing/2014/main" id="{00000000-0008-0000-0000-000006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552450</xdr:colOff>
          <xdr:row>7</xdr:row>
          <xdr:rowOff>66675</xdr:rowOff>
        </xdr:from>
        <xdr:to>
          <xdr:col>3</xdr:col>
          <xdr:colOff>1933575</xdr:colOff>
          <xdr:row>7</xdr:row>
          <xdr:rowOff>581025</xdr:rowOff>
        </xdr:to>
        <xdr:sp macro="" textlink="">
          <xdr:nvSpPr>
            <xdr:cNvPr id="30727" name="Object 7" hidden="1">
              <a:extLst>
                <a:ext uri="{63B3BB69-23CF-44E3-9099-C40C66FF867C}">
                  <a14:compatExt spid="_x0000_s30727"/>
                </a:ext>
                <a:ext uri="{FF2B5EF4-FFF2-40B4-BE49-F238E27FC236}">
                  <a16:creationId xmlns:a16="http://schemas.microsoft.com/office/drawing/2014/main" id="{00000000-0008-0000-0000-000007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9</xdr:row>
          <xdr:rowOff>47625</xdr:rowOff>
        </xdr:from>
        <xdr:to>
          <xdr:col>3</xdr:col>
          <xdr:colOff>1895475</xdr:colOff>
          <xdr:row>9</xdr:row>
          <xdr:rowOff>561975</xdr:rowOff>
        </xdr:to>
        <xdr:sp macro="" textlink="">
          <xdr:nvSpPr>
            <xdr:cNvPr id="30728" name="Object 8" hidden="1">
              <a:extLst>
                <a:ext uri="{63B3BB69-23CF-44E3-9099-C40C66FF867C}">
                  <a14:compatExt spid="_x0000_s30728"/>
                </a:ext>
                <a:ext uri="{FF2B5EF4-FFF2-40B4-BE49-F238E27FC236}">
                  <a16:creationId xmlns:a16="http://schemas.microsoft.com/office/drawing/2014/main" id="{00000000-0008-0000-0000-000008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139212</xdr:colOff>
      <xdr:row>1</xdr:row>
      <xdr:rowOff>58615</xdr:rowOff>
    </xdr:from>
    <xdr:to>
      <xdr:col>1</xdr:col>
      <xdr:colOff>908453</xdr:colOff>
      <xdr:row>5</xdr:row>
      <xdr:rowOff>61372</xdr:rowOff>
    </xdr:to>
    <xdr:pic>
      <xdr:nvPicPr>
        <xdr:cNvPr id="10" name="Imagen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187" y="249115"/>
          <a:ext cx="755906" cy="8412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790575</xdr:colOff>
          <xdr:row>20</xdr:row>
          <xdr:rowOff>114300</xdr:rowOff>
        </xdr:from>
        <xdr:to>
          <xdr:col>3</xdr:col>
          <xdr:colOff>1543050</xdr:colOff>
          <xdr:row>20</xdr:row>
          <xdr:rowOff>352425</xdr:rowOff>
        </xdr:to>
        <xdr:sp macro="" textlink="">
          <xdr:nvSpPr>
            <xdr:cNvPr id="30729" name="Object 9" hidden="1">
              <a:extLst>
                <a:ext uri="{63B3BB69-23CF-44E3-9099-C40C66FF867C}">
                  <a14:compatExt spid="_x0000_s30729"/>
                </a:ext>
                <a:ext uri="{FF2B5EF4-FFF2-40B4-BE49-F238E27FC236}">
                  <a16:creationId xmlns:a16="http://schemas.microsoft.com/office/drawing/2014/main" id="{00000000-0008-0000-0000-000009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175846</xdr:colOff>
      <xdr:row>15</xdr:row>
      <xdr:rowOff>51288</xdr:rowOff>
    </xdr:from>
    <xdr:to>
      <xdr:col>1</xdr:col>
      <xdr:colOff>945087</xdr:colOff>
      <xdr:row>19</xdr:row>
      <xdr:rowOff>55950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6821" y="6718788"/>
          <a:ext cx="755906" cy="8412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66675</xdr:colOff>
          <xdr:row>21</xdr:row>
          <xdr:rowOff>209550</xdr:rowOff>
        </xdr:from>
        <xdr:to>
          <xdr:col>3</xdr:col>
          <xdr:colOff>1447800</xdr:colOff>
          <xdr:row>21</xdr:row>
          <xdr:rowOff>828675</xdr:rowOff>
        </xdr:to>
        <xdr:sp macro="" textlink="">
          <xdr:nvSpPr>
            <xdr:cNvPr id="30730" name="Object 10" hidden="1">
              <a:extLst>
                <a:ext uri="{63B3BB69-23CF-44E3-9099-C40C66FF867C}">
                  <a14:compatExt spid="_x0000_s30730"/>
                </a:ext>
                <a:ext uri="{FF2B5EF4-FFF2-40B4-BE49-F238E27FC236}">
                  <a16:creationId xmlns:a16="http://schemas.microsoft.com/office/drawing/2014/main" id="{00000000-0008-0000-0000-00000A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1657350</xdr:colOff>
          <xdr:row>21</xdr:row>
          <xdr:rowOff>295275</xdr:rowOff>
        </xdr:from>
        <xdr:to>
          <xdr:col>3</xdr:col>
          <xdr:colOff>2457450</xdr:colOff>
          <xdr:row>21</xdr:row>
          <xdr:rowOff>685800</xdr:rowOff>
        </xdr:to>
        <xdr:sp macro="" textlink="">
          <xdr:nvSpPr>
            <xdr:cNvPr id="30731" name="Object 11" hidden="1">
              <a:extLst>
                <a:ext uri="{63B3BB69-23CF-44E3-9099-C40C66FF867C}">
                  <a14:compatExt spid="_x0000_s30731"/>
                </a:ext>
                <a:ext uri="{FF2B5EF4-FFF2-40B4-BE49-F238E27FC236}">
                  <a16:creationId xmlns:a16="http://schemas.microsoft.com/office/drawing/2014/main" id="{00000000-0008-0000-0000-00000B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704850</xdr:colOff>
          <xdr:row>28</xdr:row>
          <xdr:rowOff>361950</xdr:rowOff>
        </xdr:from>
        <xdr:to>
          <xdr:col>3</xdr:col>
          <xdr:colOff>1657350</xdr:colOff>
          <xdr:row>28</xdr:row>
          <xdr:rowOff>809625</xdr:rowOff>
        </xdr:to>
        <xdr:sp macro="" textlink="">
          <xdr:nvSpPr>
            <xdr:cNvPr id="30732" name="Object 12" hidden="1">
              <a:extLst>
                <a:ext uri="{63B3BB69-23CF-44E3-9099-C40C66FF867C}">
                  <a14:compatExt spid="_x0000_s30732"/>
                </a:ext>
                <a:ext uri="{FF2B5EF4-FFF2-40B4-BE49-F238E27FC236}">
                  <a16:creationId xmlns:a16="http://schemas.microsoft.com/office/drawing/2014/main" id="{00000000-0008-0000-0000-00000C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29</xdr:row>
          <xdr:rowOff>752475</xdr:rowOff>
        </xdr:from>
        <xdr:to>
          <xdr:col>3</xdr:col>
          <xdr:colOff>1657350</xdr:colOff>
          <xdr:row>29</xdr:row>
          <xdr:rowOff>1171575</xdr:rowOff>
        </xdr:to>
        <xdr:sp macro="" textlink="">
          <xdr:nvSpPr>
            <xdr:cNvPr id="30733" name="Object 13" hidden="1">
              <a:extLst>
                <a:ext uri="{63B3BB69-23CF-44E3-9099-C40C66FF867C}">
                  <a14:compatExt spid="_x0000_s30733"/>
                </a:ext>
                <a:ext uri="{FF2B5EF4-FFF2-40B4-BE49-F238E27FC236}">
                  <a16:creationId xmlns:a16="http://schemas.microsoft.com/office/drawing/2014/main" id="{00000000-0008-0000-0000-00000D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140805</xdr:colOff>
      <xdr:row>23</xdr:row>
      <xdr:rowOff>57978</xdr:rowOff>
    </xdr:from>
    <xdr:to>
      <xdr:col>1</xdr:col>
      <xdr:colOff>908141</xdr:colOff>
      <xdr:row>27</xdr:row>
      <xdr:rowOff>60735</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1780" y="9392478"/>
          <a:ext cx="755906" cy="841250"/>
        </a:xfrm>
        <a:prstGeom prst="rect">
          <a:avLst/>
        </a:prstGeom>
      </xdr:spPr>
    </xdr:pic>
    <xdr:clientData/>
  </xdr:twoCellAnchor>
  <xdr:twoCellAnchor editAs="oneCell">
    <xdr:from>
      <xdr:col>1</xdr:col>
      <xdr:colOff>911087</xdr:colOff>
      <xdr:row>23</xdr:row>
      <xdr:rowOff>57977</xdr:rowOff>
    </xdr:from>
    <xdr:to>
      <xdr:col>2</xdr:col>
      <xdr:colOff>606156</xdr:colOff>
      <xdr:row>27</xdr:row>
      <xdr:rowOff>60734</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2062" y="9392477"/>
          <a:ext cx="754249" cy="8412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714375</xdr:colOff>
          <xdr:row>30</xdr:row>
          <xdr:rowOff>1047750</xdr:rowOff>
        </xdr:from>
        <xdr:to>
          <xdr:col>3</xdr:col>
          <xdr:colOff>1571625</xdr:colOff>
          <xdr:row>30</xdr:row>
          <xdr:rowOff>1504950</xdr:rowOff>
        </xdr:to>
        <xdr:sp macro="" textlink="">
          <xdr:nvSpPr>
            <xdr:cNvPr id="30734" name="Object 14" hidden="1">
              <a:extLst>
                <a:ext uri="{63B3BB69-23CF-44E3-9099-C40C66FF867C}">
                  <a14:compatExt spid="_x0000_s30734"/>
                </a:ext>
                <a:ext uri="{FF2B5EF4-FFF2-40B4-BE49-F238E27FC236}">
                  <a16:creationId xmlns:a16="http://schemas.microsoft.com/office/drawing/2014/main" id="{00000000-0008-0000-0000-00000E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838200</xdr:colOff>
          <xdr:row>31</xdr:row>
          <xdr:rowOff>152400</xdr:rowOff>
        </xdr:from>
        <xdr:to>
          <xdr:col>3</xdr:col>
          <xdr:colOff>1371600</xdr:colOff>
          <xdr:row>31</xdr:row>
          <xdr:rowOff>571500</xdr:rowOff>
        </xdr:to>
        <xdr:sp macro="" textlink="">
          <xdr:nvSpPr>
            <xdr:cNvPr id="30735" name="Object 15" hidden="1">
              <a:extLst>
                <a:ext uri="{63B3BB69-23CF-44E3-9099-C40C66FF867C}">
                  <a14:compatExt spid="_x0000_s30735"/>
                </a:ext>
                <a:ext uri="{FF2B5EF4-FFF2-40B4-BE49-F238E27FC236}">
                  <a16:creationId xmlns:a16="http://schemas.microsoft.com/office/drawing/2014/main" id="{00000000-0008-0000-0000-00000F7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902255</xdr:colOff>
      <xdr:row>23</xdr:row>
      <xdr:rowOff>73220</xdr:rowOff>
    </xdr:from>
    <xdr:to>
      <xdr:col>3</xdr:col>
      <xdr:colOff>1671496</xdr:colOff>
      <xdr:row>27</xdr:row>
      <xdr:rowOff>60737</xdr:rowOff>
    </xdr:to>
    <xdr:pic>
      <xdr:nvPicPr>
        <xdr:cNvPr id="21" name="Imagen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04470" y="9463405"/>
          <a:ext cx="765431" cy="849163"/>
        </a:xfrm>
        <a:prstGeom prst="rect">
          <a:avLst/>
        </a:prstGeom>
      </xdr:spPr>
    </xdr:pic>
    <xdr:clientData/>
  </xdr:twoCellAnchor>
  <xdr:twoCellAnchor editAs="oneCell">
    <xdr:from>
      <xdr:col>3</xdr:col>
      <xdr:colOff>1702438</xdr:colOff>
      <xdr:row>23</xdr:row>
      <xdr:rowOff>42078</xdr:rowOff>
    </xdr:from>
    <xdr:to>
      <xdr:col>3</xdr:col>
      <xdr:colOff>2465964</xdr:colOff>
      <xdr:row>27</xdr:row>
      <xdr:rowOff>60075</xdr:rowOff>
    </xdr:to>
    <xdr:pic>
      <xdr:nvPicPr>
        <xdr:cNvPr id="22" name="Imagen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04653" y="9432263"/>
          <a:ext cx="757811" cy="879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31</xdr:col>
          <xdr:colOff>114300</xdr:colOff>
          <xdr:row>9</xdr:row>
          <xdr:rowOff>66675</xdr:rowOff>
        </xdr:from>
        <xdr:to>
          <xdr:col>31</xdr:col>
          <xdr:colOff>1514475</xdr:colOff>
          <xdr:row>11</xdr:row>
          <xdr:rowOff>171450</xdr:rowOff>
        </xdr:to>
        <xdr:sp macro="" textlink="">
          <xdr:nvSpPr>
            <xdr:cNvPr id="25683" name="Object 83" hidden="1">
              <a:extLst>
                <a:ext uri="{63B3BB69-23CF-44E3-9099-C40C66FF867C}">
                  <a14:compatExt spid="_x0000_s25683"/>
                </a:ext>
                <a:ext uri="{FF2B5EF4-FFF2-40B4-BE49-F238E27FC236}">
                  <a16:creationId xmlns:a16="http://schemas.microsoft.com/office/drawing/2014/main" id="{00000000-0008-0000-0100-000053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85725</xdr:colOff>
          <xdr:row>9</xdr:row>
          <xdr:rowOff>57150</xdr:rowOff>
        </xdr:from>
        <xdr:to>
          <xdr:col>35</xdr:col>
          <xdr:colOff>1390650</xdr:colOff>
          <xdr:row>11</xdr:row>
          <xdr:rowOff>161925</xdr:rowOff>
        </xdr:to>
        <xdr:sp macro="" textlink="">
          <xdr:nvSpPr>
            <xdr:cNvPr id="25685" name="Object 85" hidden="1">
              <a:extLst>
                <a:ext uri="{63B3BB69-23CF-44E3-9099-C40C66FF867C}">
                  <a14:compatExt spid="_x0000_s25685"/>
                </a:ext>
                <a:ext uri="{FF2B5EF4-FFF2-40B4-BE49-F238E27FC236}">
                  <a16:creationId xmlns:a16="http://schemas.microsoft.com/office/drawing/2014/main" id="{00000000-0008-0000-0100-000055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104775</xdr:colOff>
          <xdr:row>9</xdr:row>
          <xdr:rowOff>66675</xdr:rowOff>
        </xdr:from>
        <xdr:to>
          <xdr:col>34</xdr:col>
          <xdr:colOff>1485900</xdr:colOff>
          <xdr:row>11</xdr:row>
          <xdr:rowOff>180975</xdr:rowOff>
        </xdr:to>
        <xdr:sp macro="" textlink="">
          <xdr:nvSpPr>
            <xdr:cNvPr id="25687" name="Object 87" hidden="1">
              <a:extLst>
                <a:ext uri="{63B3BB69-23CF-44E3-9099-C40C66FF867C}">
                  <a14:compatExt spid="_x0000_s25687"/>
                </a:ext>
                <a:ext uri="{FF2B5EF4-FFF2-40B4-BE49-F238E27FC236}">
                  <a16:creationId xmlns:a16="http://schemas.microsoft.com/office/drawing/2014/main" id="{00000000-0008-0000-0100-000057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133350</xdr:colOff>
          <xdr:row>9</xdr:row>
          <xdr:rowOff>180975</xdr:rowOff>
        </xdr:from>
        <xdr:to>
          <xdr:col>29</xdr:col>
          <xdr:colOff>1085850</xdr:colOff>
          <xdr:row>11</xdr:row>
          <xdr:rowOff>28575</xdr:rowOff>
        </xdr:to>
        <xdr:sp macro="" textlink="">
          <xdr:nvSpPr>
            <xdr:cNvPr id="25688" name="Object 88" hidden="1">
              <a:extLst>
                <a:ext uri="{63B3BB69-23CF-44E3-9099-C40C66FF867C}">
                  <a14:compatExt spid="_x0000_s25688"/>
                </a:ext>
                <a:ext uri="{FF2B5EF4-FFF2-40B4-BE49-F238E27FC236}">
                  <a16:creationId xmlns:a16="http://schemas.microsoft.com/office/drawing/2014/main" id="{00000000-0008-0000-0100-000058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142875</xdr:colOff>
          <xdr:row>9</xdr:row>
          <xdr:rowOff>28575</xdr:rowOff>
        </xdr:from>
        <xdr:to>
          <xdr:col>30</xdr:col>
          <xdr:colOff>1362075</xdr:colOff>
          <xdr:row>11</xdr:row>
          <xdr:rowOff>152400</xdr:rowOff>
        </xdr:to>
        <xdr:sp macro="" textlink="">
          <xdr:nvSpPr>
            <xdr:cNvPr id="25689" name="Object 89" hidden="1">
              <a:extLst>
                <a:ext uri="{63B3BB69-23CF-44E3-9099-C40C66FF867C}">
                  <a14:compatExt spid="_x0000_s25689"/>
                </a:ext>
                <a:ext uri="{FF2B5EF4-FFF2-40B4-BE49-F238E27FC236}">
                  <a16:creationId xmlns:a16="http://schemas.microsoft.com/office/drawing/2014/main" id="{00000000-0008-0000-0100-000059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133350</xdr:colOff>
          <xdr:row>9</xdr:row>
          <xdr:rowOff>57150</xdr:rowOff>
        </xdr:from>
        <xdr:to>
          <xdr:col>32</xdr:col>
          <xdr:colOff>1400175</xdr:colOff>
          <xdr:row>12</xdr:row>
          <xdr:rowOff>9525</xdr:rowOff>
        </xdr:to>
        <xdr:sp macro="" textlink="">
          <xdr:nvSpPr>
            <xdr:cNvPr id="25690" name="Object 90" hidden="1">
              <a:extLst>
                <a:ext uri="{63B3BB69-23CF-44E3-9099-C40C66FF867C}">
                  <a14:compatExt spid="_x0000_s25690"/>
                </a:ext>
                <a:ext uri="{FF2B5EF4-FFF2-40B4-BE49-F238E27FC236}">
                  <a16:creationId xmlns:a16="http://schemas.microsoft.com/office/drawing/2014/main" id="{00000000-0008-0000-0100-00005A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85725</xdr:colOff>
          <xdr:row>10</xdr:row>
          <xdr:rowOff>47625</xdr:rowOff>
        </xdr:from>
        <xdr:to>
          <xdr:col>33</xdr:col>
          <xdr:colOff>2162175</xdr:colOff>
          <xdr:row>11</xdr:row>
          <xdr:rowOff>76200</xdr:rowOff>
        </xdr:to>
        <xdr:sp macro="" textlink="">
          <xdr:nvSpPr>
            <xdr:cNvPr id="25691" name="Object 91" hidden="1">
              <a:extLst>
                <a:ext uri="{63B3BB69-23CF-44E3-9099-C40C66FF867C}">
                  <a14:compatExt spid="_x0000_s25691"/>
                </a:ext>
                <a:ext uri="{FF2B5EF4-FFF2-40B4-BE49-F238E27FC236}">
                  <a16:creationId xmlns:a16="http://schemas.microsoft.com/office/drawing/2014/main" id="{00000000-0008-0000-0100-00005B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114300</xdr:colOff>
          <xdr:row>9</xdr:row>
          <xdr:rowOff>66675</xdr:rowOff>
        </xdr:from>
        <xdr:to>
          <xdr:col>28</xdr:col>
          <xdr:colOff>2362200</xdr:colOff>
          <xdr:row>11</xdr:row>
          <xdr:rowOff>142875</xdr:rowOff>
        </xdr:to>
        <xdr:sp macro="" textlink="">
          <xdr:nvSpPr>
            <xdr:cNvPr id="25698" name="Object 98" hidden="1">
              <a:extLst>
                <a:ext uri="{63B3BB69-23CF-44E3-9099-C40C66FF867C}">
                  <a14:compatExt spid="_x0000_s25698"/>
                </a:ext>
                <a:ext uri="{FF2B5EF4-FFF2-40B4-BE49-F238E27FC236}">
                  <a16:creationId xmlns:a16="http://schemas.microsoft.com/office/drawing/2014/main" id="{00000000-0008-0000-0100-000062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1747115</xdr:colOff>
      <xdr:row>2</xdr:row>
      <xdr:rowOff>22102</xdr:rowOff>
    </xdr:from>
    <xdr:to>
      <xdr:col>12</xdr:col>
      <xdr:colOff>2175256</xdr:colOff>
      <xdr:row>3</xdr:row>
      <xdr:rowOff>186768</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12819" y="340154"/>
          <a:ext cx="428141" cy="477914"/>
        </a:xfrm>
        <a:prstGeom prst="rect">
          <a:avLst/>
        </a:prstGeom>
      </xdr:spPr>
    </xdr:pic>
    <xdr:clientData/>
  </xdr:twoCellAnchor>
  <xdr:twoCellAnchor editAs="oneCell">
    <xdr:from>
      <xdr:col>13</xdr:col>
      <xdr:colOff>1047750</xdr:colOff>
      <xdr:row>2</xdr:row>
      <xdr:rowOff>29307</xdr:rowOff>
    </xdr:from>
    <xdr:to>
      <xdr:col>13</xdr:col>
      <xdr:colOff>1481606</xdr:colOff>
      <xdr:row>3</xdr:row>
      <xdr:rowOff>186353</xdr:rowOff>
    </xdr:to>
    <xdr:pic>
      <xdr:nvPicPr>
        <xdr:cNvPr id="8" name="Imagen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78462" y="351692"/>
          <a:ext cx="420521" cy="468000"/>
        </a:xfrm>
        <a:prstGeom prst="rect">
          <a:avLst/>
        </a:prstGeom>
      </xdr:spPr>
    </xdr:pic>
    <xdr:clientData/>
  </xdr:twoCellAnchor>
  <xdr:twoCellAnchor editAs="oneCell">
    <xdr:from>
      <xdr:col>31</xdr:col>
      <xdr:colOff>430695</xdr:colOff>
      <xdr:row>2</xdr:row>
      <xdr:rowOff>24848</xdr:rowOff>
    </xdr:from>
    <xdr:to>
      <xdr:col>31</xdr:col>
      <xdr:colOff>841692</xdr:colOff>
      <xdr:row>3</xdr:row>
      <xdr:rowOff>186971</xdr:rowOff>
    </xdr:to>
    <xdr:pic>
      <xdr:nvPicPr>
        <xdr:cNvPr id="14" name="Imagen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026152" y="356152"/>
          <a:ext cx="420522" cy="468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209550</xdr:colOff>
          <xdr:row>9</xdr:row>
          <xdr:rowOff>133350</xdr:rowOff>
        </xdr:from>
        <xdr:to>
          <xdr:col>14</xdr:col>
          <xdr:colOff>1009650</xdr:colOff>
          <xdr:row>11</xdr:row>
          <xdr:rowOff>19050</xdr:rowOff>
        </xdr:to>
        <xdr:sp macro="" textlink="">
          <xdr:nvSpPr>
            <xdr:cNvPr id="25699" name="Object 99" hidden="1">
              <a:extLst>
                <a:ext uri="{63B3BB69-23CF-44E3-9099-C40C66FF867C}">
                  <a14:compatExt spid="_x0000_s25699"/>
                </a:ext>
                <a:ext uri="{FF2B5EF4-FFF2-40B4-BE49-F238E27FC236}">
                  <a16:creationId xmlns:a16="http://schemas.microsoft.com/office/drawing/2014/main" id="{00000000-0008-0000-0100-000063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114300</xdr:colOff>
          <xdr:row>9</xdr:row>
          <xdr:rowOff>0</xdr:rowOff>
        </xdr:from>
        <xdr:to>
          <xdr:col>15</xdr:col>
          <xdr:colOff>1485900</xdr:colOff>
          <xdr:row>12</xdr:row>
          <xdr:rowOff>19050</xdr:rowOff>
        </xdr:to>
        <xdr:sp macro="" textlink="">
          <xdr:nvSpPr>
            <xdr:cNvPr id="25700" name="Object 100" hidden="1">
              <a:extLst>
                <a:ext uri="{63B3BB69-23CF-44E3-9099-C40C66FF867C}">
                  <a14:compatExt spid="_x0000_s25700"/>
                </a:ext>
                <a:ext uri="{FF2B5EF4-FFF2-40B4-BE49-F238E27FC236}">
                  <a16:creationId xmlns:a16="http://schemas.microsoft.com/office/drawing/2014/main" id="{00000000-0008-0000-0100-000064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114300</xdr:colOff>
          <xdr:row>9</xdr:row>
          <xdr:rowOff>95250</xdr:rowOff>
        </xdr:from>
        <xdr:to>
          <xdr:col>37</xdr:col>
          <xdr:colOff>1152525</xdr:colOff>
          <xdr:row>11</xdr:row>
          <xdr:rowOff>123825</xdr:rowOff>
        </xdr:to>
        <xdr:sp macro="" textlink="">
          <xdr:nvSpPr>
            <xdr:cNvPr id="25702" name="Object 102" hidden="1">
              <a:extLst>
                <a:ext uri="{63B3BB69-23CF-44E3-9099-C40C66FF867C}">
                  <a14:compatExt spid="_x0000_s25702"/>
                </a:ext>
                <a:ext uri="{FF2B5EF4-FFF2-40B4-BE49-F238E27FC236}">
                  <a16:creationId xmlns:a16="http://schemas.microsoft.com/office/drawing/2014/main" id="{00000000-0008-0000-0100-000066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9</xdr:row>
          <xdr:rowOff>104775</xdr:rowOff>
        </xdr:from>
        <xdr:to>
          <xdr:col>38</xdr:col>
          <xdr:colOff>971550</xdr:colOff>
          <xdr:row>11</xdr:row>
          <xdr:rowOff>171450</xdr:rowOff>
        </xdr:to>
        <xdr:sp macro="" textlink="">
          <xdr:nvSpPr>
            <xdr:cNvPr id="25703" name="Object 103" hidden="1">
              <a:extLst>
                <a:ext uri="{63B3BB69-23CF-44E3-9099-C40C66FF867C}">
                  <a14:compatExt spid="_x0000_s25703"/>
                </a:ext>
                <a:ext uri="{FF2B5EF4-FFF2-40B4-BE49-F238E27FC236}">
                  <a16:creationId xmlns:a16="http://schemas.microsoft.com/office/drawing/2014/main" id="{00000000-0008-0000-0100-000067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36</xdr:col>
      <xdr:colOff>41415</xdr:colOff>
      <xdr:row>2</xdr:row>
      <xdr:rowOff>24848</xdr:rowOff>
    </xdr:from>
    <xdr:to>
      <xdr:col>36</xdr:col>
      <xdr:colOff>461937</xdr:colOff>
      <xdr:row>3</xdr:row>
      <xdr:rowOff>186971</xdr:rowOff>
    </xdr:to>
    <xdr:pic>
      <xdr:nvPicPr>
        <xdr:cNvPr id="36" name="Imagen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499263" y="356152"/>
          <a:ext cx="420522" cy="468000"/>
        </a:xfrm>
        <a:prstGeom prst="rect">
          <a:avLst/>
        </a:prstGeom>
      </xdr:spPr>
    </xdr:pic>
    <xdr:clientData/>
  </xdr:twoCellAnchor>
  <xdr:twoCellAnchor editAs="oneCell">
    <xdr:from>
      <xdr:col>36</xdr:col>
      <xdr:colOff>480398</xdr:colOff>
      <xdr:row>2</xdr:row>
      <xdr:rowOff>24847</xdr:rowOff>
    </xdr:from>
    <xdr:to>
      <xdr:col>36</xdr:col>
      <xdr:colOff>910445</xdr:colOff>
      <xdr:row>3</xdr:row>
      <xdr:rowOff>186970</xdr:rowOff>
    </xdr:to>
    <xdr:pic>
      <xdr:nvPicPr>
        <xdr:cNvPr id="37" name="Imagen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938246" y="356151"/>
          <a:ext cx="420522" cy="468000"/>
        </a:xfrm>
        <a:prstGeom prst="rect">
          <a:avLst/>
        </a:prstGeom>
      </xdr:spPr>
    </xdr:pic>
    <xdr:clientData/>
  </xdr:twoCellAnchor>
  <xdr:twoCellAnchor editAs="oneCell">
    <xdr:from>
      <xdr:col>36</xdr:col>
      <xdr:colOff>919372</xdr:colOff>
      <xdr:row>2</xdr:row>
      <xdr:rowOff>16565</xdr:rowOff>
    </xdr:from>
    <xdr:to>
      <xdr:col>37</xdr:col>
      <xdr:colOff>118541</xdr:colOff>
      <xdr:row>3</xdr:row>
      <xdr:rowOff>155828</xdr:rowOff>
    </xdr:to>
    <xdr:pic>
      <xdr:nvPicPr>
        <xdr:cNvPr id="38" name="Imagen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6377220" y="347869"/>
          <a:ext cx="420522" cy="468000"/>
        </a:xfrm>
        <a:prstGeom prst="rect">
          <a:avLst/>
        </a:prstGeom>
      </xdr:spPr>
    </xdr:pic>
    <xdr:clientData/>
  </xdr:twoCellAnchor>
  <xdr:twoCellAnchor editAs="oneCell">
    <xdr:from>
      <xdr:col>37</xdr:col>
      <xdr:colOff>140807</xdr:colOff>
      <xdr:row>2</xdr:row>
      <xdr:rowOff>8283</xdr:rowOff>
    </xdr:from>
    <xdr:to>
      <xdr:col>37</xdr:col>
      <xdr:colOff>567044</xdr:colOff>
      <xdr:row>3</xdr:row>
      <xdr:rowOff>153261</xdr:rowOff>
    </xdr:to>
    <xdr:pic>
      <xdr:nvPicPr>
        <xdr:cNvPr id="39" name="Imagen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816198" y="339587"/>
          <a:ext cx="420522" cy="468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39</xdr:col>
          <xdr:colOff>285750</xdr:colOff>
          <xdr:row>9</xdr:row>
          <xdr:rowOff>114300</xdr:rowOff>
        </xdr:from>
        <xdr:to>
          <xdr:col>39</xdr:col>
          <xdr:colOff>819150</xdr:colOff>
          <xdr:row>11</xdr:row>
          <xdr:rowOff>142875</xdr:rowOff>
        </xdr:to>
        <xdr:sp macro="" textlink="">
          <xdr:nvSpPr>
            <xdr:cNvPr id="25704" name="Object 104" hidden="1">
              <a:extLst>
                <a:ext uri="{63B3BB69-23CF-44E3-9099-C40C66FF867C}">
                  <a14:compatExt spid="_x0000_s25704"/>
                </a:ext>
                <a:ext uri="{FF2B5EF4-FFF2-40B4-BE49-F238E27FC236}">
                  <a16:creationId xmlns:a16="http://schemas.microsoft.com/office/drawing/2014/main" id="{00000000-0008-0000-0100-000068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15</xdr:col>
      <xdr:colOff>1159567</xdr:colOff>
      <xdr:row>2</xdr:row>
      <xdr:rowOff>24848</xdr:rowOff>
    </xdr:from>
    <xdr:to>
      <xdr:col>15</xdr:col>
      <xdr:colOff>1597234</xdr:colOff>
      <xdr:row>3</xdr:row>
      <xdr:rowOff>186971</xdr:rowOff>
    </xdr:to>
    <xdr:pic>
      <xdr:nvPicPr>
        <xdr:cNvPr id="41" name="Imagen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183719" y="356152"/>
          <a:ext cx="420522" cy="468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57150</xdr:colOff>
          <xdr:row>9</xdr:row>
          <xdr:rowOff>76200</xdr:rowOff>
        </xdr:from>
        <xdr:to>
          <xdr:col>10</xdr:col>
          <xdr:colOff>1571625</xdr:colOff>
          <xdr:row>11</xdr:row>
          <xdr:rowOff>114300</xdr:rowOff>
        </xdr:to>
        <xdr:sp macro="" textlink="">
          <xdr:nvSpPr>
            <xdr:cNvPr id="25705" name="Object 105" hidden="1">
              <a:extLst>
                <a:ext uri="{63B3BB69-23CF-44E3-9099-C40C66FF867C}">
                  <a14:compatExt spid="_x0000_s25705"/>
                </a:ext>
                <a:ext uri="{FF2B5EF4-FFF2-40B4-BE49-F238E27FC236}">
                  <a16:creationId xmlns:a16="http://schemas.microsoft.com/office/drawing/2014/main" id="{00000000-0008-0000-0100-000069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114300</xdr:colOff>
          <xdr:row>9</xdr:row>
          <xdr:rowOff>47625</xdr:rowOff>
        </xdr:from>
        <xdr:to>
          <xdr:col>12</xdr:col>
          <xdr:colOff>2133600</xdr:colOff>
          <xdr:row>11</xdr:row>
          <xdr:rowOff>142875</xdr:rowOff>
        </xdr:to>
        <xdr:sp macro="" textlink="">
          <xdr:nvSpPr>
            <xdr:cNvPr id="25706" name="Object 106" hidden="1">
              <a:extLst>
                <a:ext uri="{63B3BB69-23CF-44E3-9099-C40C66FF867C}">
                  <a14:compatExt spid="_x0000_s25706"/>
                </a:ext>
                <a:ext uri="{FF2B5EF4-FFF2-40B4-BE49-F238E27FC236}">
                  <a16:creationId xmlns:a16="http://schemas.microsoft.com/office/drawing/2014/main" id="{00000000-0008-0000-0100-00006A6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36</xdr:col>
      <xdr:colOff>97735</xdr:colOff>
      <xdr:row>9</xdr:row>
      <xdr:rowOff>63362</xdr:rowOff>
    </xdr:from>
    <xdr:to>
      <xdr:col>36</xdr:col>
      <xdr:colOff>1135968</xdr:colOff>
      <xdr:row>11</xdr:row>
      <xdr:rowOff>123252</xdr:rowOff>
    </xdr:to>
    <mc:AlternateContent xmlns:mc="http://schemas.openxmlformats.org/markup-compatibility/2006" xmlns:a14="http://schemas.microsoft.com/office/drawing/2010/main">
      <mc:Choice Requires="a14">
        <xdr:sp macro="" textlink="">
          <xdr:nvSpPr>
            <xdr:cNvPr id="2" name="Object 101">
              <a:extLst>
                <a:ext uri="{63B3BB69-23CF-44E3-9099-C40C66FF867C}">
                  <a14:compatExt spid="_x0000_s25701"/>
                </a:ext>
                <a:ext uri="{FF2B5EF4-FFF2-40B4-BE49-F238E27FC236}">
                  <a16:creationId xmlns:a16="http://schemas.microsoft.com/office/drawing/2014/main" id="{00000000-0008-0000-0100-000002000000}"/>
                </a:ext>
              </a:extLst>
            </xdr:cNvPr>
            <xdr:cNvSpPr txBox="1"/>
          </xdr:nvSpPr>
          <xdr:spPr>
            <a:xfrm>
              <a:off x="38330257" y="2249971"/>
              <a:ext cx="1038233" cy="440890"/>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r>
                      <a:rPr lang="en-US" i="1">
                        <a:solidFill>
                          <a:srgbClr val="000000"/>
                        </a:solidFill>
                        <a:latin typeface="Cambria Math" panose="02040503050406030204" pitchFamily="18" charset="0"/>
                      </a:rPr>
                      <m:t>𝐾𝑐</m:t>
                    </m:r>
                    <m:r>
                      <a:rPr lang="en-US" i="1">
                        <a:solidFill>
                          <a:srgbClr val="000000"/>
                        </a:solidFill>
                        <a:latin typeface="Cambria Math" panose="02040503050406030204" pitchFamily="18" charset="0"/>
                      </a:rPr>
                      <m:t>=0.28</m:t>
                    </m:r>
                    <m:f>
                      <m:fPr>
                        <m:ctrlPr>
                          <a:rPr lang="en-US" i="1">
                            <a:solidFill>
                              <a:srgbClr val="000000"/>
                            </a:solidFill>
                            <a:latin typeface="Cambria Math" panose="02040503050406030204" pitchFamily="18" charset="0"/>
                          </a:rPr>
                        </m:ctrlPr>
                      </m:fPr>
                      <m:num>
                        <m:r>
                          <a:rPr lang="en-US" i="1">
                            <a:solidFill>
                              <a:srgbClr val="000000"/>
                            </a:solidFill>
                            <a:latin typeface="Cambria Math" panose="02040503050406030204" pitchFamily="18" charset="0"/>
                          </a:rPr>
                          <m:t>𝑃</m:t>
                        </m:r>
                      </m:num>
                      <m:den>
                        <m:rad>
                          <m:radPr>
                            <m:degHide m:val="on"/>
                            <m:ctrlPr>
                              <a:rPr lang="en-US" i="1">
                                <a:solidFill>
                                  <a:srgbClr val="000000"/>
                                </a:solidFill>
                                <a:latin typeface="Cambria Math" panose="02040503050406030204" pitchFamily="18" charset="0"/>
                              </a:rPr>
                            </m:ctrlPr>
                          </m:radPr>
                          <m:deg/>
                          <m:e>
                            <m:r>
                              <a:rPr lang="en-US" i="1">
                                <a:solidFill>
                                  <a:srgbClr val="000000"/>
                                </a:solidFill>
                                <a:latin typeface="Cambria Math" panose="02040503050406030204" pitchFamily="18" charset="0"/>
                              </a:rPr>
                              <m:t>𝐴</m:t>
                            </m:r>
                          </m:e>
                        </m:rad>
                      </m:den>
                    </m:f>
                  </m:oMath>
                </m:oMathPara>
              </a14:m>
              <a:endParaRPr lang="en-US"/>
            </a:p>
          </xdr:txBody>
        </xdr:sp>
      </mc:Choice>
      <mc:Fallback xmlns="">
        <xdr:sp macro="" textlink="">
          <xdr:nvSpPr>
            <xdr:cNvPr id="2" name="Object 101">
              <a:extLst>
                <a:ext uri="{63B3BB69-23CF-44E3-9099-C40C66FF867C}">
                  <a14:compatExt xmlns:a14="http://schemas.microsoft.com/office/drawing/2010/main" spid="_x0000_s25701"/>
                </a:ext>
                <a:ext uri="{FF2B5EF4-FFF2-40B4-BE49-F238E27FC236}">
                  <a16:creationId xmlns:a16="http://schemas.microsoft.com/office/drawing/2014/main" id="{00000000-0008-0000-0100-000065640000}"/>
                </a:ext>
              </a:extLst>
            </xdr:cNvPr>
            <xdr:cNvSpPr txBox="1"/>
          </xdr:nvSpPr>
          <xdr:spPr>
            <a:xfrm>
              <a:off x="38330257" y="2249971"/>
              <a:ext cx="1038233" cy="440890"/>
            </a:xfrm>
            <a:prstGeom prst="rect">
              <a:avLst/>
            </a:prstGeom>
          </xdr:spPr>
          <xdr:txBody>
            <a:bodyPr vertOverflow="clip" horzOverflow="clip" wrap="none">
              <a:spAutoFit/>
            </a:bodyPr>
            <a:lstStyle/>
            <a:p>
              <a:pPr/>
              <a:r>
                <a:rPr lang="en-US" i="0">
                  <a:solidFill>
                    <a:srgbClr val="000000"/>
                  </a:solidFill>
                  <a:latin typeface="Cambria Math" panose="02040503050406030204" pitchFamily="18" charset="0"/>
                </a:rPr>
                <a:t>𝐾𝑐=0.2</a:t>
              </a:r>
              <a:r>
                <a:rPr lang="en-US" b="0" i="0">
                  <a:solidFill>
                    <a:srgbClr val="000000"/>
                  </a:solidFill>
                  <a:latin typeface="Cambria Math" panose="02040503050406030204" pitchFamily="18" charset="0"/>
                </a:rPr>
                <a:t>8</a:t>
              </a:r>
              <a:r>
                <a:rPr lang="en-US" i="0">
                  <a:solidFill>
                    <a:srgbClr val="000000"/>
                  </a:solidFill>
                  <a:latin typeface="Cambria Math" panose="02040503050406030204" pitchFamily="18" charset="0"/>
                </a:rPr>
                <a:t> 𝑃/√𝐴</a:t>
              </a:r>
              <a:endParaRPr lang="en-US"/>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absoluteAnchor>
    <xdr:pos x="0" y="0"/>
    <xdr:ext cx="12232105" cy="6291513"/>
    <xdr:graphicFrame macro="">
      <xdr:nvGraphicFramePr>
        <xdr:cNvPr id="2" name="Gráfico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oneCellAnchor>
    <xdr:from>
      <xdr:col>1</xdr:col>
      <xdr:colOff>790128</xdr:colOff>
      <xdr:row>7</xdr:row>
      <xdr:rowOff>130387</xdr:rowOff>
    </xdr:from>
    <xdr:ext cx="2661006" cy="2635012"/>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103" y="1597237"/>
          <a:ext cx="2661006" cy="263501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image" Target="../media/image3.emf"/><Relationship Id="rId18" Type="http://schemas.openxmlformats.org/officeDocument/2006/relationships/oleObject" Target="../embeddings/oleObject6.bin"/><Relationship Id="rId26" Type="http://schemas.openxmlformats.org/officeDocument/2006/relationships/oleObject" Target="../embeddings/oleObject10.bin"/><Relationship Id="rId21" Type="http://schemas.openxmlformats.org/officeDocument/2006/relationships/image" Target="../media/image7.emf"/><Relationship Id="rId34" Type="http://schemas.openxmlformats.org/officeDocument/2006/relationships/oleObject" Target="../embeddings/oleObject14.bin"/><Relationship Id="rId7" Type="http://schemas.openxmlformats.org/officeDocument/2006/relationships/vmlDrawing" Target="../drawings/vmlDrawing1.vml"/><Relationship Id="rId12" Type="http://schemas.openxmlformats.org/officeDocument/2006/relationships/oleObject" Target="../embeddings/oleObject3.bin"/><Relationship Id="rId17" Type="http://schemas.openxmlformats.org/officeDocument/2006/relationships/image" Target="../media/image5.emf"/><Relationship Id="rId25" Type="http://schemas.openxmlformats.org/officeDocument/2006/relationships/image" Target="../media/image9.emf"/><Relationship Id="rId33" Type="http://schemas.openxmlformats.org/officeDocument/2006/relationships/image" Target="../media/image13.emf"/><Relationship Id="rId2" Type="http://schemas.openxmlformats.org/officeDocument/2006/relationships/hyperlink" Target="https://www.aguaysig.com/2014/08/tiempo-de-concentracion-de-la-cuenca.html" TargetMode="External"/><Relationship Id="rId16" Type="http://schemas.openxmlformats.org/officeDocument/2006/relationships/oleObject" Target="../embeddings/oleObject5.bin"/><Relationship Id="rId20" Type="http://schemas.openxmlformats.org/officeDocument/2006/relationships/oleObject" Target="../embeddings/oleObject7.bin"/><Relationship Id="rId29" Type="http://schemas.openxmlformats.org/officeDocument/2006/relationships/image" Target="../media/image11.emf"/><Relationship Id="rId1" Type="http://schemas.openxmlformats.org/officeDocument/2006/relationships/hyperlink" Target="http://www.scielo.org.co/pdf/dyna/v78n165/a06v78n165.pdf" TargetMode="External"/><Relationship Id="rId6" Type="http://schemas.openxmlformats.org/officeDocument/2006/relationships/drawing" Target="../drawings/drawing1.xml"/><Relationship Id="rId11" Type="http://schemas.openxmlformats.org/officeDocument/2006/relationships/image" Target="../media/image2.emf"/><Relationship Id="rId24" Type="http://schemas.openxmlformats.org/officeDocument/2006/relationships/oleObject" Target="../embeddings/oleObject9.bin"/><Relationship Id="rId32" Type="http://schemas.openxmlformats.org/officeDocument/2006/relationships/oleObject" Target="../embeddings/oleObject13.bin"/><Relationship Id="rId37" Type="http://schemas.openxmlformats.org/officeDocument/2006/relationships/image" Target="../media/image15.emf"/><Relationship Id="rId5" Type="http://schemas.openxmlformats.org/officeDocument/2006/relationships/printerSettings" Target="../printerSettings/printerSettings1.bin"/><Relationship Id="rId15" Type="http://schemas.openxmlformats.org/officeDocument/2006/relationships/image" Target="../media/image4.emf"/><Relationship Id="rId23" Type="http://schemas.openxmlformats.org/officeDocument/2006/relationships/image" Target="../media/image8.emf"/><Relationship Id="rId28" Type="http://schemas.openxmlformats.org/officeDocument/2006/relationships/oleObject" Target="../embeddings/oleObject11.bin"/><Relationship Id="rId36" Type="http://schemas.openxmlformats.org/officeDocument/2006/relationships/oleObject" Target="../embeddings/oleObject15.bin"/><Relationship Id="rId10" Type="http://schemas.openxmlformats.org/officeDocument/2006/relationships/oleObject" Target="../embeddings/oleObject2.bin"/><Relationship Id="rId19" Type="http://schemas.openxmlformats.org/officeDocument/2006/relationships/image" Target="../media/image6.emf"/><Relationship Id="rId31" Type="http://schemas.openxmlformats.org/officeDocument/2006/relationships/image" Target="../media/image12.emf"/><Relationship Id="rId4" Type="http://schemas.openxmlformats.org/officeDocument/2006/relationships/hyperlink" Target="http://www.fca.uner.edu.ar/files/academica/deptos/catedras/riego/Archivos/Cap%2006%20-%20Escurrimiento%20Superficial.pdf" TargetMode="External"/><Relationship Id="rId9" Type="http://schemas.openxmlformats.org/officeDocument/2006/relationships/image" Target="../media/image1.emf"/><Relationship Id="rId14" Type="http://schemas.openxmlformats.org/officeDocument/2006/relationships/oleObject" Target="../embeddings/oleObject4.bin"/><Relationship Id="rId22" Type="http://schemas.openxmlformats.org/officeDocument/2006/relationships/oleObject" Target="../embeddings/oleObject8.bin"/><Relationship Id="rId27" Type="http://schemas.openxmlformats.org/officeDocument/2006/relationships/image" Target="../media/image10.emf"/><Relationship Id="rId30" Type="http://schemas.openxmlformats.org/officeDocument/2006/relationships/oleObject" Target="../embeddings/oleObject12.bin"/><Relationship Id="rId35" Type="http://schemas.openxmlformats.org/officeDocument/2006/relationships/image" Target="../media/image14.emf"/><Relationship Id="rId8" Type="http://schemas.openxmlformats.org/officeDocument/2006/relationships/oleObject" Target="../embeddings/oleObject1.bin"/><Relationship Id="rId3" Type="http://schemas.openxmlformats.org/officeDocument/2006/relationships/hyperlink" Target="http://ingenieriacivil.tutorialesaldia.com/algunos-parametros-de-forma-y-drenaje-de-la-cuenca-hidrografica-y-su-relacion-con-el-tiempo-de-concentracion/" TargetMode="External"/></Relationships>
</file>

<file path=xl/worksheets/_rels/sheet2.xml.rels><?xml version="1.0" encoding="UTF-8" standalone="yes"?>
<Relationships xmlns="http://schemas.openxmlformats.org/package/2006/relationships"><Relationship Id="rId13" Type="http://schemas.openxmlformats.org/officeDocument/2006/relationships/image" Target="../media/image25.emf"/><Relationship Id="rId18" Type="http://schemas.openxmlformats.org/officeDocument/2006/relationships/oleObject" Target="../embeddings/oleObject23.bin"/><Relationship Id="rId26" Type="http://schemas.openxmlformats.org/officeDocument/2006/relationships/oleObject" Target="../embeddings/oleObject27.bin"/><Relationship Id="rId3" Type="http://schemas.openxmlformats.org/officeDocument/2006/relationships/vmlDrawing" Target="../drawings/vmlDrawing2.vml"/><Relationship Id="rId21" Type="http://schemas.openxmlformats.org/officeDocument/2006/relationships/image" Target="../media/image28.emf"/><Relationship Id="rId34" Type="http://schemas.openxmlformats.org/officeDocument/2006/relationships/comments" Target="../comments1.xml"/><Relationship Id="rId7" Type="http://schemas.openxmlformats.org/officeDocument/2006/relationships/image" Target="../media/image23.emf"/><Relationship Id="rId12" Type="http://schemas.openxmlformats.org/officeDocument/2006/relationships/oleObject" Target="../embeddings/oleObject20.bin"/><Relationship Id="rId17" Type="http://schemas.openxmlformats.org/officeDocument/2006/relationships/image" Target="../media/image27.emf"/><Relationship Id="rId25" Type="http://schemas.openxmlformats.org/officeDocument/2006/relationships/image" Target="../media/image13.emf"/><Relationship Id="rId33" Type="http://schemas.openxmlformats.org/officeDocument/2006/relationships/image" Target="../media/image30.emf"/><Relationship Id="rId2" Type="http://schemas.openxmlformats.org/officeDocument/2006/relationships/drawing" Target="../drawings/drawing2.xml"/><Relationship Id="rId16" Type="http://schemas.openxmlformats.org/officeDocument/2006/relationships/oleObject" Target="../embeddings/oleObject22.bin"/><Relationship Id="rId20" Type="http://schemas.openxmlformats.org/officeDocument/2006/relationships/oleObject" Target="../embeddings/oleObject24.bin"/><Relationship Id="rId29" Type="http://schemas.openxmlformats.org/officeDocument/2006/relationships/image" Target="../media/image15.emf"/><Relationship Id="rId1" Type="http://schemas.openxmlformats.org/officeDocument/2006/relationships/printerSettings" Target="../printerSettings/printerSettings2.bin"/><Relationship Id="rId6" Type="http://schemas.openxmlformats.org/officeDocument/2006/relationships/oleObject" Target="../embeddings/oleObject17.bin"/><Relationship Id="rId11" Type="http://schemas.openxmlformats.org/officeDocument/2006/relationships/image" Target="../media/image24.emf"/><Relationship Id="rId24" Type="http://schemas.openxmlformats.org/officeDocument/2006/relationships/oleObject" Target="../embeddings/oleObject26.bin"/><Relationship Id="rId32" Type="http://schemas.openxmlformats.org/officeDocument/2006/relationships/oleObject" Target="../embeddings/oleObject30.bin"/><Relationship Id="rId5" Type="http://schemas.openxmlformats.org/officeDocument/2006/relationships/image" Target="../media/image22.emf"/><Relationship Id="rId15" Type="http://schemas.openxmlformats.org/officeDocument/2006/relationships/image" Target="../media/image26.emf"/><Relationship Id="rId23" Type="http://schemas.openxmlformats.org/officeDocument/2006/relationships/image" Target="../media/image10.emf"/><Relationship Id="rId28" Type="http://schemas.openxmlformats.org/officeDocument/2006/relationships/oleObject" Target="../embeddings/oleObject28.bin"/><Relationship Id="rId10" Type="http://schemas.openxmlformats.org/officeDocument/2006/relationships/oleObject" Target="../embeddings/oleObject19.bin"/><Relationship Id="rId19" Type="http://schemas.openxmlformats.org/officeDocument/2006/relationships/image" Target="../media/image1.emf"/><Relationship Id="rId31" Type="http://schemas.openxmlformats.org/officeDocument/2006/relationships/image" Target="../media/image29.emf"/><Relationship Id="rId4" Type="http://schemas.openxmlformats.org/officeDocument/2006/relationships/oleObject" Target="../embeddings/oleObject16.bin"/><Relationship Id="rId9" Type="http://schemas.openxmlformats.org/officeDocument/2006/relationships/image" Target="../media/image6.emf"/><Relationship Id="rId14" Type="http://schemas.openxmlformats.org/officeDocument/2006/relationships/oleObject" Target="../embeddings/oleObject21.bin"/><Relationship Id="rId22" Type="http://schemas.openxmlformats.org/officeDocument/2006/relationships/oleObject" Target="../embeddings/oleObject25.bin"/><Relationship Id="rId27" Type="http://schemas.openxmlformats.org/officeDocument/2006/relationships/image" Target="../media/image14.emf"/><Relationship Id="rId30" Type="http://schemas.openxmlformats.org/officeDocument/2006/relationships/oleObject" Target="../embeddings/oleObject29.bin"/><Relationship Id="rId8" Type="http://schemas.openxmlformats.org/officeDocument/2006/relationships/oleObject" Target="../embeddings/oleObject18.bin"/></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rcfdtools/R.HydroTools/wiki/License" TargetMode="External"/><Relationship Id="rId2" Type="http://schemas.openxmlformats.org/officeDocument/2006/relationships/hyperlink" Target="https://github.com/rcfdtools" TargetMode="External"/><Relationship Id="rId1" Type="http://schemas.openxmlformats.org/officeDocument/2006/relationships/hyperlink" Target="mailto:r.cfdtools@gmail.com"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CAABD-004E-402A-8973-A7753C1BA227}">
  <dimension ref="B2:D274"/>
  <sheetViews>
    <sheetView showGridLines="0" showRowColHeaders="0" zoomScale="130" zoomScaleNormal="130" workbookViewId="0"/>
  </sheetViews>
  <sheetFormatPr defaultColWidth="9.1328125" defaultRowHeight="16.5" x14ac:dyDescent="0.45"/>
  <cols>
    <col min="1" max="1" width="2.73046875" style="80" customWidth="1"/>
    <col min="2" max="2" width="16" style="80" customWidth="1"/>
    <col min="3" max="3" width="71.265625" style="80" customWidth="1"/>
    <col min="4" max="4" width="38.3984375" style="80" customWidth="1"/>
    <col min="5" max="5" width="2.73046875" style="80" customWidth="1"/>
    <col min="6" max="6" width="96.59765625" style="80" customWidth="1"/>
    <col min="7" max="16384" width="9.1328125" style="80"/>
  </cols>
  <sheetData>
    <row r="2" spans="2:4" x14ac:dyDescent="0.45">
      <c r="B2" s="137" t="s">
        <v>464</v>
      </c>
      <c r="C2" s="138"/>
      <c r="D2" s="139"/>
    </row>
    <row r="3" spans="2:4" x14ac:dyDescent="0.45">
      <c r="B3" s="140"/>
      <c r="C3" s="141"/>
      <c r="D3" s="142"/>
    </row>
    <row r="4" spans="2:4" x14ac:dyDescent="0.45">
      <c r="B4" s="140"/>
      <c r="C4" s="141"/>
      <c r="D4" s="142"/>
    </row>
    <row r="5" spans="2:4" x14ac:dyDescent="0.45">
      <c r="B5" s="140"/>
      <c r="C5" s="141"/>
      <c r="D5" s="142"/>
    </row>
    <row r="6" spans="2:4" x14ac:dyDescent="0.45">
      <c r="B6" s="140"/>
      <c r="C6" s="141"/>
      <c r="D6" s="142"/>
    </row>
    <row r="7" spans="2:4" ht="49.5" x14ac:dyDescent="0.45">
      <c r="B7" s="86" t="s">
        <v>121</v>
      </c>
      <c r="C7" s="9" t="s">
        <v>443</v>
      </c>
      <c r="D7" s="10"/>
    </row>
    <row r="8" spans="2:4" ht="49.5" x14ac:dyDescent="0.45">
      <c r="B8" s="86" t="s">
        <v>438</v>
      </c>
      <c r="C8" s="9" t="s">
        <v>482</v>
      </c>
      <c r="D8" s="10"/>
    </row>
    <row r="9" spans="2:4" ht="49.5" x14ac:dyDescent="0.45">
      <c r="B9" s="86" t="s">
        <v>433</v>
      </c>
      <c r="C9" s="9" t="s">
        <v>483</v>
      </c>
      <c r="D9" s="10"/>
    </row>
    <row r="10" spans="2:4" ht="49.5" x14ac:dyDescent="0.45">
      <c r="B10" s="86" t="s">
        <v>434</v>
      </c>
      <c r="C10" s="9" t="s">
        <v>484</v>
      </c>
      <c r="D10" s="10"/>
    </row>
    <row r="11" spans="2:4" ht="33" x14ac:dyDescent="0.45">
      <c r="B11" s="86" t="s">
        <v>444</v>
      </c>
      <c r="C11" s="9" t="s">
        <v>485</v>
      </c>
      <c r="D11" s="10"/>
    </row>
    <row r="12" spans="2:4" ht="49.5" x14ac:dyDescent="0.45">
      <c r="B12" s="86" t="s">
        <v>435</v>
      </c>
      <c r="C12" s="9" t="s">
        <v>445</v>
      </c>
      <c r="D12" s="10"/>
    </row>
    <row r="13" spans="2:4" ht="49.5" x14ac:dyDescent="0.45">
      <c r="B13" s="86" t="s">
        <v>436</v>
      </c>
      <c r="C13" s="9" t="s">
        <v>446</v>
      </c>
      <c r="D13" s="10"/>
    </row>
    <row r="14" spans="2:4" ht="66" x14ac:dyDescent="0.45">
      <c r="B14" s="87" t="s">
        <v>447</v>
      </c>
      <c r="C14" s="88" t="s">
        <v>448</v>
      </c>
      <c r="D14" s="11"/>
    </row>
    <row r="15" spans="2:4" x14ac:dyDescent="0.45">
      <c r="C15" s="1"/>
      <c r="D15" s="1"/>
    </row>
    <row r="16" spans="2:4" x14ac:dyDescent="0.45">
      <c r="B16" s="143" t="s">
        <v>465</v>
      </c>
      <c r="C16" s="144"/>
      <c r="D16" s="145"/>
    </row>
    <row r="17" spans="2:4" x14ac:dyDescent="0.45">
      <c r="B17" s="146"/>
      <c r="C17" s="147"/>
      <c r="D17" s="148"/>
    </row>
    <row r="18" spans="2:4" x14ac:dyDescent="0.45">
      <c r="B18" s="146"/>
      <c r="C18" s="147"/>
      <c r="D18" s="148"/>
    </row>
    <row r="19" spans="2:4" x14ac:dyDescent="0.45">
      <c r="B19" s="146"/>
      <c r="C19" s="147"/>
      <c r="D19" s="148"/>
    </row>
    <row r="20" spans="2:4" x14ac:dyDescent="0.45">
      <c r="B20" s="146"/>
      <c r="C20" s="147"/>
      <c r="D20" s="148"/>
    </row>
    <row r="21" spans="2:4" ht="33" x14ac:dyDescent="0.45">
      <c r="B21" s="89" t="s">
        <v>121</v>
      </c>
      <c r="C21" s="12" t="s">
        <v>486</v>
      </c>
      <c r="D21" s="13"/>
    </row>
    <row r="22" spans="2:4" ht="82.5" x14ac:dyDescent="0.45">
      <c r="B22" s="90" t="s">
        <v>121</v>
      </c>
      <c r="C22" s="91" t="s">
        <v>449</v>
      </c>
      <c r="D22" s="14"/>
    </row>
    <row r="23" spans="2:4" x14ac:dyDescent="0.45">
      <c r="C23" s="1"/>
      <c r="D23" s="1"/>
    </row>
    <row r="24" spans="2:4" x14ac:dyDescent="0.45">
      <c r="B24" s="143" t="s">
        <v>481</v>
      </c>
      <c r="C24" s="144"/>
      <c r="D24" s="145"/>
    </row>
    <row r="25" spans="2:4" x14ac:dyDescent="0.45">
      <c r="B25" s="146"/>
      <c r="C25" s="147"/>
      <c r="D25" s="148"/>
    </row>
    <row r="26" spans="2:4" x14ac:dyDescent="0.45">
      <c r="B26" s="146"/>
      <c r="C26" s="147"/>
      <c r="D26" s="148"/>
    </row>
    <row r="27" spans="2:4" x14ac:dyDescent="0.45">
      <c r="B27" s="146"/>
      <c r="C27" s="147"/>
      <c r="D27" s="148"/>
    </row>
    <row r="28" spans="2:4" x14ac:dyDescent="0.45">
      <c r="B28" s="146"/>
      <c r="C28" s="147"/>
      <c r="D28" s="148"/>
    </row>
    <row r="29" spans="2:4" ht="82.5" x14ac:dyDescent="0.45">
      <c r="B29" s="89" t="s">
        <v>450</v>
      </c>
      <c r="C29" s="12" t="s">
        <v>451</v>
      </c>
      <c r="D29" s="13"/>
    </row>
    <row r="30" spans="2:4" ht="148.5" x14ac:dyDescent="0.45">
      <c r="B30" s="89" t="s">
        <v>5</v>
      </c>
      <c r="C30" s="12" t="s">
        <v>452</v>
      </c>
      <c r="D30" s="13"/>
    </row>
    <row r="31" spans="2:4" ht="198" x14ac:dyDescent="0.45">
      <c r="B31" s="89" t="s">
        <v>68</v>
      </c>
      <c r="C31" s="12" t="s">
        <v>453</v>
      </c>
      <c r="D31" s="13"/>
    </row>
    <row r="32" spans="2:4" ht="66" x14ac:dyDescent="0.45">
      <c r="B32" s="90" t="s">
        <v>454</v>
      </c>
      <c r="C32" s="91" t="s">
        <v>455</v>
      </c>
      <c r="D32" s="14"/>
    </row>
    <row r="33" spans="2:4" x14ac:dyDescent="0.45">
      <c r="C33" s="1"/>
      <c r="D33" s="1"/>
    </row>
    <row r="34" spans="2:4" x14ac:dyDescent="0.45">
      <c r="B34" s="80" t="s">
        <v>487</v>
      </c>
      <c r="C34" s="1"/>
      <c r="D34" s="1"/>
    </row>
    <row r="35" spans="2:4" x14ac:dyDescent="0.45">
      <c r="B35" s="92" t="s">
        <v>456</v>
      </c>
      <c r="C35" s="1"/>
      <c r="D35" s="1"/>
    </row>
    <row r="36" spans="2:4" x14ac:dyDescent="0.45">
      <c r="B36" s="80" t="s">
        <v>457</v>
      </c>
      <c r="C36" s="1"/>
      <c r="D36" s="1"/>
    </row>
    <row r="37" spans="2:4" x14ac:dyDescent="0.45">
      <c r="B37" s="92" t="s">
        <v>458</v>
      </c>
      <c r="C37" s="1"/>
      <c r="D37" s="1"/>
    </row>
    <row r="38" spans="2:4" x14ac:dyDescent="0.45">
      <c r="B38" s="92" t="s">
        <v>459</v>
      </c>
      <c r="C38" s="1"/>
      <c r="D38" s="1"/>
    </row>
    <row r="39" spans="2:4" x14ac:dyDescent="0.45">
      <c r="B39" s="92" t="s">
        <v>460</v>
      </c>
      <c r="C39" s="1"/>
      <c r="D39" s="1"/>
    </row>
    <row r="40" spans="2:4" x14ac:dyDescent="0.45">
      <c r="C40" s="1"/>
      <c r="D40" s="1"/>
    </row>
    <row r="41" spans="2:4" x14ac:dyDescent="0.45">
      <c r="C41" s="1"/>
      <c r="D41" s="1"/>
    </row>
    <row r="42" spans="2:4" x14ac:dyDescent="0.45">
      <c r="C42" s="1"/>
      <c r="D42" s="1"/>
    </row>
    <row r="43" spans="2:4" x14ac:dyDescent="0.45">
      <c r="C43" s="1"/>
      <c r="D43" s="1"/>
    </row>
    <row r="44" spans="2:4" x14ac:dyDescent="0.45">
      <c r="C44" s="1"/>
      <c r="D44" s="1"/>
    </row>
    <row r="45" spans="2:4" x14ac:dyDescent="0.45">
      <c r="C45" s="1"/>
      <c r="D45" s="1"/>
    </row>
    <row r="46" spans="2:4" x14ac:dyDescent="0.45">
      <c r="C46" s="1"/>
      <c r="D46" s="1"/>
    </row>
    <row r="47" spans="2:4" x14ac:dyDescent="0.45">
      <c r="C47" s="1"/>
      <c r="D47" s="1"/>
    </row>
    <row r="48" spans="2:4" x14ac:dyDescent="0.45">
      <c r="C48" s="1"/>
      <c r="D48" s="1"/>
    </row>
    <row r="49" spans="3:4" x14ac:dyDescent="0.45">
      <c r="C49" s="1"/>
      <c r="D49" s="1"/>
    </row>
    <row r="50" spans="3:4" x14ac:dyDescent="0.45">
      <c r="C50" s="1"/>
      <c r="D50" s="1"/>
    </row>
    <row r="51" spans="3:4" x14ac:dyDescent="0.45">
      <c r="C51" s="1"/>
      <c r="D51" s="1"/>
    </row>
    <row r="52" spans="3:4" x14ac:dyDescent="0.45">
      <c r="C52" s="1"/>
      <c r="D52" s="1"/>
    </row>
    <row r="53" spans="3:4" x14ac:dyDescent="0.45">
      <c r="C53" s="1"/>
      <c r="D53" s="1"/>
    </row>
    <row r="54" spans="3:4" x14ac:dyDescent="0.45">
      <c r="C54" s="1"/>
      <c r="D54" s="1"/>
    </row>
    <row r="55" spans="3:4" x14ac:dyDescent="0.45">
      <c r="C55" s="1"/>
      <c r="D55" s="1"/>
    </row>
    <row r="56" spans="3:4" x14ac:dyDescent="0.45">
      <c r="C56" s="1"/>
      <c r="D56" s="1"/>
    </row>
    <row r="57" spans="3:4" x14ac:dyDescent="0.45">
      <c r="C57" s="1"/>
      <c r="D57" s="1"/>
    </row>
    <row r="58" spans="3:4" x14ac:dyDescent="0.45">
      <c r="C58" s="1"/>
      <c r="D58" s="1"/>
    </row>
    <row r="59" spans="3:4" x14ac:dyDescent="0.45">
      <c r="C59" s="1"/>
      <c r="D59" s="1"/>
    </row>
    <row r="60" spans="3:4" x14ac:dyDescent="0.45">
      <c r="C60" s="1"/>
      <c r="D60" s="1"/>
    </row>
    <row r="61" spans="3:4" x14ac:dyDescent="0.45">
      <c r="C61" s="1"/>
      <c r="D61" s="1"/>
    </row>
    <row r="62" spans="3:4" x14ac:dyDescent="0.45">
      <c r="C62" s="1"/>
      <c r="D62" s="1"/>
    </row>
    <row r="63" spans="3:4" x14ac:dyDescent="0.45">
      <c r="C63" s="1"/>
      <c r="D63" s="1"/>
    </row>
    <row r="64" spans="3:4" x14ac:dyDescent="0.45">
      <c r="C64" s="1"/>
      <c r="D64" s="1"/>
    </row>
    <row r="65" spans="3:4" x14ac:dyDescent="0.45">
      <c r="C65" s="1"/>
      <c r="D65" s="1"/>
    </row>
    <row r="66" spans="3:4" x14ac:dyDescent="0.45">
      <c r="C66" s="1"/>
      <c r="D66" s="1"/>
    </row>
    <row r="67" spans="3:4" x14ac:dyDescent="0.45">
      <c r="C67" s="1"/>
      <c r="D67" s="1"/>
    </row>
    <row r="68" spans="3:4" x14ac:dyDescent="0.45">
      <c r="C68" s="1"/>
      <c r="D68" s="1"/>
    </row>
    <row r="69" spans="3:4" x14ac:dyDescent="0.45">
      <c r="C69" s="1"/>
      <c r="D69" s="1"/>
    </row>
    <row r="70" spans="3:4" x14ac:dyDescent="0.45">
      <c r="C70" s="1"/>
      <c r="D70" s="1"/>
    </row>
    <row r="71" spans="3:4" x14ac:dyDescent="0.45">
      <c r="C71" s="1"/>
      <c r="D71" s="1"/>
    </row>
    <row r="72" spans="3:4" x14ac:dyDescent="0.45">
      <c r="C72" s="1"/>
      <c r="D72" s="1"/>
    </row>
    <row r="73" spans="3:4" x14ac:dyDescent="0.45">
      <c r="C73" s="1"/>
      <c r="D73" s="1"/>
    </row>
    <row r="74" spans="3:4" x14ac:dyDescent="0.45">
      <c r="C74" s="1"/>
      <c r="D74" s="1"/>
    </row>
    <row r="75" spans="3:4" x14ac:dyDescent="0.45">
      <c r="C75" s="1"/>
      <c r="D75" s="1"/>
    </row>
    <row r="76" spans="3:4" x14ac:dyDescent="0.45">
      <c r="C76" s="1"/>
      <c r="D76" s="1"/>
    </row>
    <row r="77" spans="3:4" x14ac:dyDescent="0.45">
      <c r="C77" s="1"/>
      <c r="D77" s="1"/>
    </row>
    <row r="78" spans="3:4" x14ac:dyDescent="0.45">
      <c r="C78" s="1"/>
      <c r="D78" s="1"/>
    </row>
    <row r="79" spans="3:4" x14ac:dyDescent="0.45">
      <c r="C79" s="1"/>
      <c r="D79" s="1"/>
    </row>
    <row r="80" spans="3:4" x14ac:dyDescent="0.45">
      <c r="C80" s="1"/>
      <c r="D80" s="1"/>
    </row>
    <row r="81" spans="3:4" x14ac:dyDescent="0.45">
      <c r="C81" s="1"/>
      <c r="D81" s="1"/>
    </row>
    <row r="82" spans="3:4" x14ac:dyDescent="0.45">
      <c r="C82" s="1"/>
      <c r="D82" s="1"/>
    </row>
    <row r="83" spans="3:4" x14ac:dyDescent="0.45">
      <c r="C83" s="1"/>
      <c r="D83" s="1"/>
    </row>
    <row r="84" spans="3:4" x14ac:dyDescent="0.45">
      <c r="C84" s="1"/>
      <c r="D84" s="1"/>
    </row>
    <row r="85" spans="3:4" x14ac:dyDescent="0.45">
      <c r="C85" s="1"/>
      <c r="D85" s="1"/>
    </row>
    <row r="86" spans="3:4" x14ac:dyDescent="0.45">
      <c r="C86" s="1"/>
      <c r="D86" s="1"/>
    </row>
    <row r="87" spans="3:4" x14ac:dyDescent="0.45">
      <c r="C87" s="1"/>
      <c r="D87" s="1"/>
    </row>
    <row r="88" spans="3:4" x14ac:dyDescent="0.45">
      <c r="C88" s="1"/>
      <c r="D88" s="1"/>
    </row>
    <row r="89" spans="3:4" x14ac:dyDescent="0.45">
      <c r="C89" s="1"/>
      <c r="D89" s="1"/>
    </row>
    <row r="90" spans="3:4" x14ac:dyDescent="0.45">
      <c r="C90" s="1"/>
      <c r="D90" s="1"/>
    </row>
    <row r="91" spans="3:4" x14ac:dyDescent="0.45">
      <c r="C91" s="1"/>
      <c r="D91" s="1"/>
    </row>
    <row r="92" spans="3:4" x14ac:dyDescent="0.45">
      <c r="C92" s="1"/>
      <c r="D92" s="1"/>
    </row>
    <row r="93" spans="3:4" x14ac:dyDescent="0.45">
      <c r="C93" s="1"/>
      <c r="D93" s="1"/>
    </row>
    <row r="94" spans="3:4" x14ac:dyDescent="0.45">
      <c r="C94" s="1"/>
      <c r="D94" s="1"/>
    </row>
    <row r="95" spans="3:4" x14ac:dyDescent="0.45">
      <c r="C95" s="1"/>
      <c r="D95" s="1"/>
    </row>
    <row r="96" spans="3:4" x14ac:dyDescent="0.45">
      <c r="C96" s="1"/>
      <c r="D96" s="1"/>
    </row>
    <row r="97" spans="3:4" x14ac:dyDescent="0.45">
      <c r="C97" s="1"/>
      <c r="D97" s="1"/>
    </row>
    <row r="98" spans="3:4" x14ac:dyDescent="0.45">
      <c r="C98" s="1"/>
      <c r="D98" s="1"/>
    </row>
    <row r="99" spans="3:4" x14ac:dyDescent="0.45">
      <c r="C99" s="1"/>
      <c r="D99" s="1"/>
    </row>
    <row r="100" spans="3:4" x14ac:dyDescent="0.45">
      <c r="C100" s="1"/>
      <c r="D100" s="1"/>
    </row>
    <row r="101" spans="3:4" x14ac:dyDescent="0.45">
      <c r="C101" s="1"/>
      <c r="D101" s="1"/>
    </row>
    <row r="102" spans="3:4" x14ac:dyDescent="0.45">
      <c r="C102" s="1"/>
      <c r="D102" s="1"/>
    </row>
    <row r="103" spans="3:4" x14ac:dyDescent="0.45">
      <c r="C103" s="1"/>
      <c r="D103" s="1"/>
    </row>
    <row r="104" spans="3:4" x14ac:dyDescent="0.45">
      <c r="C104" s="1"/>
      <c r="D104" s="1"/>
    </row>
    <row r="105" spans="3:4" x14ac:dyDescent="0.45">
      <c r="C105" s="1"/>
      <c r="D105" s="1"/>
    </row>
    <row r="106" spans="3:4" x14ac:dyDescent="0.45">
      <c r="C106" s="1"/>
      <c r="D106" s="1"/>
    </row>
    <row r="107" spans="3:4" x14ac:dyDescent="0.45">
      <c r="C107" s="1"/>
      <c r="D107" s="1"/>
    </row>
    <row r="108" spans="3:4" x14ac:dyDescent="0.45">
      <c r="C108" s="1"/>
      <c r="D108" s="1"/>
    </row>
    <row r="109" spans="3:4" x14ac:dyDescent="0.45">
      <c r="C109" s="1"/>
      <c r="D109" s="1"/>
    </row>
    <row r="110" spans="3:4" x14ac:dyDescent="0.45">
      <c r="C110" s="1"/>
      <c r="D110" s="1"/>
    </row>
    <row r="111" spans="3:4" x14ac:dyDescent="0.45">
      <c r="C111" s="1"/>
      <c r="D111" s="1"/>
    </row>
    <row r="112" spans="3:4" x14ac:dyDescent="0.45">
      <c r="C112" s="1"/>
      <c r="D112" s="1"/>
    </row>
    <row r="113" spans="3:4" x14ac:dyDescent="0.45">
      <c r="C113" s="1"/>
      <c r="D113" s="1"/>
    </row>
    <row r="114" spans="3:4" x14ac:dyDescent="0.45">
      <c r="C114" s="1"/>
      <c r="D114" s="1"/>
    </row>
    <row r="115" spans="3:4" x14ac:dyDescent="0.45">
      <c r="C115" s="1"/>
      <c r="D115" s="1"/>
    </row>
    <row r="116" spans="3:4" x14ac:dyDescent="0.45">
      <c r="C116" s="1"/>
      <c r="D116" s="1"/>
    </row>
    <row r="117" spans="3:4" x14ac:dyDescent="0.45">
      <c r="C117" s="1"/>
      <c r="D117" s="1"/>
    </row>
    <row r="118" spans="3:4" x14ac:dyDescent="0.45">
      <c r="C118" s="1"/>
      <c r="D118" s="1"/>
    </row>
    <row r="119" spans="3:4" x14ac:dyDescent="0.45">
      <c r="C119" s="1"/>
      <c r="D119" s="1"/>
    </row>
    <row r="120" spans="3:4" x14ac:dyDescent="0.45">
      <c r="C120" s="1"/>
      <c r="D120" s="1"/>
    </row>
    <row r="121" spans="3:4" x14ac:dyDescent="0.45">
      <c r="C121" s="1"/>
      <c r="D121" s="1"/>
    </row>
    <row r="122" spans="3:4" x14ac:dyDescent="0.45">
      <c r="C122" s="1"/>
      <c r="D122" s="1"/>
    </row>
    <row r="123" spans="3:4" x14ac:dyDescent="0.45">
      <c r="C123" s="1"/>
      <c r="D123" s="1"/>
    </row>
    <row r="124" spans="3:4" x14ac:dyDescent="0.45">
      <c r="C124" s="1"/>
      <c r="D124" s="1"/>
    </row>
    <row r="125" spans="3:4" x14ac:dyDescent="0.45">
      <c r="C125" s="1"/>
      <c r="D125" s="1"/>
    </row>
    <row r="126" spans="3:4" x14ac:dyDescent="0.45">
      <c r="C126" s="1"/>
      <c r="D126" s="1"/>
    </row>
    <row r="127" spans="3:4" x14ac:dyDescent="0.45">
      <c r="C127" s="1"/>
      <c r="D127" s="1"/>
    </row>
    <row r="128" spans="3:4" x14ac:dyDescent="0.45">
      <c r="C128" s="1"/>
      <c r="D128" s="1"/>
    </row>
    <row r="129" spans="3:4" x14ac:dyDescent="0.45">
      <c r="C129" s="1"/>
      <c r="D129" s="1"/>
    </row>
    <row r="130" spans="3:4" x14ac:dyDescent="0.45">
      <c r="C130" s="1"/>
      <c r="D130" s="1"/>
    </row>
    <row r="131" spans="3:4" x14ac:dyDescent="0.45">
      <c r="C131" s="1"/>
      <c r="D131" s="1"/>
    </row>
    <row r="132" spans="3:4" x14ac:dyDescent="0.45">
      <c r="C132" s="1"/>
      <c r="D132" s="1"/>
    </row>
    <row r="133" spans="3:4" x14ac:dyDescent="0.45">
      <c r="C133" s="1"/>
      <c r="D133" s="1"/>
    </row>
    <row r="134" spans="3:4" x14ac:dyDescent="0.45">
      <c r="C134" s="1"/>
      <c r="D134" s="1"/>
    </row>
    <row r="135" spans="3:4" x14ac:dyDescent="0.45">
      <c r="C135" s="1"/>
      <c r="D135" s="1"/>
    </row>
    <row r="136" spans="3:4" x14ac:dyDescent="0.45">
      <c r="C136" s="1"/>
      <c r="D136" s="1"/>
    </row>
    <row r="137" spans="3:4" x14ac:dyDescent="0.45">
      <c r="C137" s="1"/>
      <c r="D137" s="1"/>
    </row>
    <row r="138" spans="3:4" x14ac:dyDescent="0.45">
      <c r="C138" s="1"/>
      <c r="D138" s="1"/>
    </row>
    <row r="139" spans="3:4" x14ac:dyDescent="0.45">
      <c r="C139" s="1"/>
      <c r="D139" s="1"/>
    </row>
    <row r="140" spans="3:4" x14ac:dyDescent="0.45">
      <c r="C140" s="1"/>
      <c r="D140" s="1"/>
    </row>
    <row r="141" spans="3:4" x14ac:dyDescent="0.45">
      <c r="C141" s="1"/>
      <c r="D141" s="1"/>
    </row>
    <row r="142" spans="3:4" x14ac:dyDescent="0.45">
      <c r="C142" s="1"/>
      <c r="D142" s="1"/>
    </row>
    <row r="143" spans="3:4" x14ac:dyDescent="0.45">
      <c r="C143" s="93"/>
      <c r="D143" s="93"/>
    </row>
    <row r="144" spans="3:4" x14ac:dyDescent="0.45">
      <c r="C144" s="93"/>
      <c r="D144" s="93"/>
    </row>
    <row r="145" spans="3:4" x14ac:dyDescent="0.45">
      <c r="C145" s="93"/>
      <c r="D145" s="93"/>
    </row>
    <row r="146" spans="3:4" x14ac:dyDescent="0.45">
      <c r="C146" s="93"/>
      <c r="D146" s="93"/>
    </row>
    <row r="147" spans="3:4" x14ac:dyDescent="0.45">
      <c r="C147" s="93"/>
      <c r="D147" s="93"/>
    </row>
    <row r="148" spans="3:4" x14ac:dyDescent="0.45">
      <c r="C148" s="93"/>
      <c r="D148" s="93"/>
    </row>
    <row r="149" spans="3:4" x14ac:dyDescent="0.45">
      <c r="C149" s="93"/>
      <c r="D149" s="93"/>
    </row>
    <row r="150" spans="3:4" x14ac:dyDescent="0.45">
      <c r="C150" s="93"/>
      <c r="D150" s="93"/>
    </row>
    <row r="151" spans="3:4" x14ac:dyDescent="0.45">
      <c r="C151" s="93"/>
      <c r="D151" s="93"/>
    </row>
    <row r="152" spans="3:4" x14ac:dyDescent="0.45">
      <c r="C152" s="93"/>
      <c r="D152" s="93"/>
    </row>
    <row r="153" spans="3:4" x14ac:dyDescent="0.45">
      <c r="C153" s="93"/>
      <c r="D153" s="93"/>
    </row>
    <row r="154" spans="3:4" x14ac:dyDescent="0.45">
      <c r="C154" s="93"/>
      <c r="D154" s="93"/>
    </row>
    <row r="155" spans="3:4" x14ac:dyDescent="0.45">
      <c r="C155" s="93"/>
      <c r="D155" s="93"/>
    </row>
    <row r="156" spans="3:4" x14ac:dyDescent="0.45">
      <c r="C156" s="93"/>
      <c r="D156" s="93"/>
    </row>
    <row r="157" spans="3:4" x14ac:dyDescent="0.45">
      <c r="C157" s="93"/>
      <c r="D157" s="93"/>
    </row>
    <row r="158" spans="3:4" x14ac:dyDescent="0.45">
      <c r="C158" s="93"/>
      <c r="D158" s="93"/>
    </row>
    <row r="159" spans="3:4" x14ac:dyDescent="0.45">
      <c r="C159" s="93"/>
      <c r="D159" s="93"/>
    </row>
    <row r="160" spans="3:4" x14ac:dyDescent="0.45">
      <c r="C160" s="93"/>
      <c r="D160" s="93"/>
    </row>
    <row r="161" spans="3:4" x14ac:dyDescent="0.45">
      <c r="C161" s="93"/>
      <c r="D161" s="93"/>
    </row>
    <row r="162" spans="3:4" x14ac:dyDescent="0.45">
      <c r="C162" s="93"/>
      <c r="D162" s="93"/>
    </row>
    <row r="163" spans="3:4" x14ac:dyDescent="0.45">
      <c r="C163" s="93"/>
      <c r="D163" s="93"/>
    </row>
    <row r="164" spans="3:4" x14ac:dyDescent="0.45">
      <c r="C164" s="93"/>
      <c r="D164" s="93"/>
    </row>
    <row r="165" spans="3:4" x14ac:dyDescent="0.45">
      <c r="C165" s="93"/>
      <c r="D165" s="93"/>
    </row>
    <row r="166" spans="3:4" x14ac:dyDescent="0.45">
      <c r="C166" s="93"/>
      <c r="D166" s="93"/>
    </row>
    <row r="167" spans="3:4" x14ac:dyDescent="0.45">
      <c r="C167" s="93"/>
      <c r="D167" s="93"/>
    </row>
    <row r="168" spans="3:4" x14ac:dyDescent="0.45">
      <c r="C168" s="93"/>
      <c r="D168" s="93"/>
    </row>
    <row r="169" spans="3:4" x14ac:dyDescent="0.45">
      <c r="C169" s="93"/>
      <c r="D169" s="93"/>
    </row>
    <row r="170" spans="3:4" x14ac:dyDescent="0.45">
      <c r="C170" s="93"/>
      <c r="D170" s="93"/>
    </row>
    <row r="171" spans="3:4" x14ac:dyDescent="0.45">
      <c r="C171" s="93"/>
      <c r="D171" s="93"/>
    </row>
    <row r="172" spans="3:4" x14ac:dyDescent="0.45">
      <c r="C172" s="93"/>
      <c r="D172" s="93"/>
    </row>
    <row r="173" spans="3:4" x14ac:dyDescent="0.45">
      <c r="C173" s="93"/>
      <c r="D173" s="93"/>
    </row>
    <row r="174" spans="3:4" x14ac:dyDescent="0.45">
      <c r="C174" s="93"/>
      <c r="D174" s="93"/>
    </row>
    <row r="175" spans="3:4" x14ac:dyDescent="0.45">
      <c r="C175" s="93"/>
      <c r="D175" s="93"/>
    </row>
    <row r="176" spans="3:4" x14ac:dyDescent="0.45">
      <c r="C176" s="93"/>
      <c r="D176" s="93"/>
    </row>
    <row r="177" spans="3:4" x14ac:dyDescent="0.45">
      <c r="C177" s="93"/>
      <c r="D177" s="93"/>
    </row>
    <row r="178" spans="3:4" x14ac:dyDescent="0.45">
      <c r="C178" s="93"/>
      <c r="D178" s="93"/>
    </row>
    <row r="179" spans="3:4" x14ac:dyDescent="0.45">
      <c r="C179" s="93"/>
      <c r="D179" s="93"/>
    </row>
    <row r="180" spans="3:4" x14ac:dyDescent="0.45">
      <c r="C180" s="93"/>
      <c r="D180" s="93"/>
    </row>
    <row r="181" spans="3:4" x14ac:dyDescent="0.45">
      <c r="C181" s="93"/>
      <c r="D181" s="93"/>
    </row>
    <row r="182" spans="3:4" x14ac:dyDescent="0.45">
      <c r="C182" s="93"/>
      <c r="D182" s="93"/>
    </row>
    <row r="183" spans="3:4" x14ac:dyDescent="0.45">
      <c r="C183" s="93"/>
      <c r="D183" s="93"/>
    </row>
    <row r="184" spans="3:4" x14ac:dyDescent="0.45">
      <c r="C184" s="93"/>
      <c r="D184" s="93"/>
    </row>
    <row r="185" spans="3:4" x14ac:dyDescent="0.45">
      <c r="C185" s="93"/>
      <c r="D185" s="93"/>
    </row>
    <row r="186" spans="3:4" x14ac:dyDescent="0.45">
      <c r="C186" s="93"/>
      <c r="D186" s="93"/>
    </row>
    <row r="187" spans="3:4" x14ac:dyDescent="0.45">
      <c r="C187" s="93"/>
      <c r="D187" s="93"/>
    </row>
    <row r="188" spans="3:4" x14ac:dyDescent="0.45">
      <c r="C188" s="93"/>
      <c r="D188" s="93"/>
    </row>
    <row r="189" spans="3:4" x14ac:dyDescent="0.45">
      <c r="C189" s="93"/>
      <c r="D189" s="93"/>
    </row>
    <row r="190" spans="3:4" x14ac:dyDescent="0.45">
      <c r="C190" s="93"/>
      <c r="D190" s="93"/>
    </row>
    <row r="191" spans="3:4" x14ac:dyDescent="0.45">
      <c r="C191" s="93"/>
      <c r="D191" s="93"/>
    </row>
    <row r="192" spans="3:4" x14ac:dyDescent="0.45">
      <c r="C192" s="93"/>
      <c r="D192" s="93"/>
    </row>
    <row r="193" spans="3:4" x14ac:dyDescent="0.45">
      <c r="C193" s="93"/>
      <c r="D193" s="93"/>
    </row>
    <row r="194" spans="3:4" x14ac:dyDescent="0.45">
      <c r="C194" s="93"/>
      <c r="D194" s="93"/>
    </row>
    <row r="195" spans="3:4" x14ac:dyDescent="0.45">
      <c r="C195" s="93"/>
      <c r="D195" s="93"/>
    </row>
    <row r="196" spans="3:4" x14ac:dyDescent="0.45">
      <c r="C196" s="93"/>
      <c r="D196" s="93"/>
    </row>
    <row r="197" spans="3:4" x14ac:dyDescent="0.45">
      <c r="C197" s="93"/>
      <c r="D197" s="93"/>
    </row>
    <row r="198" spans="3:4" x14ac:dyDescent="0.45">
      <c r="C198" s="93"/>
      <c r="D198" s="93"/>
    </row>
    <row r="199" spans="3:4" x14ac:dyDescent="0.45">
      <c r="C199" s="93"/>
      <c r="D199" s="93"/>
    </row>
    <row r="200" spans="3:4" x14ac:dyDescent="0.45">
      <c r="C200" s="93"/>
      <c r="D200" s="93"/>
    </row>
    <row r="201" spans="3:4" x14ac:dyDescent="0.45">
      <c r="C201" s="93"/>
      <c r="D201" s="93"/>
    </row>
    <row r="202" spans="3:4" x14ac:dyDescent="0.45">
      <c r="C202" s="93"/>
      <c r="D202" s="93"/>
    </row>
    <row r="203" spans="3:4" x14ac:dyDescent="0.45">
      <c r="C203" s="93"/>
      <c r="D203" s="93"/>
    </row>
    <row r="204" spans="3:4" x14ac:dyDescent="0.45">
      <c r="C204" s="93"/>
      <c r="D204" s="93"/>
    </row>
    <row r="205" spans="3:4" x14ac:dyDescent="0.45">
      <c r="C205" s="93"/>
      <c r="D205" s="93"/>
    </row>
    <row r="206" spans="3:4" x14ac:dyDescent="0.45">
      <c r="C206" s="93"/>
      <c r="D206" s="93"/>
    </row>
    <row r="207" spans="3:4" x14ac:dyDescent="0.45">
      <c r="C207" s="93"/>
      <c r="D207" s="93"/>
    </row>
    <row r="208" spans="3:4" x14ac:dyDescent="0.45">
      <c r="C208" s="93"/>
      <c r="D208" s="93"/>
    </row>
    <row r="209" spans="3:4" x14ac:dyDescent="0.45">
      <c r="C209" s="93"/>
      <c r="D209" s="93"/>
    </row>
    <row r="210" spans="3:4" x14ac:dyDescent="0.45">
      <c r="C210" s="93"/>
      <c r="D210" s="93"/>
    </row>
    <row r="211" spans="3:4" x14ac:dyDescent="0.45">
      <c r="C211" s="93"/>
      <c r="D211" s="93"/>
    </row>
    <row r="212" spans="3:4" x14ac:dyDescent="0.45">
      <c r="C212" s="93"/>
      <c r="D212" s="93"/>
    </row>
    <row r="213" spans="3:4" x14ac:dyDescent="0.45">
      <c r="C213" s="93"/>
      <c r="D213" s="93"/>
    </row>
    <row r="214" spans="3:4" x14ac:dyDescent="0.45">
      <c r="C214" s="93"/>
      <c r="D214" s="93"/>
    </row>
    <row r="215" spans="3:4" x14ac:dyDescent="0.45">
      <c r="C215" s="93"/>
      <c r="D215" s="93"/>
    </row>
    <row r="216" spans="3:4" x14ac:dyDescent="0.45">
      <c r="C216" s="93"/>
      <c r="D216" s="93"/>
    </row>
    <row r="217" spans="3:4" x14ac:dyDescent="0.45">
      <c r="C217" s="93"/>
      <c r="D217" s="93"/>
    </row>
    <row r="218" spans="3:4" x14ac:dyDescent="0.45">
      <c r="C218" s="93"/>
      <c r="D218" s="93"/>
    </row>
    <row r="219" spans="3:4" x14ac:dyDescent="0.45">
      <c r="C219" s="93"/>
      <c r="D219" s="93"/>
    </row>
    <row r="220" spans="3:4" x14ac:dyDescent="0.45">
      <c r="C220" s="93"/>
      <c r="D220" s="93"/>
    </row>
    <row r="221" spans="3:4" x14ac:dyDescent="0.45">
      <c r="C221" s="93"/>
      <c r="D221" s="93"/>
    </row>
    <row r="222" spans="3:4" x14ac:dyDescent="0.45">
      <c r="C222" s="93"/>
      <c r="D222" s="93"/>
    </row>
    <row r="223" spans="3:4" x14ac:dyDescent="0.45">
      <c r="C223" s="93"/>
      <c r="D223" s="93"/>
    </row>
    <row r="224" spans="3:4" x14ac:dyDescent="0.45">
      <c r="C224" s="93"/>
      <c r="D224" s="93"/>
    </row>
    <row r="225" spans="3:4" x14ac:dyDescent="0.45">
      <c r="C225" s="93"/>
      <c r="D225" s="93"/>
    </row>
    <row r="226" spans="3:4" x14ac:dyDescent="0.45">
      <c r="C226" s="93"/>
      <c r="D226" s="93"/>
    </row>
    <row r="227" spans="3:4" x14ac:dyDescent="0.45">
      <c r="C227" s="93"/>
      <c r="D227" s="93"/>
    </row>
    <row r="228" spans="3:4" x14ac:dyDescent="0.45">
      <c r="C228" s="93"/>
      <c r="D228" s="93"/>
    </row>
    <row r="229" spans="3:4" x14ac:dyDescent="0.45">
      <c r="C229" s="93"/>
      <c r="D229" s="93"/>
    </row>
    <row r="230" spans="3:4" x14ac:dyDescent="0.45">
      <c r="C230" s="93"/>
      <c r="D230" s="93"/>
    </row>
    <row r="231" spans="3:4" x14ac:dyDescent="0.45">
      <c r="C231" s="93"/>
      <c r="D231" s="93"/>
    </row>
    <row r="232" spans="3:4" x14ac:dyDescent="0.45">
      <c r="C232" s="93"/>
      <c r="D232" s="93"/>
    </row>
    <row r="233" spans="3:4" x14ac:dyDescent="0.45">
      <c r="C233" s="93"/>
      <c r="D233" s="93"/>
    </row>
    <row r="234" spans="3:4" x14ac:dyDescent="0.45">
      <c r="C234" s="93"/>
      <c r="D234" s="93"/>
    </row>
    <row r="235" spans="3:4" x14ac:dyDescent="0.45">
      <c r="C235" s="93"/>
      <c r="D235" s="93"/>
    </row>
    <row r="236" spans="3:4" x14ac:dyDescent="0.45">
      <c r="C236" s="93"/>
      <c r="D236" s="93"/>
    </row>
    <row r="237" spans="3:4" x14ac:dyDescent="0.45">
      <c r="C237" s="93"/>
      <c r="D237" s="93"/>
    </row>
    <row r="238" spans="3:4" x14ac:dyDescent="0.45">
      <c r="C238" s="93"/>
      <c r="D238" s="93"/>
    </row>
    <row r="239" spans="3:4" x14ac:dyDescent="0.45">
      <c r="C239" s="93"/>
      <c r="D239" s="93"/>
    </row>
    <row r="240" spans="3:4" x14ac:dyDescent="0.45">
      <c r="C240" s="93"/>
      <c r="D240" s="93"/>
    </row>
    <row r="241" spans="3:4" x14ac:dyDescent="0.45">
      <c r="C241" s="93"/>
      <c r="D241" s="93"/>
    </row>
    <row r="242" spans="3:4" x14ac:dyDescent="0.45">
      <c r="C242" s="93"/>
      <c r="D242" s="93"/>
    </row>
    <row r="243" spans="3:4" x14ac:dyDescent="0.45">
      <c r="C243" s="93"/>
      <c r="D243" s="93"/>
    </row>
    <row r="244" spans="3:4" x14ac:dyDescent="0.45">
      <c r="C244" s="93"/>
      <c r="D244" s="93"/>
    </row>
    <row r="245" spans="3:4" x14ac:dyDescent="0.45">
      <c r="C245" s="93"/>
      <c r="D245" s="93"/>
    </row>
    <row r="246" spans="3:4" x14ac:dyDescent="0.45">
      <c r="C246" s="93"/>
      <c r="D246" s="93"/>
    </row>
    <row r="247" spans="3:4" x14ac:dyDescent="0.45">
      <c r="C247" s="93"/>
      <c r="D247" s="93"/>
    </row>
    <row r="248" spans="3:4" x14ac:dyDescent="0.45">
      <c r="C248" s="93"/>
      <c r="D248" s="93"/>
    </row>
    <row r="249" spans="3:4" x14ac:dyDescent="0.45">
      <c r="C249" s="93"/>
      <c r="D249" s="93"/>
    </row>
    <row r="250" spans="3:4" x14ac:dyDescent="0.45">
      <c r="C250" s="93"/>
      <c r="D250" s="93"/>
    </row>
    <row r="251" spans="3:4" x14ac:dyDescent="0.45">
      <c r="C251" s="93"/>
      <c r="D251" s="93"/>
    </row>
    <row r="252" spans="3:4" x14ac:dyDescent="0.45">
      <c r="C252" s="93"/>
      <c r="D252" s="93"/>
    </row>
    <row r="253" spans="3:4" x14ac:dyDescent="0.45">
      <c r="C253" s="93"/>
      <c r="D253" s="93"/>
    </row>
    <row r="254" spans="3:4" x14ac:dyDescent="0.45">
      <c r="C254" s="93"/>
      <c r="D254" s="93"/>
    </row>
    <row r="255" spans="3:4" x14ac:dyDescent="0.45">
      <c r="C255" s="93"/>
      <c r="D255" s="93"/>
    </row>
    <row r="256" spans="3:4" x14ac:dyDescent="0.45">
      <c r="C256" s="93"/>
      <c r="D256" s="93"/>
    </row>
    <row r="257" spans="3:4" x14ac:dyDescent="0.45">
      <c r="C257" s="93"/>
      <c r="D257" s="93"/>
    </row>
    <row r="258" spans="3:4" x14ac:dyDescent="0.45">
      <c r="C258" s="93"/>
      <c r="D258" s="93"/>
    </row>
    <row r="259" spans="3:4" x14ac:dyDescent="0.45">
      <c r="C259" s="93"/>
      <c r="D259" s="93"/>
    </row>
    <row r="260" spans="3:4" x14ac:dyDescent="0.45">
      <c r="C260" s="93"/>
      <c r="D260" s="93"/>
    </row>
    <row r="261" spans="3:4" x14ac:dyDescent="0.45">
      <c r="C261" s="93"/>
      <c r="D261" s="93"/>
    </row>
    <row r="262" spans="3:4" x14ac:dyDescent="0.45">
      <c r="C262" s="93"/>
      <c r="D262" s="93"/>
    </row>
    <row r="263" spans="3:4" x14ac:dyDescent="0.45">
      <c r="C263" s="93"/>
      <c r="D263" s="93"/>
    </row>
    <row r="264" spans="3:4" x14ac:dyDescent="0.45">
      <c r="C264" s="93"/>
      <c r="D264" s="93"/>
    </row>
    <row r="265" spans="3:4" x14ac:dyDescent="0.45">
      <c r="C265" s="93"/>
      <c r="D265" s="93"/>
    </row>
    <row r="266" spans="3:4" x14ac:dyDescent="0.45">
      <c r="C266" s="93"/>
      <c r="D266" s="93"/>
    </row>
    <row r="267" spans="3:4" x14ac:dyDescent="0.45">
      <c r="C267" s="93"/>
      <c r="D267" s="93"/>
    </row>
    <row r="268" spans="3:4" x14ac:dyDescent="0.45">
      <c r="C268" s="93"/>
      <c r="D268" s="93"/>
    </row>
    <row r="269" spans="3:4" x14ac:dyDescent="0.45">
      <c r="C269" s="93"/>
      <c r="D269" s="93"/>
    </row>
    <row r="270" spans="3:4" x14ac:dyDescent="0.45">
      <c r="C270" s="93"/>
      <c r="D270" s="93"/>
    </row>
    <row r="271" spans="3:4" x14ac:dyDescent="0.45">
      <c r="C271" s="93"/>
      <c r="D271" s="93"/>
    </row>
    <row r="272" spans="3:4" x14ac:dyDescent="0.45">
      <c r="C272" s="93"/>
      <c r="D272" s="93"/>
    </row>
    <row r="273" spans="3:4" x14ac:dyDescent="0.45">
      <c r="C273" s="93"/>
      <c r="D273" s="93"/>
    </row>
    <row r="274" spans="3:4" x14ac:dyDescent="0.45">
      <c r="C274" s="93"/>
      <c r="D274" s="93"/>
    </row>
  </sheetData>
  <sheetProtection algorithmName="SHA-512" hashValue="s/Y35ygH899+PA0uAJaOBnhazKBLxI8wkgjw4NC3tNXhFK/9hJlbiYx6OeXBvV9ztPwURFjn5sgO09NWrxOaiw==" saltValue="ZTVkEE7Iitf3v15SATENBA==" spinCount="100000" sheet="1" objects="1" scenarios="1"/>
  <mergeCells count="3">
    <mergeCell ref="B2:D6"/>
    <mergeCell ref="B16:D20"/>
    <mergeCell ref="B24:D28"/>
  </mergeCells>
  <hyperlinks>
    <hyperlink ref="B35" r:id="rId1" xr:uid="{3D78DE8C-F5DC-4269-8CD6-1298F324E104}"/>
    <hyperlink ref="B37" r:id="rId2" xr:uid="{70B1804C-9946-4403-823D-FC9E7870E44B}"/>
    <hyperlink ref="B38" r:id="rId3" xr:uid="{F8D0D953-F83C-4508-9C4D-68F845B8EB5B}"/>
    <hyperlink ref="B39" r:id="rId4" location="targetText=%2D%20Tiempo%20de%20Retardo%20%3D%20tiempo%20que,gravedad%20del%20Hidrograma%20de%20caudales.&amp;targetText=A%20partir%20de%20ese%20momento,2." display="http://www.fca.uner.edu.ar/files/academica/deptos/catedras/riego/Archivos/Cap%2006%20-%20Escurrimiento%20Superficial.pdf#targetText=%2D%20Tiempo%20de%20Retardo%20%3D%20tiempo%20que,gravedad%20del%20Hidrograma%20de%20caudales.&amp;targetText=A%20partir%20de%20ese%20momento,2." xr:uid="{CCC01F3D-BB65-4D36-9EBF-5F8B3AB2EE9C}"/>
  </hyperlinks>
  <pageMargins left="0.7" right="0.7" top="0.75" bottom="0.75" header="0.3" footer="0.3"/>
  <pageSetup orientation="portrait" r:id="rId5"/>
  <drawing r:id="rId6"/>
  <legacyDrawing r:id="rId7"/>
  <oleObjects>
    <mc:AlternateContent xmlns:mc="http://schemas.openxmlformats.org/markup-compatibility/2006">
      <mc:Choice Requires="x14">
        <oleObject progId="Equation.DSMT4" shapeId="30721" r:id="rId8">
          <objectPr defaultSize="0" autoPict="0" r:id="rId9">
            <anchor moveWithCells="1">
              <from>
                <xdr:col>3</xdr:col>
                <xdr:colOff>161925</xdr:colOff>
                <xdr:row>6</xdr:row>
                <xdr:rowOff>142875</xdr:rowOff>
              </from>
              <to>
                <xdr:col>3</xdr:col>
                <xdr:colOff>2400300</xdr:colOff>
                <xdr:row>6</xdr:row>
                <xdr:rowOff>609600</xdr:rowOff>
              </to>
            </anchor>
          </objectPr>
        </oleObject>
      </mc:Choice>
      <mc:Fallback>
        <oleObject progId="Equation.DSMT4" shapeId="30721" r:id="rId8"/>
      </mc:Fallback>
    </mc:AlternateContent>
    <mc:AlternateContent xmlns:mc="http://schemas.openxmlformats.org/markup-compatibility/2006">
      <mc:Choice Requires="x14">
        <oleObject progId="Equation.DSMT4" shapeId="30722" r:id="rId10">
          <objectPr defaultSize="0" autoPict="0" r:id="rId11">
            <anchor moveWithCells="1">
              <from>
                <xdr:col>3</xdr:col>
                <xdr:colOff>733425</xdr:colOff>
                <xdr:row>10</xdr:row>
                <xdr:rowOff>104775</xdr:rowOff>
              </from>
              <to>
                <xdr:col>3</xdr:col>
                <xdr:colOff>1638300</xdr:colOff>
                <xdr:row>10</xdr:row>
                <xdr:rowOff>304800</xdr:rowOff>
              </to>
            </anchor>
          </objectPr>
        </oleObject>
      </mc:Choice>
      <mc:Fallback>
        <oleObject progId="Equation.DSMT4" shapeId="30722" r:id="rId10"/>
      </mc:Fallback>
    </mc:AlternateContent>
    <mc:AlternateContent xmlns:mc="http://schemas.openxmlformats.org/markup-compatibility/2006">
      <mc:Choice Requires="x14">
        <oleObject progId="Equation.DSMT4" shapeId="30723" r:id="rId12">
          <objectPr defaultSize="0" autoPict="0" r:id="rId13">
            <anchor moveWithCells="1">
              <from>
                <xdr:col>3</xdr:col>
                <xdr:colOff>666750</xdr:colOff>
                <xdr:row>8</xdr:row>
                <xdr:rowOff>95250</xdr:rowOff>
              </from>
              <to>
                <xdr:col>3</xdr:col>
                <xdr:colOff>1838325</xdr:colOff>
                <xdr:row>8</xdr:row>
                <xdr:rowOff>561975</xdr:rowOff>
              </to>
            </anchor>
          </objectPr>
        </oleObject>
      </mc:Choice>
      <mc:Fallback>
        <oleObject progId="Equation.DSMT4" shapeId="30723" r:id="rId12"/>
      </mc:Fallback>
    </mc:AlternateContent>
    <mc:AlternateContent xmlns:mc="http://schemas.openxmlformats.org/markup-compatibility/2006">
      <mc:Choice Requires="x14">
        <oleObject progId="Equation.DSMT4" shapeId="30724" r:id="rId14">
          <objectPr defaultSize="0" autoPict="0" r:id="rId15">
            <anchor moveWithCells="1">
              <from>
                <xdr:col>3</xdr:col>
                <xdr:colOff>495300</xdr:colOff>
                <xdr:row>11</xdr:row>
                <xdr:rowOff>76200</xdr:rowOff>
              </from>
              <to>
                <xdr:col>3</xdr:col>
                <xdr:colOff>1685925</xdr:colOff>
                <xdr:row>11</xdr:row>
                <xdr:rowOff>571500</xdr:rowOff>
              </to>
            </anchor>
          </objectPr>
        </oleObject>
      </mc:Choice>
      <mc:Fallback>
        <oleObject progId="Equation.DSMT4" shapeId="30724" r:id="rId14"/>
      </mc:Fallback>
    </mc:AlternateContent>
    <mc:AlternateContent xmlns:mc="http://schemas.openxmlformats.org/markup-compatibility/2006">
      <mc:Choice Requires="x14">
        <oleObject progId="Equation.DSMT4" shapeId="30725" r:id="rId16">
          <objectPr defaultSize="0" r:id="rId17">
            <anchor moveWithCells="1">
              <from>
                <xdr:col>3</xdr:col>
                <xdr:colOff>161925</xdr:colOff>
                <xdr:row>12</xdr:row>
                <xdr:rowOff>219075</xdr:rowOff>
              </from>
              <to>
                <xdr:col>3</xdr:col>
                <xdr:colOff>2133600</xdr:colOff>
                <xdr:row>12</xdr:row>
                <xdr:rowOff>419100</xdr:rowOff>
              </to>
            </anchor>
          </objectPr>
        </oleObject>
      </mc:Choice>
      <mc:Fallback>
        <oleObject progId="Equation.DSMT4" shapeId="30725" r:id="rId16"/>
      </mc:Fallback>
    </mc:AlternateContent>
    <mc:AlternateContent xmlns:mc="http://schemas.openxmlformats.org/markup-compatibility/2006">
      <mc:Choice Requires="x14">
        <oleObject progId="Equation.DSMT4" shapeId="30726" r:id="rId18">
          <objectPr defaultSize="0" r:id="rId19">
            <anchor moveWithCells="1">
              <from>
                <xdr:col>3</xdr:col>
                <xdr:colOff>485775</xdr:colOff>
                <xdr:row>13</xdr:row>
                <xdr:rowOff>142875</xdr:rowOff>
              </from>
              <to>
                <xdr:col>3</xdr:col>
                <xdr:colOff>1866900</xdr:colOff>
                <xdr:row>13</xdr:row>
                <xdr:rowOff>638175</xdr:rowOff>
              </to>
            </anchor>
          </objectPr>
        </oleObject>
      </mc:Choice>
      <mc:Fallback>
        <oleObject progId="Equation.DSMT4" shapeId="30726" r:id="rId18"/>
      </mc:Fallback>
    </mc:AlternateContent>
    <mc:AlternateContent xmlns:mc="http://schemas.openxmlformats.org/markup-compatibility/2006">
      <mc:Choice Requires="x14">
        <oleObject progId="Equation.DSMT4" shapeId="30727" r:id="rId20">
          <objectPr defaultSize="0" autoPict="0" r:id="rId21">
            <anchor moveWithCells="1">
              <from>
                <xdr:col>3</xdr:col>
                <xdr:colOff>552450</xdr:colOff>
                <xdr:row>7</xdr:row>
                <xdr:rowOff>66675</xdr:rowOff>
              </from>
              <to>
                <xdr:col>3</xdr:col>
                <xdr:colOff>1933575</xdr:colOff>
                <xdr:row>7</xdr:row>
                <xdr:rowOff>581025</xdr:rowOff>
              </to>
            </anchor>
          </objectPr>
        </oleObject>
      </mc:Choice>
      <mc:Fallback>
        <oleObject progId="Equation.DSMT4" shapeId="30727" r:id="rId20"/>
      </mc:Fallback>
    </mc:AlternateContent>
    <mc:AlternateContent xmlns:mc="http://schemas.openxmlformats.org/markup-compatibility/2006">
      <mc:Choice Requires="x14">
        <oleObject progId="Equation.DSMT4" shapeId="30728" r:id="rId22">
          <objectPr defaultSize="0" autoPict="0" r:id="rId23">
            <anchor moveWithCells="1">
              <from>
                <xdr:col>3</xdr:col>
                <xdr:colOff>419100</xdr:colOff>
                <xdr:row>9</xdr:row>
                <xdr:rowOff>47625</xdr:rowOff>
              </from>
              <to>
                <xdr:col>3</xdr:col>
                <xdr:colOff>1895475</xdr:colOff>
                <xdr:row>9</xdr:row>
                <xdr:rowOff>561975</xdr:rowOff>
              </to>
            </anchor>
          </objectPr>
        </oleObject>
      </mc:Choice>
      <mc:Fallback>
        <oleObject progId="Equation.DSMT4" shapeId="30728" r:id="rId22"/>
      </mc:Fallback>
    </mc:AlternateContent>
    <mc:AlternateContent xmlns:mc="http://schemas.openxmlformats.org/markup-compatibility/2006">
      <mc:Choice Requires="x14">
        <oleObject progId="Equation.DSMT4" shapeId="30729" r:id="rId24">
          <objectPr defaultSize="0" autoPict="0" r:id="rId25">
            <anchor moveWithCells="1">
              <from>
                <xdr:col>3</xdr:col>
                <xdr:colOff>790575</xdr:colOff>
                <xdr:row>20</xdr:row>
                <xdr:rowOff>114300</xdr:rowOff>
              </from>
              <to>
                <xdr:col>3</xdr:col>
                <xdr:colOff>1543050</xdr:colOff>
                <xdr:row>20</xdr:row>
                <xdr:rowOff>352425</xdr:rowOff>
              </to>
            </anchor>
          </objectPr>
        </oleObject>
      </mc:Choice>
      <mc:Fallback>
        <oleObject progId="Equation.DSMT4" shapeId="30729" r:id="rId24"/>
      </mc:Fallback>
    </mc:AlternateContent>
    <mc:AlternateContent xmlns:mc="http://schemas.openxmlformats.org/markup-compatibility/2006">
      <mc:Choice Requires="x14">
        <oleObject progId="Equation.DSMT4" shapeId="30730" r:id="rId26">
          <objectPr defaultSize="0" autoPict="0" r:id="rId27">
            <anchor moveWithCells="1">
              <from>
                <xdr:col>3</xdr:col>
                <xdr:colOff>66675</xdr:colOff>
                <xdr:row>21</xdr:row>
                <xdr:rowOff>209550</xdr:rowOff>
              </from>
              <to>
                <xdr:col>3</xdr:col>
                <xdr:colOff>1447800</xdr:colOff>
                <xdr:row>21</xdr:row>
                <xdr:rowOff>828675</xdr:rowOff>
              </to>
            </anchor>
          </objectPr>
        </oleObject>
      </mc:Choice>
      <mc:Fallback>
        <oleObject progId="Equation.DSMT4" shapeId="30730" r:id="rId26"/>
      </mc:Fallback>
    </mc:AlternateContent>
    <mc:AlternateContent xmlns:mc="http://schemas.openxmlformats.org/markup-compatibility/2006">
      <mc:Choice Requires="x14">
        <oleObject progId="Equation.DSMT4" shapeId="30731" r:id="rId28">
          <objectPr defaultSize="0" autoPict="0" r:id="rId29">
            <anchor moveWithCells="1">
              <from>
                <xdr:col>3</xdr:col>
                <xdr:colOff>1657350</xdr:colOff>
                <xdr:row>21</xdr:row>
                <xdr:rowOff>295275</xdr:rowOff>
              </from>
              <to>
                <xdr:col>3</xdr:col>
                <xdr:colOff>2457450</xdr:colOff>
                <xdr:row>21</xdr:row>
                <xdr:rowOff>685800</xdr:rowOff>
              </to>
            </anchor>
          </objectPr>
        </oleObject>
      </mc:Choice>
      <mc:Fallback>
        <oleObject progId="Equation.DSMT4" shapeId="30731" r:id="rId28"/>
      </mc:Fallback>
    </mc:AlternateContent>
    <mc:AlternateContent xmlns:mc="http://schemas.openxmlformats.org/markup-compatibility/2006">
      <mc:Choice Requires="x14">
        <oleObject progId="Equation.DSMT4" shapeId="30732" r:id="rId30">
          <objectPr defaultSize="0" autoPict="0" r:id="rId31">
            <anchor moveWithCells="1">
              <from>
                <xdr:col>3</xdr:col>
                <xdr:colOff>704850</xdr:colOff>
                <xdr:row>28</xdr:row>
                <xdr:rowOff>361950</xdr:rowOff>
              </from>
              <to>
                <xdr:col>3</xdr:col>
                <xdr:colOff>1657350</xdr:colOff>
                <xdr:row>28</xdr:row>
                <xdr:rowOff>809625</xdr:rowOff>
              </to>
            </anchor>
          </objectPr>
        </oleObject>
      </mc:Choice>
      <mc:Fallback>
        <oleObject progId="Equation.DSMT4" shapeId="30732" r:id="rId30"/>
      </mc:Fallback>
    </mc:AlternateContent>
    <mc:AlternateContent xmlns:mc="http://schemas.openxmlformats.org/markup-compatibility/2006">
      <mc:Choice Requires="x14">
        <oleObject progId="Equation.DSMT4" shapeId="30733" r:id="rId32">
          <objectPr defaultSize="0" r:id="rId33">
            <anchor moveWithCells="1">
              <from>
                <xdr:col>3</xdr:col>
                <xdr:colOff>619125</xdr:colOff>
                <xdr:row>29</xdr:row>
                <xdr:rowOff>752475</xdr:rowOff>
              </from>
              <to>
                <xdr:col>3</xdr:col>
                <xdr:colOff>1657350</xdr:colOff>
                <xdr:row>29</xdr:row>
                <xdr:rowOff>1171575</xdr:rowOff>
              </to>
            </anchor>
          </objectPr>
        </oleObject>
      </mc:Choice>
      <mc:Fallback>
        <oleObject progId="Equation.DSMT4" shapeId="30733" r:id="rId32"/>
      </mc:Fallback>
    </mc:AlternateContent>
    <mc:AlternateContent xmlns:mc="http://schemas.openxmlformats.org/markup-compatibility/2006">
      <mc:Choice Requires="x14">
        <oleObject progId="Equation.DSMT4" shapeId="30734" r:id="rId34">
          <objectPr defaultSize="0" r:id="rId35">
            <anchor moveWithCells="1">
              <from>
                <xdr:col>3</xdr:col>
                <xdr:colOff>714375</xdr:colOff>
                <xdr:row>30</xdr:row>
                <xdr:rowOff>1047750</xdr:rowOff>
              </from>
              <to>
                <xdr:col>3</xdr:col>
                <xdr:colOff>1571625</xdr:colOff>
                <xdr:row>30</xdr:row>
                <xdr:rowOff>1504950</xdr:rowOff>
              </to>
            </anchor>
          </objectPr>
        </oleObject>
      </mc:Choice>
      <mc:Fallback>
        <oleObject progId="Equation.DSMT4" shapeId="30734" r:id="rId34"/>
      </mc:Fallback>
    </mc:AlternateContent>
    <mc:AlternateContent xmlns:mc="http://schemas.openxmlformats.org/markup-compatibility/2006">
      <mc:Choice Requires="x14">
        <oleObject progId="Equation.DSMT4" shapeId="30735" r:id="rId36">
          <objectPr defaultSize="0" r:id="rId37">
            <anchor moveWithCells="1">
              <from>
                <xdr:col>3</xdr:col>
                <xdr:colOff>838200</xdr:colOff>
                <xdr:row>31</xdr:row>
                <xdr:rowOff>152400</xdr:rowOff>
              </from>
              <to>
                <xdr:col>3</xdr:col>
                <xdr:colOff>1371600</xdr:colOff>
                <xdr:row>31</xdr:row>
                <xdr:rowOff>571500</xdr:rowOff>
              </to>
            </anchor>
          </objectPr>
        </oleObject>
      </mc:Choice>
      <mc:Fallback>
        <oleObject progId="Equation.DSMT4" shapeId="30735" r:id="rId3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63C4E-DD53-48D1-B731-806C9BA2FCE8}">
  <dimension ref="A1:AN214"/>
  <sheetViews>
    <sheetView showGridLines="0" tabSelected="1" zoomScale="115" zoomScaleNormal="115" workbookViewId="0">
      <pane xSplit="4" ySplit="12" topLeftCell="X135" activePane="bottomRight" state="frozen"/>
      <selection pane="topRight" activeCell="E1" sqref="E1"/>
      <selection pane="bottomLeft" activeCell="A12" sqref="A12"/>
      <selection pane="bottomRight" activeCell="AC135" sqref="AC135"/>
    </sheetView>
  </sheetViews>
  <sheetFormatPr defaultColWidth="9.1328125" defaultRowHeight="15.4" x14ac:dyDescent="0.45"/>
  <cols>
    <col min="1" max="1" width="2.73046875" style="19" customWidth="1"/>
    <col min="2" max="2" width="19.59765625" style="2" customWidth="1"/>
    <col min="3" max="5" width="11" style="2" customWidth="1"/>
    <col min="6" max="8" width="9.265625" style="2" customWidth="1"/>
    <col min="9" max="9" width="8.265625" style="2" customWidth="1"/>
    <col min="10" max="10" width="9.59765625" style="3" customWidth="1"/>
    <col min="11" max="11" width="24.73046875" style="3" customWidth="1"/>
    <col min="12" max="12" width="7.3984375" style="2" customWidth="1"/>
    <col min="13" max="13" width="33.1328125" style="2" customWidth="1"/>
    <col min="14" max="14" width="22.265625" style="2" customWidth="1"/>
    <col min="15" max="15" width="18" style="2" customWidth="1"/>
    <col min="16" max="16" width="24.1328125" style="2" customWidth="1"/>
    <col min="17" max="17" width="14.59765625" style="2" bestFit="1" customWidth="1"/>
    <col min="18" max="18" width="9.1328125" style="2" bestFit="1" customWidth="1"/>
    <col min="19" max="19" width="8.265625" style="2" bestFit="1" customWidth="1"/>
    <col min="20" max="20" width="8.1328125" style="2" customWidth="1"/>
    <col min="21" max="21" width="9.1328125" style="2" customWidth="1"/>
    <col min="22" max="22" width="15.265625" style="2" customWidth="1"/>
    <col min="23" max="24" width="11.1328125" style="2" customWidth="1"/>
    <col min="25" max="25" width="10.73046875" style="2" customWidth="1"/>
    <col min="26" max="26" width="10.86328125" style="2" customWidth="1"/>
    <col min="27" max="27" width="13" style="2" customWidth="1"/>
    <col min="28" max="28" width="10.73046875" style="2" customWidth="1"/>
    <col min="29" max="29" width="37" style="2" customWidth="1"/>
    <col min="30" max="30" width="18.265625" style="2" customWidth="1"/>
    <col min="31" max="31" width="21.86328125" style="2" customWidth="1"/>
    <col min="32" max="32" width="26.265625" style="2" customWidth="1"/>
    <col min="33" max="33" width="24.1328125" style="2" customWidth="1"/>
    <col min="34" max="34" width="34.3984375" style="2" customWidth="1"/>
    <col min="35" max="35" width="24" style="2" customWidth="1"/>
    <col min="36" max="36" width="24.1328125" style="2" customWidth="1"/>
    <col min="37" max="40" width="18.265625" style="2" customWidth="1"/>
    <col min="41" max="45" width="2.73046875" style="3" customWidth="1"/>
    <col min="46" max="16384" width="9.1328125" style="3"/>
  </cols>
  <sheetData>
    <row r="1" spans="1:40" x14ac:dyDescent="0.45">
      <c r="AM1" s="4"/>
      <c r="AN1" s="4"/>
    </row>
    <row r="2" spans="1:40" x14ac:dyDescent="0.45">
      <c r="B2" s="5" t="s">
        <v>466</v>
      </c>
      <c r="C2" s="5"/>
      <c r="D2" s="5"/>
    </row>
    <row r="3" spans="1:40" s="6" customFormat="1" ht="25.5" customHeight="1" x14ac:dyDescent="0.45">
      <c r="A3" s="20"/>
      <c r="B3" s="94" t="s">
        <v>467</v>
      </c>
      <c r="C3" s="95"/>
      <c r="D3" s="112"/>
      <c r="E3" s="94" t="s">
        <v>468</v>
      </c>
      <c r="F3" s="95"/>
      <c r="G3" s="95"/>
      <c r="H3" s="95"/>
      <c r="I3" s="95"/>
      <c r="J3" s="96"/>
      <c r="K3" s="94" t="s">
        <v>469</v>
      </c>
      <c r="L3" s="95"/>
      <c r="M3" s="96"/>
      <c r="N3" s="122" t="s">
        <v>470</v>
      </c>
      <c r="O3" s="94" t="s">
        <v>471</v>
      </c>
      <c r="P3" s="96"/>
      <c r="Q3" s="94" t="s">
        <v>472</v>
      </c>
      <c r="R3" s="95"/>
      <c r="S3" s="95"/>
      <c r="T3" s="95"/>
      <c r="U3" s="95"/>
      <c r="V3" s="95"/>
      <c r="W3" s="95"/>
      <c r="X3" s="95"/>
      <c r="Y3" s="95"/>
      <c r="Z3" s="95"/>
      <c r="AA3" s="95"/>
      <c r="AB3" s="96"/>
      <c r="AC3" s="94" t="s">
        <v>473</v>
      </c>
      <c r="AD3" s="95"/>
      <c r="AE3" s="95"/>
      <c r="AF3" s="95"/>
      <c r="AG3" s="95"/>
      <c r="AH3" s="95"/>
      <c r="AI3" s="95"/>
      <c r="AJ3" s="96"/>
      <c r="AK3" s="124" t="s">
        <v>474</v>
      </c>
      <c r="AL3" s="95"/>
      <c r="AM3" s="95"/>
      <c r="AN3" s="96"/>
    </row>
    <row r="4" spans="1:40" s="6" customFormat="1" ht="15" customHeight="1" x14ac:dyDescent="0.45">
      <c r="A4" s="20"/>
      <c r="B4" s="97"/>
      <c r="C4" s="98"/>
      <c r="D4" s="113"/>
      <c r="E4" s="97"/>
      <c r="F4" s="98"/>
      <c r="G4" s="98"/>
      <c r="H4" s="98"/>
      <c r="I4" s="98"/>
      <c r="J4" s="99"/>
      <c r="K4" s="97"/>
      <c r="L4" s="98"/>
      <c r="M4" s="99"/>
      <c r="N4" s="123"/>
      <c r="O4" s="97"/>
      <c r="P4" s="99"/>
      <c r="Q4" s="97"/>
      <c r="R4" s="98"/>
      <c r="S4" s="98"/>
      <c r="T4" s="98"/>
      <c r="U4" s="98"/>
      <c r="V4" s="98"/>
      <c r="W4" s="98"/>
      <c r="X4" s="98"/>
      <c r="Y4" s="98"/>
      <c r="Z4" s="98"/>
      <c r="AA4" s="98"/>
      <c r="AB4" s="99"/>
      <c r="AC4" s="97"/>
      <c r="AD4" s="98"/>
      <c r="AE4" s="98"/>
      <c r="AF4" s="98"/>
      <c r="AG4" s="98"/>
      <c r="AH4" s="98"/>
      <c r="AI4" s="98"/>
      <c r="AJ4" s="99"/>
      <c r="AK4" s="125"/>
      <c r="AL4" s="98"/>
      <c r="AM4" s="98"/>
      <c r="AN4" s="99"/>
    </row>
    <row r="5" spans="1:40" ht="15" customHeight="1" x14ac:dyDescent="0.45">
      <c r="B5" s="102" t="s">
        <v>240</v>
      </c>
      <c r="C5" s="103"/>
      <c r="D5" s="43" t="s">
        <v>236</v>
      </c>
      <c r="E5" s="44">
        <f t="shared" ref="E5:P5" si="0">MAX(E13:E213)</f>
        <v>36.631875000000001</v>
      </c>
      <c r="F5" s="45">
        <f t="shared" si="0"/>
        <v>61.125</v>
      </c>
      <c r="G5" s="45">
        <f t="shared" si="0"/>
        <v>1480</v>
      </c>
      <c r="H5" s="45">
        <f t="shared" si="0"/>
        <v>2872</v>
      </c>
      <c r="I5" s="45">
        <f t="shared" si="0"/>
        <v>2232.2732500000002</v>
      </c>
      <c r="J5" s="46">
        <f t="shared" si="0"/>
        <v>69.389426999999998</v>
      </c>
      <c r="K5" s="44">
        <f t="shared" si="0"/>
        <v>76.124567474048447</v>
      </c>
      <c r="L5" s="45">
        <f t="shared" si="0"/>
        <v>88</v>
      </c>
      <c r="M5" s="46">
        <f t="shared" si="0"/>
        <v>94.461142121082005</v>
      </c>
      <c r="N5" s="47">
        <f t="shared" si="0"/>
        <v>96.971715000000003</v>
      </c>
      <c r="O5" s="44">
        <f t="shared" si="0"/>
        <v>6.7756566915799148</v>
      </c>
      <c r="P5" s="46">
        <f t="shared" si="0"/>
        <v>6.7797245262956922</v>
      </c>
      <c r="Q5" s="116" t="str">
        <f>B5</f>
        <v>Estadísticos</v>
      </c>
      <c r="R5" s="117"/>
      <c r="S5" s="117"/>
      <c r="T5" s="117"/>
      <c r="U5" s="48" t="str">
        <f>D5</f>
        <v>Máximo</v>
      </c>
      <c r="V5" s="45">
        <f t="shared" ref="V5:AN5" si="1">MAX(V13:V213)</f>
        <v>1623</v>
      </c>
      <c r="W5" s="45">
        <f t="shared" si="1"/>
        <v>17.836874087000002</v>
      </c>
      <c r="X5" s="45">
        <f t="shared" si="1"/>
        <v>1</v>
      </c>
      <c r="Y5" s="45">
        <f t="shared" si="1"/>
        <v>0.38441700000000001</v>
      </c>
      <c r="Z5" s="45">
        <f t="shared" si="1"/>
        <v>17.836874087000002</v>
      </c>
      <c r="AA5" s="45">
        <f t="shared" si="1"/>
        <v>22525.504133999999</v>
      </c>
      <c r="AB5" s="46">
        <f t="shared" si="1"/>
        <v>0.38441700000000001</v>
      </c>
      <c r="AC5" s="44">
        <f t="shared" si="1"/>
        <v>11.292761152633192</v>
      </c>
      <c r="AD5" s="45">
        <f t="shared" si="1"/>
        <v>2.9859330699583078</v>
      </c>
      <c r="AE5" s="45">
        <f t="shared" si="1"/>
        <v>9.4198205699255428</v>
      </c>
      <c r="AF5" s="45">
        <f t="shared" si="1"/>
        <v>7.8785675836616873</v>
      </c>
      <c r="AG5" s="45">
        <f t="shared" si="1"/>
        <v>39.460355842728724</v>
      </c>
      <c r="AH5" s="45">
        <f t="shared" si="1"/>
        <v>9.4226452411717361</v>
      </c>
      <c r="AI5" s="45">
        <f t="shared" si="1"/>
        <v>24.329350512242197</v>
      </c>
      <c r="AJ5" s="46">
        <f t="shared" si="1"/>
        <v>19.784444192186857</v>
      </c>
      <c r="AK5" s="49">
        <f t="shared" si="1"/>
        <v>3.9154054865745085</v>
      </c>
      <c r="AL5" s="45">
        <f t="shared" si="1"/>
        <v>877.90877873542263</v>
      </c>
      <c r="AM5" s="45">
        <f t="shared" si="1"/>
        <v>23.999999999999996</v>
      </c>
      <c r="AN5" s="46">
        <f t="shared" si="1"/>
        <v>640</v>
      </c>
    </row>
    <row r="6" spans="1:40" ht="15" customHeight="1" x14ac:dyDescent="0.45">
      <c r="B6" s="104"/>
      <c r="C6" s="105"/>
      <c r="D6" s="24" t="s">
        <v>237</v>
      </c>
      <c r="E6" s="26">
        <f t="shared" ref="E6:P6" si="2">AVERAGE(E13:E213)</f>
        <v>7.6535259433962235</v>
      </c>
      <c r="F6" s="21">
        <f t="shared" si="2"/>
        <v>19.319339622641511</v>
      </c>
      <c r="G6" s="21">
        <f t="shared" si="2"/>
        <v>380.05660377358492</v>
      </c>
      <c r="H6" s="21">
        <f t="shared" si="2"/>
        <v>956.21383647798746</v>
      </c>
      <c r="I6" s="21">
        <f t="shared" si="2"/>
        <v>629.32773031446538</v>
      </c>
      <c r="J6" s="23">
        <f t="shared" si="2"/>
        <v>26.935389761006284</v>
      </c>
      <c r="K6" s="26">
        <f t="shared" si="2"/>
        <v>51.025065297978635</v>
      </c>
      <c r="L6" s="21">
        <f t="shared" si="2"/>
        <v>69.498225735849076</v>
      </c>
      <c r="M6" s="23">
        <f t="shared" si="2"/>
        <v>83.590294774529568</v>
      </c>
      <c r="N6" s="34">
        <f t="shared" si="2"/>
        <v>79.888114509433947</v>
      </c>
      <c r="O6" s="26">
        <f t="shared" si="2"/>
        <v>1.3689859729101281</v>
      </c>
      <c r="P6" s="23">
        <f t="shared" si="2"/>
        <v>1.3698078576247033</v>
      </c>
      <c r="Q6" s="118"/>
      <c r="R6" s="119"/>
      <c r="S6" s="119"/>
      <c r="T6" s="119"/>
      <c r="U6" s="22" t="str">
        <f t="shared" ref="U6:U8" si="3">D6</f>
        <v>Medio</v>
      </c>
      <c r="V6" s="21">
        <f t="shared" ref="V6:AN6" si="4">AVERAGE(V13:V213)</f>
        <v>453.49685534591197</v>
      </c>
      <c r="W6" s="21">
        <f t="shared" si="4"/>
        <v>4.1498051839874188</v>
      </c>
      <c r="X6" s="21">
        <f t="shared" si="4"/>
        <v>1</v>
      </c>
      <c r="Y6" s="21">
        <f t="shared" si="4"/>
        <v>4.1747012578616384E-2</v>
      </c>
      <c r="Z6" s="21">
        <f t="shared" si="4"/>
        <v>4.1498051839874188</v>
      </c>
      <c r="AA6" s="21">
        <f t="shared" si="4"/>
        <v>6866.9852772578597</v>
      </c>
      <c r="AB6" s="23">
        <f t="shared" si="4"/>
        <v>4.1747012578616384E-2</v>
      </c>
      <c r="AC6" s="26">
        <f t="shared" si="4"/>
        <v>2.2816432881835471</v>
      </c>
      <c r="AD6" s="21">
        <f t="shared" si="4"/>
        <v>1.4903078721882455</v>
      </c>
      <c r="AE6" s="21">
        <f t="shared" si="4"/>
        <v>2.0719242760636813</v>
      </c>
      <c r="AF6" s="21">
        <f t="shared" si="4"/>
        <v>1.3681606520457381</v>
      </c>
      <c r="AG6" s="21">
        <f t="shared" si="4"/>
        <v>4.7637651678821245</v>
      </c>
      <c r="AH6" s="21">
        <f t="shared" si="4"/>
        <v>2.9455399626757743</v>
      </c>
      <c r="AI6" s="21">
        <f t="shared" si="4"/>
        <v>4.1553932872852055</v>
      </c>
      <c r="AJ6" s="23">
        <f t="shared" si="4"/>
        <v>4.1056155105940677</v>
      </c>
      <c r="AK6" s="25">
        <f t="shared" si="4"/>
        <v>2.1249150467257039</v>
      </c>
      <c r="AL6" s="21">
        <f t="shared" si="4"/>
        <v>13.312292558242913</v>
      </c>
      <c r="AM6" s="21">
        <f t="shared" si="4"/>
        <v>1.0795731747167978</v>
      </c>
      <c r="AN6" s="23">
        <f t="shared" si="4"/>
        <v>4.994928931372665</v>
      </c>
    </row>
    <row r="7" spans="1:40" ht="15" customHeight="1" x14ac:dyDescent="0.45">
      <c r="B7" s="104"/>
      <c r="C7" s="105"/>
      <c r="D7" s="24" t="s">
        <v>238</v>
      </c>
      <c r="E7" s="26">
        <f t="shared" ref="E7:P7" si="5">MIN(E13:E213)</f>
        <v>1.5625000000000001E-3</v>
      </c>
      <c r="F7" s="21">
        <f t="shared" si="5"/>
        <v>0.25</v>
      </c>
      <c r="G7" s="21">
        <f t="shared" si="5"/>
        <v>23</v>
      </c>
      <c r="H7" s="21">
        <f t="shared" si="5"/>
        <v>45</v>
      </c>
      <c r="I7" s="21">
        <f t="shared" si="5"/>
        <v>38.625442999999997</v>
      </c>
      <c r="J7" s="23">
        <f t="shared" si="5"/>
        <v>5.1193</v>
      </c>
      <c r="K7" s="26">
        <f t="shared" si="5"/>
        <v>24.011878872398409</v>
      </c>
      <c r="L7" s="21">
        <f t="shared" si="5"/>
        <v>42.089041000000002</v>
      </c>
      <c r="M7" s="23">
        <f t="shared" si="5"/>
        <v>62.828135052513744</v>
      </c>
      <c r="N7" s="34">
        <f t="shared" si="5"/>
        <v>73.259491999999995</v>
      </c>
      <c r="O7" s="26">
        <f t="shared" si="5"/>
        <v>4.4609255002388527E-2</v>
      </c>
      <c r="P7" s="23">
        <f t="shared" si="5"/>
        <v>4.4636036624363148E-2</v>
      </c>
      <c r="Q7" s="118"/>
      <c r="R7" s="119"/>
      <c r="S7" s="119"/>
      <c r="T7" s="119"/>
      <c r="U7" s="22" t="str">
        <f t="shared" si="3"/>
        <v>Mínimo</v>
      </c>
      <c r="V7" s="21">
        <f t="shared" ref="V7:AN7" si="6">MIN(V13:V213)</f>
        <v>36</v>
      </c>
      <c r="W7" s="21">
        <f t="shared" si="6"/>
        <v>3.7499999999999999E-2</v>
      </c>
      <c r="X7" s="21">
        <f t="shared" si="6"/>
        <v>1</v>
      </c>
      <c r="Y7" s="21">
        <f t="shared" si="6"/>
        <v>2.5700000000000001E-4</v>
      </c>
      <c r="Z7" s="21">
        <f t="shared" si="6"/>
        <v>3.7499999999999999E-2</v>
      </c>
      <c r="AA7" s="21">
        <f t="shared" si="6"/>
        <v>66.605339000000001</v>
      </c>
      <c r="AB7" s="23">
        <f t="shared" si="6"/>
        <v>2.5700000000000001E-4</v>
      </c>
      <c r="AC7" s="26">
        <f t="shared" si="6"/>
        <v>7.4348758337314219E-2</v>
      </c>
      <c r="AD7" s="21">
        <f t="shared" si="6"/>
        <v>6.5232677124007515E-2</v>
      </c>
      <c r="AE7" s="21">
        <f t="shared" si="6"/>
        <v>8.3118962343155106E-2</v>
      </c>
      <c r="AF7" s="21">
        <f t="shared" si="6"/>
        <v>2.4879337447327197E-2</v>
      </c>
      <c r="AG7" s="21">
        <f t="shared" si="6"/>
        <v>0.80001594917224261</v>
      </c>
      <c r="AH7" s="21">
        <f t="shared" si="6"/>
        <v>0.57904261848485972</v>
      </c>
      <c r="AI7" s="21">
        <f t="shared" si="6"/>
        <v>6.2672804259011061E-2</v>
      </c>
      <c r="AJ7" s="23">
        <f t="shared" si="6"/>
        <v>5.6296329828042377E-2</v>
      </c>
      <c r="AK7" s="25">
        <f t="shared" si="6"/>
        <v>1.3655967080115707</v>
      </c>
      <c r="AL7" s="21">
        <f t="shared" si="6"/>
        <v>3.2156581877312441E-2</v>
      </c>
      <c r="AM7" s="21">
        <f t="shared" si="6"/>
        <v>1.6461942440801458E-2</v>
      </c>
      <c r="AN7" s="23">
        <f t="shared" si="6"/>
        <v>2.7298629950009385E-2</v>
      </c>
    </row>
    <row r="8" spans="1:40" ht="15" customHeight="1" x14ac:dyDescent="0.45">
      <c r="B8" s="106"/>
      <c r="C8" s="107"/>
      <c r="D8" s="50" t="s">
        <v>239</v>
      </c>
      <c r="E8" s="51">
        <f t="shared" ref="E8:P8" si="7">_xlfn.STDEV.S(E13:E213)</f>
        <v>6.5197688870106285</v>
      </c>
      <c r="F8" s="52">
        <f t="shared" si="7"/>
        <v>10.916274404359207</v>
      </c>
      <c r="G8" s="52">
        <f t="shared" si="7"/>
        <v>413.3513576571392</v>
      </c>
      <c r="H8" s="52">
        <f t="shared" si="7"/>
        <v>911.52963223378072</v>
      </c>
      <c r="I8" s="52">
        <f t="shared" si="7"/>
        <v>632.11136706298089</v>
      </c>
      <c r="J8" s="53">
        <f t="shared" si="7"/>
        <v>20.554340612458009</v>
      </c>
      <c r="K8" s="51">
        <f t="shared" si="7"/>
        <v>12.617448559930951</v>
      </c>
      <c r="L8" s="52">
        <f t="shared" si="7"/>
        <v>10.860606149108806</v>
      </c>
      <c r="M8" s="53">
        <f t="shared" si="7"/>
        <v>7.1953379230605936</v>
      </c>
      <c r="N8" s="54">
        <f t="shared" si="7"/>
        <v>4.1756759837068138</v>
      </c>
      <c r="O8" s="51">
        <f t="shared" si="7"/>
        <v>1.1811962995872634</v>
      </c>
      <c r="P8" s="53">
        <f t="shared" si="7"/>
        <v>1.1819054428529741</v>
      </c>
      <c r="Q8" s="120"/>
      <c r="R8" s="121"/>
      <c r="S8" s="121"/>
      <c r="T8" s="121"/>
      <c r="U8" s="55" t="str">
        <f t="shared" si="3"/>
        <v>Desviación</v>
      </c>
      <c r="V8" s="52">
        <f t="shared" ref="V8:AN8" si="8">_xlfn.STDEV.S(V13:V213)</f>
        <v>464.91275721955793</v>
      </c>
      <c r="W8" s="52">
        <f t="shared" si="8"/>
        <v>3.8272097007105477</v>
      </c>
      <c r="X8" s="52">
        <f t="shared" si="8"/>
        <v>0</v>
      </c>
      <c r="Y8" s="52">
        <f t="shared" si="8"/>
        <v>5.7708843001479972E-2</v>
      </c>
      <c r="Z8" s="52">
        <f t="shared" si="8"/>
        <v>3.8272097007105477</v>
      </c>
      <c r="AA8" s="52">
        <f t="shared" si="8"/>
        <v>4193.2766419211266</v>
      </c>
      <c r="AB8" s="53">
        <f t="shared" si="8"/>
        <v>5.7708843001479972E-2</v>
      </c>
      <c r="AC8" s="51">
        <f t="shared" si="8"/>
        <v>1.9686604993121031</v>
      </c>
      <c r="AD8" s="52">
        <f t="shared" si="8"/>
        <v>0.56552808841202884</v>
      </c>
      <c r="AE8" s="52">
        <f t="shared" si="8"/>
        <v>1.8208675590729557</v>
      </c>
      <c r="AF8" s="52">
        <f t="shared" si="8"/>
        <v>1.6669495204200004</v>
      </c>
      <c r="AG8" s="52">
        <f t="shared" si="8"/>
        <v>5.6375016110421683</v>
      </c>
      <c r="AH8" s="52">
        <f t="shared" si="8"/>
        <v>1.7617995341892241</v>
      </c>
      <c r="AI8" s="52">
        <f t="shared" si="8"/>
        <v>5.2225175600407185</v>
      </c>
      <c r="AJ8" s="53">
        <f t="shared" si="8"/>
        <v>3.1550504904739234</v>
      </c>
      <c r="AK8" s="56">
        <f t="shared" si="8"/>
        <v>0.45753897465420085</v>
      </c>
      <c r="AL8" s="52">
        <f t="shared" si="8"/>
        <v>79.317887515079136</v>
      </c>
      <c r="AM8" s="52">
        <f t="shared" si="8"/>
        <v>2.1585114710221989</v>
      </c>
      <c r="AN8" s="53">
        <f t="shared" si="8"/>
        <v>50.876955720661712</v>
      </c>
    </row>
    <row r="9" spans="1:40" s="7" customFormat="1" ht="46.15" x14ac:dyDescent="0.45">
      <c r="A9" s="20"/>
      <c r="B9" s="108" t="s">
        <v>0</v>
      </c>
      <c r="C9" s="100" t="s">
        <v>66</v>
      </c>
      <c r="D9" s="110" t="s">
        <v>63</v>
      </c>
      <c r="E9" s="108" t="s">
        <v>488</v>
      </c>
      <c r="F9" s="100" t="s">
        <v>57</v>
      </c>
      <c r="G9" s="100" t="s">
        <v>58</v>
      </c>
      <c r="H9" s="100" t="s">
        <v>59</v>
      </c>
      <c r="I9" s="100" t="s">
        <v>60</v>
      </c>
      <c r="J9" s="114" t="s">
        <v>61</v>
      </c>
      <c r="K9" s="39" t="s">
        <v>1</v>
      </c>
      <c r="L9" s="100" t="s">
        <v>2</v>
      </c>
      <c r="M9" s="40" t="s">
        <v>3</v>
      </c>
      <c r="N9" s="135" t="s">
        <v>462</v>
      </c>
      <c r="O9" s="39" t="s">
        <v>439</v>
      </c>
      <c r="P9" s="40" t="s">
        <v>62</v>
      </c>
      <c r="Q9" s="108" t="s">
        <v>4</v>
      </c>
      <c r="R9" s="100" t="s">
        <v>64</v>
      </c>
      <c r="S9" s="100" t="s">
        <v>63</v>
      </c>
      <c r="T9" s="100" t="s">
        <v>418</v>
      </c>
      <c r="U9" s="100" t="s">
        <v>65</v>
      </c>
      <c r="V9" s="100" t="s">
        <v>67</v>
      </c>
      <c r="W9" s="100" t="s">
        <v>54</v>
      </c>
      <c r="X9" s="100" t="s">
        <v>6</v>
      </c>
      <c r="Y9" s="100" t="s">
        <v>55</v>
      </c>
      <c r="Z9" s="100" t="s">
        <v>53</v>
      </c>
      <c r="AA9" s="100" t="s">
        <v>52</v>
      </c>
      <c r="AB9" s="114" t="s">
        <v>56</v>
      </c>
      <c r="AC9" s="39" t="s">
        <v>121</v>
      </c>
      <c r="AD9" s="41" t="s">
        <v>432</v>
      </c>
      <c r="AE9" s="41" t="s">
        <v>433</v>
      </c>
      <c r="AF9" s="41" t="s">
        <v>434</v>
      </c>
      <c r="AG9" s="41" t="s">
        <v>435</v>
      </c>
      <c r="AH9" s="41" t="s">
        <v>436</v>
      </c>
      <c r="AI9" s="41" t="s">
        <v>437</v>
      </c>
      <c r="AJ9" s="40" t="s">
        <v>438</v>
      </c>
      <c r="AK9" s="42" t="s">
        <v>440</v>
      </c>
      <c r="AL9" s="41" t="s">
        <v>441</v>
      </c>
      <c r="AM9" s="41" t="s">
        <v>442</v>
      </c>
      <c r="AN9" s="40" t="s">
        <v>489</v>
      </c>
    </row>
    <row r="10" spans="1:40" s="7" customFormat="1" ht="15" customHeight="1" x14ac:dyDescent="0.45">
      <c r="A10" s="20"/>
      <c r="B10" s="109"/>
      <c r="C10" s="101"/>
      <c r="D10" s="111"/>
      <c r="E10" s="109"/>
      <c r="F10" s="101"/>
      <c r="G10" s="101"/>
      <c r="H10" s="101"/>
      <c r="I10" s="101"/>
      <c r="J10" s="115"/>
      <c r="K10" s="27"/>
      <c r="L10" s="101"/>
      <c r="M10" s="126"/>
      <c r="N10" s="136"/>
      <c r="O10" s="132"/>
      <c r="P10" s="126"/>
      <c r="Q10" s="109"/>
      <c r="R10" s="101"/>
      <c r="S10" s="101"/>
      <c r="T10" s="101"/>
      <c r="U10" s="101"/>
      <c r="V10" s="101"/>
      <c r="W10" s="101"/>
      <c r="X10" s="101"/>
      <c r="Y10" s="101"/>
      <c r="Z10" s="101"/>
      <c r="AA10" s="101"/>
      <c r="AB10" s="115"/>
      <c r="AC10" s="132"/>
      <c r="AD10" s="129"/>
      <c r="AE10" s="129"/>
      <c r="AF10" s="129"/>
      <c r="AG10" s="129"/>
      <c r="AH10" s="129"/>
      <c r="AI10" s="129"/>
      <c r="AJ10" s="126"/>
      <c r="AK10" s="132"/>
      <c r="AL10" s="129"/>
      <c r="AM10" s="129"/>
      <c r="AN10" s="126"/>
    </row>
    <row r="11" spans="1:40" s="7" customFormat="1" ht="15" customHeight="1" x14ac:dyDescent="0.45">
      <c r="A11" s="20"/>
      <c r="B11" s="109"/>
      <c r="C11" s="101"/>
      <c r="D11" s="111"/>
      <c r="E11" s="109"/>
      <c r="F11" s="101"/>
      <c r="G11" s="101"/>
      <c r="H11" s="101"/>
      <c r="I11" s="101"/>
      <c r="J11" s="115"/>
      <c r="K11" s="27"/>
      <c r="L11" s="101"/>
      <c r="M11" s="127"/>
      <c r="N11" s="136"/>
      <c r="O11" s="133"/>
      <c r="P11" s="127"/>
      <c r="Q11" s="109"/>
      <c r="R11" s="101"/>
      <c r="S11" s="101"/>
      <c r="T11" s="101"/>
      <c r="U11" s="101"/>
      <c r="V11" s="101"/>
      <c r="W11" s="101"/>
      <c r="X11" s="101"/>
      <c r="Y11" s="101"/>
      <c r="Z11" s="101"/>
      <c r="AA11" s="101"/>
      <c r="AB11" s="115"/>
      <c r="AC11" s="133"/>
      <c r="AD11" s="130"/>
      <c r="AE11" s="130"/>
      <c r="AF11" s="130"/>
      <c r="AG11" s="130"/>
      <c r="AH11" s="130"/>
      <c r="AI11" s="130"/>
      <c r="AJ11" s="127"/>
      <c r="AK11" s="133"/>
      <c r="AL11" s="130"/>
      <c r="AM11" s="130"/>
      <c r="AN11" s="127"/>
    </row>
    <row r="12" spans="1:40" s="7" customFormat="1" ht="15" customHeight="1" x14ac:dyDescent="0.45">
      <c r="A12" s="20"/>
      <c r="B12" s="109"/>
      <c r="C12" s="101"/>
      <c r="D12" s="111"/>
      <c r="E12" s="109"/>
      <c r="F12" s="101"/>
      <c r="G12" s="101"/>
      <c r="H12" s="101"/>
      <c r="I12" s="101"/>
      <c r="J12" s="115"/>
      <c r="K12" s="27"/>
      <c r="L12" s="101"/>
      <c r="M12" s="128"/>
      <c r="N12" s="136"/>
      <c r="O12" s="134"/>
      <c r="P12" s="128"/>
      <c r="Q12" s="109"/>
      <c r="R12" s="101"/>
      <c r="S12" s="101"/>
      <c r="T12" s="101"/>
      <c r="U12" s="101"/>
      <c r="V12" s="101"/>
      <c r="W12" s="101"/>
      <c r="X12" s="101"/>
      <c r="Y12" s="101"/>
      <c r="Z12" s="101"/>
      <c r="AA12" s="101"/>
      <c r="AB12" s="115"/>
      <c r="AC12" s="134"/>
      <c r="AD12" s="131"/>
      <c r="AE12" s="131"/>
      <c r="AF12" s="131"/>
      <c r="AG12" s="131"/>
      <c r="AH12" s="131"/>
      <c r="AI12" s="131"/>
      <c r="AJ12" s="128"/>
      <c r="AK12" s="134"/>
      <c r="AL12" s="131"/>
      <c r="AM12" s="131"/>
      <c r="AN12" s="128"/>
    </row>
    <row r="13" spans="1:40" x14ac:dyDescent="0.45">
      <c r="A13" s="19">
        <v>1</v>
      </c>
      <c r="B13" s="57" t="s">
        <v>69</v>
      </c>
      <c r="C13" s="58" t="s">
        <v>118</v>
      </c>
      <c r="D13" s="59">
        <v>2567</v>
      </c>
      <c r="E13" s="60">
        <v>9.2354687500000008</v>
      </c>
      <c r="F13" s="61">
        <v>19.600000000000001</v>
      </c>
      <c r="G13" s="61">
        <v>1477</v>
      </c>
      <c r="H13" s="61">
        <v>2860</v>
      </c>
      <c r="I13" s="61">
        <v>2232.2732500000002</v>
      </c>
      <c r="J13" s="62">
        <v>60.379257000000003</v>
      </c>
      <c r="K13" s="28">
        <f>L13/(2.3-0.013*L13)</f>
        <v>65.043434886681226</v>
      </c>
      <c r="L13" s="69">
        <v>81.059149000000005</v>
      </c>
      <c r="M13" s="29">
        <f>L13/(0.43+0.0057*L13)</f>
        <v>90.86970095764373</v>
      </c>
      <c r="N13" s="71">
        <v>84.421887999999996</v>
      </c>
      <c r="O13" s="35">
        <f>0.6*AC13</f>
        <v>0.52187613336160443</v>
      </c>
      <c r="P13" s="16">
        <f t="shared" ref="P13:P44" si="9">((AA13/0.3048)^0.8*(((1000/L13)-10)+1)^0.7)/(1900*J13^0.5)</f>
        <v>0.52218944702982228</v>
      </c>
      <c r="Q13" s="57" t="s">
        <v>69</v>
      </c>
      <c r="R13" s="58" t="s">
        <v>257</v>
      </c>
      <c r="S13" s="58">
        <v>2567</v>
      </c>
      <c r="T13" s="58">
        <f>IF(D13=S13,1,0)</f>
        <v>1</v>
      </c>
      <c r="U13" s="58"/>
      <c r="V13" s="73">
        <v>1618</v>
      </c>
      <c r="W13" s="74">
        <v>2.6949431800000001</v>
      </c>
      <c r="X13" s="75">
        <v>1</v>
      </c>
      <c r="Y13" s="76">
        <v>0.10649599999999999</v>
      </c>
      <c r="Z13" s="74">
        <v>2.6949431800000001</v>
      </c>
      <c r="AA13" s="73">
        <v>7671.8091590000004</v>
      </c>
      <c r="AB13" s="77">
        <v>0.10649599999999999</v>
      </c>
      <c r="AC13" s="35">
        <f>(0.0526*(AA13/0.3048)^0.8*((1000/L13)-9)^0.7*J13^-0.5)/60</f>
        <v>0.86979355560267402</v>
      </c>
      <c r="AD13" s="15">
        <f t="shared" ref="AD13:AD44" si="10" xml:space="preserve"> 0.76 * (E13 ) ^ 0.38</f>
        <v>1.7688377191242695</v>
      </c>
      <c r="AE13" s="15">
        <f xml:space="preserve"> 0.3 * ( Z13/ ( AB13^0.25 ) ) ^ 0.76</f>
        <v>0.97531664118384787</v>
      </c>
      <c r="AF13" s="15">
        <f>0.00013*(((Z13*1000)/0.3048)^0.77)/(AB13^0.385)</f>
        <v>0.33670666571433211</v>
      </c>
      <c r="AG13" s="15">
        <f t="shared" ref="AG13:AG44" si="11" xml:space="preserve"> ( 4 * E13 ^ 0.5 + 1.5 * Z13 ) / ( 25.3 * ( AB13 *Z13 ) ^ 0.5)</f>
        <v>1.1951147805910749</v>
      </c>
      <c r="AH13" s="15">
        <f t="shared" ref="AH13:AH44" si="12" xml:space="preserve"> 1.7694 * E13 ^ 0.325 * Z13 ^ -0.096 *( AB13*100) ^ -0.29</f>
        <v>1.6685558992520468</v>
      </c>
      <c r="AI13" s="15">
        <f t="shared" ref="AI13:AI44" si="13" xml:space="preserve"> (0.007*(0.035^0.8) * ((Z13*1000)/0.3048)^0.8)/((AB13^0.4)*(N13/25.4)^0.5)</f>
        <v>0.92434948899162572</v>
      </c>
      <c r="AJ13" s="16">
        <f>0.335 * (E13 / AB13 ^ 0.5) ^ 0.593</f>
        <v>2.4319667787097798</v>
      </c>
      <c r="AK13" s="32">
        <f xml:space="preserve"> 0.28 * F13 /E13^0.5</f>
        <v>1.8058622982091936</v>
      </c>
      <c r="AL13" s="15">
        <f xml:space="preserve"> E13 / Z13 ^ 2</f>
        <v>1.2716269314926287</v>
      </c>
      <c r="AM13" s="15">
        <f t="shared" ref="AM13:AM44" si="14">W13/E13</f>
        <v>0.29180361635677671</v>
      </c>
      <c r="AN13" s="16">
        <f t="shared" ref="AN13:AN44" si="15">X13/E13</f>
        <v>0.10827820731893006</v>
      </c>
    </row>
    <row r="14" spans="1:40" x14ac:dyDescent="0.45">
      <c r="A14" s="19">
        <v>2</v>
      </c>
      <c r="B14" s="57" t="s">
        <v>69</v>
      </c>
      <c r="C14" s="58" t="s">
        <v>122</v>
      </c>
      <c r="D14" s="59">
        <v>2568</v>
      </c>
      <c r="E14" s="60">
        <v>10.44546875</v>
      </c>
      <c r="F14" s="61">
        <v>23.55</v>
      </c>
      <c r="G14" s="61">
        <v>1480</v>
      </c>
      <c r="H14" s="61">
        <v>2780</v>
      </c>
      <c r="I14" s="61">
        <v>2178.4187820000002</v>
      </c>
      <c r="J14" s="62">
        <v>67.902198999999996</v>
      </c>
      <c r="K14" s="28">
        <f t="shared" ref="K14:K158" si="16">L14/(2.3-0.013*L14)</f>
        <v>66.181361140316582</v>
      </c>
      <c r="L14" s="69">
        <v>81.821432000000001</v>
      </c>
      <c r="M14" s="29">
        <f t="shared" ref="M14:M137" si="17">L14/(0.43+0.0057*L14)</f>
        <v>91.279629863370872</v>
      </c>
      <c r="N14" s="71">
        <v>84.029600000000002</v>
      </c>
      <c r="O14" s="35">
        <f t="shared" ref="O14:O77" si="18">0.6*AC14</f>
        <v>0.49046643979725751</v>
      </c>
      <c r="P14" s="16">
        <f t="shared" si="9"/>
        <v>0.49076089633505848</v>
      </c>
      <c r="Q14" s="57" t="s">
        <v>69</v>
      </c>
      <c r="R14" s="58" t="s">
        <v>260</v>
      </c>
      <c r="S14" s="58">
        <v>2568</v>
      </c>
      <c r="T14" s="58">
        <f t="shared" ref="T14:T77" si="19">IF(D14=S14,1,0)</f>
        <v>1</v>
      </c>
      <c r="U14" s="58"/>
      <c r="V14" s="73">
        <v>1623</v>
      </c>
      <c r="W14" s="74">
        <v>3.330006762</v>
      </c>
      <c r="X14" s="75">
        <v>1</v>
      </c>
      <c r="Y14" s="76">
        <v>9.8498000000000002E-2</v>
      </c>
      <c r="Z14" s="74">
        <v>3.330006762</v>
      </c>
      <c r="AA14" s="73">
        <v>7877.5834189999996</v>
      </c>
      <c r="AB14" s="77">
        <v>9.8498000000000002E-2</v>
      </c>
      <c r="AC14" s="35">
        <f t="shared" ref="AC14:AC77" si="20">(0.0526*(AA14/0.3048)^0.8*((1000/L14)-9)^0.7*J14^-0.5)/60</f>
        <v>0.81744406632876254</v>
      </c>
      <c r="AD14" s="15">
        <f t="shared" si="10"/>
        <v>1.8535581155952001</v>
      </c>
      <c r="AE14" s="15">
        <f t="shared" ref="AE14:AE44" si="21" xml:space="preserve"> 0.3 * ( Z14/ ( AB14^0.25 ) ) ^ 0.76</f>
        <v>1.1625946874658826</v>
      </c>
      <c r="AF14" s="15">
        <f t="shared" ref="AF14:AF44" si="22">0.00013*(((Z14*1000)/0.3048)^0.77)/(AB14^0.385)</f>
        <v>0.40838051849238521</v>
      </c>
      <c r="AG14" s="15">
        <f t="shared" si="11"/>
        <v>1.2369405832749842</v>
      </c>
      <c r="AH14" s="15">
        <f t="shared" si="12"/>
        <v>1.7407200068969337</v>
      </c>
      <c r="AI14" s="15">
        <f t="shared" si="13"/>
        <v>1.1322083226725099</v>
      </c>
      <c r="AJ14" s="16">
        <f t="shared" ref="AJ14:AJ44" si="23">0.335 * (E14 / AB14 ^ 0.5) ^ 0.593</f>
        <v>2.677428267546659</v>
      </c>
      <c r="AK14" s="32">
        <f t="shared" ref="AK14:AK44" si="24" xml:space="preserve"> 0.28 * F14 /E14^0.5</f>
        <v>2.0402574659321893</v>
      </c>
      <c r="AL14" s="15">
        <f t="shared" ref="AL14:AL44" si="25" xml:space="preserve"> E14 / Z14 ^ 2</f>
        <v>0.9419713703209176</v>
      </c>
      <c r="AM14" s="15">
        <f t="shared" si="14"/>
        <v>0.31879916944847497</v>
      </c>
      <c r="AN14" s="16">
        <f t="shared" si="15"/>
        <v>9.573529191784716E-2</v>
      </c>
    </row>
    <row r="15" spans="1:40" x14ac:dyDescent="0.45">
      <c r="A15" s="19">
        <v>3</v>
      </c>
      <c r="B15" s="57" t="s">
        <v>69</v>
      </c>
      <c r="C15" s="58" t="s">
        <v>123</v>
      </c>
      <c r="D15" s="59">
        <v>2569</v>
      </c>
      <c r="E15" s="60">
        <v>11.585625</v>
      </c>
      <c r="F15" s="61">
        <v>20.05</v>
      </c>
      <c r="G15" s="61">
        <v>1223</v>
      </c>
      <c r="H15" s="61">
        <v>2147</v>
      </c>
      <c r="I15" s="61">
        <v>1663.9244080000001</v>
      </c>
      <c r="J15" s="62">
        <v>54.088684000000001</v>
      </c>
      <c r="K15" s="28">
        <f t="shared" si="16"/>
        <v>76.085932831446172</v>
      </c>
      <c r="L15" s="69">
        <v>87.977547000000001</v>
      </c>
      <c r="M15" s="29">
        <f t="shared" si="17"/>
        <v>94.450016006218888</v>
      </c>
      <c r="N15" s="71">
        <v>84.011551999999995</v>
      </c>
      <c r="O15" s="35">
        <f t="shared" si="18"/>
        <v>0.37922768588593109</v>
      </c>
      <c r="P15" s="16">
        <f t="shared" si="9"/>
        <v>0.37945535910139189</v>
      </c>
      <c r="Q15" s="57" t="s">
        <v>69</v>
      </c>
      <c r="R15" s="58" t="s">
        <v>261</v>
      </c>
      <c r="S15" s="58">
        <v>2569</v>
      </c>
      <c r="T15" s="58">
        <f t="shared" si="19"/>
        <v>1</v>
      </c>
      <c r="U15" s="58"/>
      <c r="V15" s="73">
        <v>1395</v>
      </c>
      <c r="W15" s="74">
        <v>5.3143028459999995</v>
      </c>
      <c r="X15" s="75">
        <v>1</v>
      </c>
      <c r="Y15" s="76">
        <v>4.7419000000000003E-2</v>
      </c>
      <c r="Z15" s="74">
        <v>5.3143028459999995</v>
      </c>
      <c r="AA15" s="73">
        <v>6490.0834189999996</v>
      </c>
      <c r="AB15" s="77">
        <v>4.7419000000000003E-2</v>
      </c>
      <c r="AC15" s="35">
        <f t="shared" si="20"/>
        <v>0.6320461431432185</v>
      </c>
      <c r="AD15" s="15">
        <f t="shared" si="10"/>
        <v>1.9279820662136797</v>
      </c>
      <c r="AE15" s="15">
        <f t="shared" si="21"/>
        <v>1.9055901020279915</v>
      </c>
      <c r="AF15" s="15">
        <f t="shared" si="22"/>
        <v>0.7755393019430965</v>
      </c>
      <c r="AG15" s="15">
        <f t="shared" si="11"/>
        <v>1.6996627519589353</v>
      </c>
      <c r="AH15" s="15">
        <f t="shared" si="12"/>
        <v>2.1278000345061225</v>
      </c>
      <c r="AI15" s="15">
        <f t="shared" si="13"/>
        <v>2.2047733119520294</v>
      </c>
      <c r="AJ15" s="16">
        <f t="shared" si="23"/>
        <v>3.536137689715134</v>
      </c>
      <c r="AK15" s="32">
        <f t="shared" si="24"/>
        <v>1.6493494297951292</v>
      </c>
      <c r="AL15" s="15">
        <f t="shared" si="25"/>
        <v>0.41022948089803646</v>
      </c>
      <c r="AM15" s="15">
        <f t="shared" si="14"/>
        <v>0.4586979853050655</v>
      </c>
      <c r="AN15" s="16">
        <f t="shared" si="15"/>
        <v>8.6313858768948593E-2</v>
      </c>
    </row>
    <row r="16" spans="1:40" x14ac:dyDescent="0.45">
      <c r="A16" s="19">
        <v>4</v>
      </c>
      <c r="B16" s="57" t="s">
        <v>69</v>
      </c>
      <c r="C16" s="58" t="s">
        <v>124</v>
      </c>
      <c r="D16" s="59">
        <v>2570</v>
      </c>
      <c r="E16" s="60">
        <v>11.4471875</v>
      </c>
      <c r="F16" s="61">
        <v>21.7</v>
      </c>
      <c r="G16" s="61">
        <v>1231</v>
      </c>
      <c r="H16" s="61">
        <v>2550</v>
      </c>
      <c r="I16" s="61">
        <v>1862.2607350000001</v>
      </c>
      <c r="J16" s="62">
        <v>53.386631000000001</v>
      </c>
      <c r="K16" s="28">
        <f t="shared" si="16"/>
        <v>69.178196701112256</v>
      </c>
      <c r="L16" s="69">
        <v>83.772160999999997</v>
      </c>
      <c r="M16" s="29">
        <f t="shared" si="17"/>
        <v>92.310787175841028</v>
      </c>
      <c r="N16" s="71">
        <v>83.532331999999997</v>
      </c>
      <c r="O16" s="35">
        <f t="shared" si="18"/>
        <v>0.54119765537892073</v>
      </c>
      <c r="P16" s="16">
        <f t="shared" si="9"/>
        <v>0.54152256892027295</v>
      </c>
      <c r="Q16" s="57" t="s">
        <v>69</v>
      </c>
      <c r="R16" s="58" t="s">
        <v>262</v>
      </c>
      <c r="S16" s="58">
        <v>2570</v>
      </c>
      <c r="T16" s="58">
        <f t="shared" si="19"/>
        <v>1</v>
      </c>
      <c r="U16" s="58"/>
      <c r="V16" s="73">
        <v>1423</v>
      </c>
      <c r="W16" s="74">
        <v>4.0995373349999999</v>
      </c>
      <c r="X16" s="75">
        <v>1</v>
      </c>
      <c r="Y16" s="76">
        <v>9.1230000000000006E-2</v>
      </c>
      <c r="Z16" s="74">
        <v>4.0995373349999999</v>
      </c>
      <c r="AA16" s="73">
        <v>8311.6824450000004</v>
      </c>
      <c r="AB16" s="77">
        <v>9.1230000000000006E-2</v>
      </c>
      <c r="AC16" s="35">
        <f t="shared" si="20"/>
        <v>0.90199609229820121</v>
      </c>
      <c r="AD16" s="15">
        <f t="shared" si="10"/>
        <v>1.9191951388222139</v>
      </c>
      <c r="AE16" s="15">
        <f t="shared" si="21"/>
        <v>1.3815721797611398</v>
      </c>
      <c r="AF16" s="15">
        <f t="shared" si="22"/>
        <v>0.49363353701909235</v>
      </c>
      <c r="AG16" s="15">
        <f t="shared" si="11"/>
        <v>1.272124811520305</v>
      </c>
      <c r="AH16" s="15">
        <f t="shared" si="12"/>
        <v>1.7973831288098729</v>
      </c>
      <c r="AI16" s="15">
        <f t="shared" si="13"/>
        <v>1.3828111334214725</v>
      </c>
      <c r="AJ16" s="16">
        <f t="shared" si="23"/>
        <v>2.8918274292163648</v>
      </c>
      <c r="AK16" s="32">
        <f t="shared" si="24"/>
        <v>1.7958430032967714</v>
      </c>
      <c r="AL16" s="15">
        <f t="shared" si="25"/>
        <v>0.68112858155329425</v>
      </c>
      <c r="AM16" s="15">
        <f t="shared" si="14"/>
        <v>0.35812616286751658</v>
      </c>
      <c r="AN16" s="16">
        <f t="shared" si="15"/>
        <v>8.7357702492424444E-2</v>
      </c>
    </row>
    <row r="17" spans="1:40" x14ac:dyDescent="0.45">
      <c r="A17" s="19">
        <v>5</v>
      </c>
      <c r="B17" s="57" t="s">
        <v>69</v>
      </c>
      <c r="C17" s="58" t="s">
        <v>125</v>
      </c>
      <c r="D17" s="59">
        <v>2571</v>
      </c>
      <c r="E17" s="60">
        <v>12.04921875</v>
      </c>
      <c r="F17" s="61">
        <v>18.600000000000001</v>
      </c>
      <c r="G17" s="61">
        <v>1332</v>
      </c>
      <c r="H17" s="61">
        <v>2550</v>
      </c>
      <c r="I17" s="61">
        <v>1924.8664200000001</v>
      </c>
      <c r="J17" s="62">
        <v>65.864470999999995</v>
      </c>
      <c r="K17" s="28">
        <f t="shared" si="16"/>
        <v>71.560927898545003</v>
      </c>
      <c r="L17" s="69">
        <v>85.266959</v>
      </c>
      <c r="M17" s="29">
        <f t="shared" si="17"/>
        <v>93.083998050407246</v>
      </c>
      <c r="N17" s="71">
        <v>83.071986999999993</v>
      </c>
      <c r="O17" s="35">
        <f t="shared" si="18"/>
        <v>0.3877415397272585</v>
      </c>
      <c r="P17" s="16">
        <f t="shared" si="9"/>
        <v>0.38797432432185164</v>
      </c>
      <c r="Q17" s="57" t="s">
        <v>69</v>
      </c>
      <c r="R17" s="58" t="s">
        <v>263</v>
      </c>
      <c r="S17" s="58">
        <v>2571</v>
      </c>
      <c r="T17" s="58">
        <f t="shared" si="19"/>
        <v>1</v>
      </c>
      <c r="U17" s="58"/>
      <c r="V17" s="73">
        <v>1489</v>
      </c>
      <c r="W17" s="74">
        <v>3.8796387960000001</v>
      </c>
      <c r="X17" s="75">
        <v>1</v>
      </c>
      <c r="Y17" s="76">
        <v>7.6811000000000004E-2</v>
      </c>
      <c r="Z17" s="74">
        <v>3.8796387960000001</v>
      </c>
      <c r="AA17" s="73">
        <v>6664.5630369999999</v>
      </c>
      <c r="AB17" s="77">
        <v>7.6811000000000004E-2</v>
      </c>
      <c r="AC17" s="35">
        <f t="shared" si="20"/>
        <v>0.64623589954543081</v>
      </c>
      <c r="AD17" s="15">
        <f t="shared" si="10"/>
        <v>1.9569420715674606</v>
      </c>
      <c r="AE17" s="15">
        <f t="shared" si="21"/>
        <v>1.3689014647367828</v>
      </c>
      <c r="AF17" s="15">
        <f t="shared" si="22"/>
        <v>0.50551391039049298</v>
      </c>
      <c r="AG17" s="15">
        <f t="shared" si="11"/>
        <v>1.4266980784140333</v>
      </c>
      <c r="AH17" s="15">
        <f t="shared" si="12"/>
        <v>1.9312607139372953</v>
      </c>
      <c r="AI17" s="15">
        <f t="shared" si="13"/>
        <v>1.4213261016061671</v>
      </c>
      <c r="AJ17" s="16">
        <f t="shared" si="23"/>
        <v>3.1370784860849383</v>
      </c>
      <c r="AK17" s="32">
        <f t="shared" si="24"/>
        <v>1.500346367323645</v>
      </c>
      <c r="AL17" s="15">
        <f t="shared" si="25"/>
        <v>0.80052758520962597</v>
      </c>
      <c r="AM17" s="15">
        <f t="shared" si="14"/>
        <v>0.32198260123711342</v>
      </c>
      <c r="AN17" s="16">
        <f t="shared" si="15"/>
        <v>8.2992932633080468E-2</v>
      </c>
    </row>
    <row r="18" spans="1:40" x14ac:dyDescent="0.45">
      <c r="A18" s="19">
        <v>6</v>
      </c>
      <c r="B18" s="57" t="s">
        <v>69</v>
      </c>
      <c r="C18" s="58" t="s">
        <v>126</v>
      </c>
      <c r="D18" s="59">
        <v>2572</v>
      </c>
      <c r="E18" s="60">
        <v>4.9607812500000001</v>
      </c>
      <c r="F18" s="61">
        <v>13.175000000000001</v>
      </c>
      <c r="G18" s="61">
        <v>1185</v>
      </c>
      <c r="H18" s="61">
        <v>2140</v>
      </c>
      <c r="I18" s="61">
        <v>1674.3550660000001</v>
      </c>
      <c r="J18" s="62">
        <v>55.396495999999999</v>
      </c>
      <c r="K18" s="28">
        <f t="shared" si="16"/>
        <v>76.124567474048447</v>
      </c>
      <c r="L18" s="69">
        <v>88</v>
      </c>
      <c r="M18" s="29">
        <f t="shared" si="17"/>
        <v>94.461142121082005</v>
      </c>
      <c r="N18" s="71">
        <v>83.913917999999995</v>
      </c>
      <c r="O18" s="35">
        <f t="shared" si="18"/>
        <v>0.28001409051203913</v>
      </c>
      <c r="P18" s="16">
        <f t="shared" si="9"/>
        <v>0.28018219983193832</v>
      </c>
      <c r="Q18" s="57" t="s">
        <v>69</v>
      </c>
      <c r="R18" s="58" t="s">
        <v>264</v>
      </c>
      <c r="S18" s="58">
        <v>2572</v>
      </c>
      <c r="T18" s="58">
        <f t="shared" si="19"/>
        <v>1</v>
      </c>
      <c r="U18" s="58"/>
      <c r="V18" s="73">
        <v>1287</v>
      </c>
      <c r="W18" s="74">
        <v>0.9047019289999999</v>
      </c>
      <c r="X18" s="75">
        <v>1</v>
      </c>
      <c r="Y18" s="76">
        <v>0.11716600000000001</v>
      </c>
      <c r="Z18" s="74">
        <v>0.9047019289999999</v>
      </c>
      <c r="AA18" s="73">
        <v>4513.890238</v>
      </c>
      <c r="AB18" s="77">
        <v>0.11716600000000001</v>
      </c>
      <c r="AC18" s="35">
        <f t="shared" si="20"/>
        <v>0.4666901508533986</v>
      </c>
      <c r="AD18" s="15">
        <f t="shared" si="10"/>
        <v>1.3967626763158738</v>
      </c>
      <c r="AE18" s="15">
        <f t="shared" si="21"/>
        <v>0.41782376911781299</v>
      </c>
      <c r="AF18" s="15">
        <f t="shared" si="22"/>
        <v>0.14004656504770469</v>
      </c>
      <c r="AG18" s="15">
        <f t="shared" si="11"/>
        <v>1.24633469456837</v>
      </c>
      <c r="AH18" s="15">
        <f t="shared" si="12"/>
        <v>1.4726610597838845</v>
      </c>
      <c r="AI18" s="15">
        <f t="shared" si="13"/>
        <v>0.37266974461998725</v>
      </c>
      <c r="AJ18" s="16">
        <f t="shared" si="23"/>
        <v>1.6353334764855487</v>
      </c>
      <c r="AK18" s="32">
        <f t="shared" si="24"/>
        <v>1.6562794627220727</v>
      </c>
      <c r="AL18" s="15">
        <f t="shared" si="25"/>
        <v>6.0609268741931697</v>
      </c>
      <c r="AM18" s="15">
        <f t="shared" si="14"/>
        <v>0.18237085721125074</v>
      </c>
      <c r="AN18" s="16">
        <f t="shared" si="15"/>
        <v>0.20158115216227282</v>
      </c>
    </row>
    <row r="19" spans="1:40" x14ac:dyDescent="0.45">
      <c r="A19" s="19">
        <v>7</v>
      </c>
      <c r="B19" s="57" t="s">
        <v>69</v>
      </c>
      <c r="C19" s="58" t="s">
        <v>127</v>
      </c>
      <c r="D19" s="59">
        <v>2573</v>
      </c>
      <c r="E19" s="60">
        <v>0.97624999999999995</v>
      </c>
      <c r="F19" s="61">
        <v>6.2</v>
      </c>
      <c r="G19" s="61">
        <v>1172</v>
      </c>
      <c r="H19" s="61">
        <v>1672</v>
      </c>
      <c r="I19" s="61">
        <v>1375.5150450000001</v>
      </c>
      <c r="J19" s="62">
        <v>63.369571999999998</v>
      </c>
      <c r="K19" s="28">
        <f t="shared" si="16"/>
        <v>76.124567474048447</v>
      </c>
      <c r="L19" s="69">
        <v>88</v>
      </c>
      <c r="M19" s="29">
        <f t="shared" si="17"/>
        <v>94.461142121082005</v>
      </c>
      <c r="N19" s="71">
        <v>83.516831999999994</v>
      </c>
      <c r="O19" s="35">
        <f t="shared" si="18"/>
        <v>0.12596009650733828</v>
      </c>
      <c r="P19" s="16">
        <f t="shared" si="9"/>
        <v>0.12603571793810112</v>
      </c>
      <c r="Q19" s="57" t="s">
        <v>69</v>
      </c>
      <c r="R19" s="58" t="s">
        <v>265</v>
      </c>
      <c r="S19" s="58">
        <v>2573</v>
      </c>
      <c r="T19" s="58">
        <f t="shared" si="19"/>
        <v>1</v>
      </c>
      <c r="U19" s="58"/>
      <c r="V19" s="73">
        <v>1203</v>
      </c>
      <c r="W19" s="74">
        <v>1.2988961030000001</v>
      </c>
      <c r="X19" s="75">
        <v>1</v>
      </c>
      <c r="Y19" s="76">
        <v>3.0794999999999999E-2</v>
      </c>
      <c r="Z19" s="74">
        <v>1.2988961030000001</v>
      </c>
      <c r="AA19" s="73">
        <v>1808.699494</v>
      </c>
      <c r="AB19" s="77">
        <v>3.0794999999999999E-2</v>
      </c>
      <c r="AC19" s="35">
        <f t="shared" si="20"/>
        <v>0.20993349417889712</v>
      </c>
      <c r="AD19" s="15">
        <f t="shared" si="10"/>
        <v>0.75308984270630697</v>
      </c>
      <c r="AE19" s="15">
        <f t="shared" si="21"/>
        <v>0.70896789604619803</v>
      </c>
      <c r="AF19" s="15">
        <f t="shared" si="22"/>
        <v>0.309484746877568</v>
      </c>
      <c r="AG19" s="15">
        <f t="shared" si="11"/>
        <v>1.166125533070995</v>
      </c>
      <c r="AH19" s="15">
        <f t="shared" si="12"/>
        <v>1.2355802535620171</v>
      </c>
      <c r="AI19" s="15">
        <f t="shared" si="13"/>
        <v>0.85140815432620465</v>
      </c>
      <c r="AJ19" s="16">
        <f t="shared" si="23"/>
        <v>0.92687277545096003</v>
      </c>
      <c r="AK19" s="32">
        <f t="shared" si="24"/>
        <v>1.7569896266100622</v>
      </c>
      <c r="AL19" s="15">
        <f t="shared" si="25"/>
        <v>0.57864501927335488</v>
      </c>
      <c r="AM19" s="15">
        <f t="shared" si="14"/>
        <v>1.3304953679897569</v>
      </c>
      <c r="AN19" s="16">
        <f t="shared" si="15"/>
        <v>1.0243277848911652</v>
      </c>
    </row>
    <row r="20" spans="1:40" x14ac:dyDescent="0.45">
      <c r="A20" s="19">
        <v>8</v>
      </c>
      <c r="B20" s="57" t="s">
        <v>69</v>
      </c>
      <c r="C20" s="58" t="s">
        <v>128</v>
      </c>
      <c r="D20" s="59">
        <v>2574</v>
      </c>
      <c r="E20" s="60">
        <v>8.6292187499999997</v>
      </c>
      <c r="F20" s="61">
        <v>23.425000000000001</v>
      </c>
      <c r="G20" s="61">
        <v>1005</v>
      </c>
      <c r="H20" s="61">
        <v>2139</v>
      </c>
      <c r="I20" s="61">
        <v>1493.3932500000001</v>
      </c>
      <c r="J20" s="62">
        <v>53.371898999999999</v>
      </c>
      <c r="K20" s="28">
        <f t="shared" si="16"/>
        <v>73.965389544176062</v>
      </c>
      <c r="L20" s="69">
        <v>86.727531999999997</v>
      </c>
      <c r="M20" s="29">
        <f t="shared" si="17"/>
        <v>93.825736809466363</v>
      </c>
      <c r="N20" s="71">
        <v>83.355788000000004</v>
      </c>
      <c r="O20" s="35">
        <f t="shared" si="18"/>
        <v>0.42277635774802086</v>
      </c>
      <c r="P20" s="16">
        <f t="shared" si="9"/>
        <v>0.42303017585353303</v>
      </c>
      <c r="Q20" s="57" t="s">
        <v>69</v>
      </c>
      <c r="R20" s="58" t="s">
        <v>266</v>
      </c>
      <c r="S20" s="58">
        <v>2574</v>
      </c>
      <c r="T20" s="58">
        <f t="shared" si="19"/>
        <v>1</v>
      </c>
      <c r="U20" s="58"/>
      <c r="V20" s="73">
        <v>1095</v>
      </c>
      <c r="W20" s="74">
        <v>4.2523863610000001</v>
      </c>
      <c r="X20" s="75">
        <v>1</v>
      </c>
      <c r="Y20" s="76">
        <v>3.9978E-2</v>
      </c>
      <c r="Z20" s="74">
        <v>4.2523863610000001</v>
      </c>
      <c r="AA20" s="73">
        <v>6953.5479750000004</v>
      </c>
      <c r="AB20" s="77">
        <v>3.9978E-2</v>
      </c>
      <c r="AC20" s="35">
        <f t="shared" si="20"/>
        <v>0.70462726291336808</v>
      </c>
      <c r="AD20" s="15">
        <f t="shared" si="10"/>
        <v>1.7237836379378533</v>
      </c>
      <c r="AE20" s="15">
        <f t="shared" si="21"/>
        <v>1.6616368585755676</v>
      </c>
      <c r="AF20" s="15">
        <f t="shared" si="22"/>
        <v>0.69758625252534912</v>
      </c>
      <c r="AG20" s="15">
        <f t="shared" si="11"/>
        <v>1.7378867103971325</v>
      </c>
      <c r="AH20" s="15">
        <f t="shared" si="12"/>
        <v>2.0755820404626428</v>
      </c>
      <c r="AI20" s="15">
        <f t="shared" si="13"/>
        <v>1.982746677115409</v>
      </c>
      <c r="AJ20" s="16">
        <f t="shared" si="23"/>
        <v>3.1234599984372244</v>
      </c>
      <c r="AK20" s="32">
        <f t="shared" si="24"/>
        <v>2.2328106330390618</v>
      </c>
      <c r="AL20" s="15">
        <f t="shared" si="25"/>
        <v>0.4772061647009912</v>
      </c>
      <c r="AM20" s="15">
        <f t="shared" si="14"/>
        <v>0.49278926449743787</v>
      </c>
      <c r="AN20" s="16">
        <f t="shared" si="15"/>
        <v>0.11588534593586471</v>
      </c>
    </row>
    <row r="21" spans="1:40" x14ac:dyDescent="0.45">
      <c r="A21" s="19">
        <v>9</v>
      </c>
      <c r="B21" s="57" t="s">
        <v>69</v>
      </c>
      <c r="C21" s="58" t="s">
        <v>129</v>
      </c>
      <c r="D21" s="59">
        <v>2575</v>
      </c>
      <c r="E21" s="60">
        <v>17.620312500000001</v>
      </c>
      <c r="F21" s="61">
        <v>26.25</v>
      </c>
      <c r="G21" s="61">
        <v>1341</v>
      </c>
      <c r="H21" s="61">
        <v>2424</v>
      </c>
      <c r="I21" s="61">
        <v>1862.1438680000001</v>
      </c>
      <c r="J21" s="62">
        <v>51.945838999999999</v>
      </c>
      <c r="K21" s="28">
        <f t="shared" si="16"/>
        <v>63.241441324036614</v>
      </c>
      <c r="L21" s="69">
        <v>79.826695999999998</v>
      </c>
      <c r="M21" s="29">
        <f t="shared" si="17"/>
        <v>90.198416426923899</v>
      </c>
      <c r="N21" s="71">
        <v>82.262120999999993</v>
      </c>
      <c r="O21" s="35">
        <f t="shared" si="18"/>
        <v>0.61815397717746723</v>
      </c>
      <c r="P21" s="16">
        <f t="shared" si="9"/>
        <v>0.61852509223280705</v>
      </c>
      <c r="Q21" s="57" t="s">
        <v>69</v>
      </c>
      <c r="R21" s="58" t="s">
        <v>267</v>
      </c>
      <c r="S21" s="58">
        <v>2575</v>
      </c>
      <c r="T21" s="58">
        <f t="shared" si="19"/>
        <v>1</v>
      </c>
      <c r="U21" s="58"/>
      <c r="V21" s="73">
        <v>1484</v>
      </c>
      <c r="W21" s="74">
        <v>5.2476212990000004</v>
      </c>
      <c r="X21" s="75">
        <v>1</v>
      </c>
      <c r="Y21" s="76">
        <v>6.6316E-2</v>
      </c>
      <c r="Z21" s="74">
        <v>5.2476212990000004</v>
      </c>
      <c r="AA21" s="73">
        <v>8220.1217469999992</v>
      </c>
      <c r="AB21" s="77">
        <v>6.6316E-2</v>
      </c>
      <c r="AC21" s="35">
        <f t="shared" si="20"/>
        <v>1.0302566286291122</v>
      </c>
      <c r="AD21" s="15">
        <f t="shared" si="10"/>
        <v>2.2609906309696033</v>
      </c>
      <c r="AE21" s="15">
        <f t="shared" si="21"/>
        <v>1.7708642184855996</v>
      </c>
      <c r="AF21" s="15">
        <f t="shared" si="22"/>
        <v>0.67499396678544754</v>
      </c>
      <c r="AG21" s="15">
        <f t="shared" si="11"/>
        <v>1.6524119402808508</v>
      </c>
      <c r="AH21" s="15">
        <f t="shared" si="12"/>
        <v>2.2151071184154834</v>
      </c>
      <c r="AI21" s="15">
        <f t="shared" si="13"/>
        <v>1.928768354640038</v>
      </c>
      <c r="AJ21" s="16">
        <f t="shared" si="23"/>
        <v>4.1050744972446847</v>
      </c>
      <c r="AK21" s="32">
        <f t="shared" si="24"/>
        <v>1.7509773806961351</v>
      </c>
      <c r="AL21" s="15">
        <f t="shared" si="25"/>
        <v>0.6398654109270393</v>
      </c>
      <c r="AM21" s="15">
        <f t="shared" si="14"/>
        <v>0.29781658520528509</v>
      </c>
      <c r="AN21" s="16">
        <f t="shared" si="15"/>
        <v>5.6752682451006474E-2</v>
      </c>
    </row>
    <row r="22" spans="1:40" x14ac:dyDescent="0.45">
      <c r="A22" s="19">
        <v>10</v>
      </c>
      <c r="B22" s="57" t="s">
        <v>69</v>
      </c>
      <c r="C22" s="58" t="s">
        <v>130</v>
      </c>
      <c r="D22" s="59">
        <v>2576</v>
      </c>
      <c r="E22" s="60">
        <v>8.4735937499999991</v>
      </c>
      <c r="F22" s="61">
        <v>17.149999999999999</v>
      </c>
      <c r="G22" s="61">
        <v>906</v>
      </c>
      <c r="H22" s="61">
        <v>2263</v>
      </c>
      <c r="I22" s="61">
        <v>1652.7998749999999</v>
      </c>
      <c r="J22" s="62">
        <v>50.481113000000001</v>
      </c>
      <c r="K22" s="28">
        <f t="shared" si="16"/>
        <v>73.545627852061457</v>
      </c>
      <c r="L22" s="69">
        <v>86.475914000000003</v>
      </c>
      <c r="M22" s="29">
        <f t="shared" si="17"/>
        <v>93.698908988629896</v>
      </c>
      <c r="N22" s="71">
        <v>83.695907000000005</v>
      </c>
      <c r="O22" s="35">
        <f t="shared" si="18"/>
        <v>0.39303884779818671</v>
      </c>
      <c r="P22" s="16">
        <f t="shared" si="9"/>
        <v>0.39327481268579817</v>
      </c>
      <c r="Q22" s="57" t="s">
        <v>69</v>
      </c>
      <c r="R22" s="58" t="s">
        <v>268</v>
      </c>
      <c r="S22" s="58">
        <v>2576</v>
      </c>
      <c r="T22" s="58">
        <f t="shared" si="19"/>
        <v>1</v>
      </c>
      <c r="U22" s="58"/>
      <c r="V22" s="73">
        <v>1170</v>
      </c>
      <c r="W22" s="74">
        <v>2.2850320149999996</v>
      </c>
      <c r="X22" s="75">
        <v>1</v>
      </c>
      <c r="Y22" s="76">
        <v>0.172426</v>
      </c>
      <c r="Z22" s="74">
        <v>2.2850320149999996</v>
      </c>
      <c r="AA22" s="73">
        <v>6060.2737150000003</v>
      </c>
      <c r="AB22" s="77">
        <v>0.172426</v>
      </c>
      <c r="AC22" s="35">
        <f t="shared" si="20"/>
        <v>0.6550647463303112</v>
      </c>
      <c r="AD22" s="15">
        <f t="shared" si="10"/>
        <v>1.7119035597487966</v>
      </c>
      <c r="AE22" s="15">
        <f t="shared" si="21"/>
        <v>0.78509980844089189</v>
      </c>
      <c r="AF22" s="15">
        <f t="shared" si="22"/>
        <v>0.24632405974966384</v>
      </c>
      <c r="AG22" s="15">
        <f t="shared" si="11"/>
        <v>0.94903742772854471</v>
      </c>
      <c r="AH22" s="15">
        <f t="shared" si="12"/>
        <v>1.4334400925260611</v>
      </c>
      <c r="AI22" s="15">
        <f t="shared" si="13"/>
        <v>0.67093119305918603</v>
      </c>
      <c r="AJ22" s="16">
        <f t="shared" si="23"/>
        <v>2.0032548387947351</v>
      </c>
      <c r="AK22" s="32">
        <f t="shared" si="24"/>
        <v>1.6496368002991171</v>
      </c>
      <c r="AL22" s="15">
        <f t="shared" si="25"/>
        <v>1.6228674897073705</v>
      </c>
      <c r="AM22" s="15">
        <f t="shared" si="14"/>
        <v>0.26966504206081393</v>
      </c>
      <c r="AN22" s="16">
        <f t="shared" si="15"/>
        <v>0.11801368221128138</v>
      </c>
    </row>
    <row r="23" spans="1:40" x14ac:dyDescent="0.45">
      <c r="A23" s="19">
        <v>11</v>
      </c>
      <c r="B23" s="57" t="s">
        <v>69</v>
      </c>
      <c r="C23" s="58" t="s">
        <v>131</v>
      </c>
      <c r="D23" s="59">
        <v>2577</v>
      </c>
      <c r="E23" s="60">
        <v>4.9967187500000003</v>
      </c>
      <c r="F23" s="61">
        <v>13.6</v>
      </c>
      <c r="G23" s="61">
        <v>1232</v>
      </c>
      <c r="H23" s="61">
        <v>2287</v>
      </c>
      <c r="I23" s="61">
        <v>1654.719253</v>
      </c>
      <c r="J23" s="62">
        <v>68.474463999999998</v>
      </c>
      <c r="K23" s="28">
        <f t="shared" si="16"/>
        <v>76.124567474048447</v>
      </c>
      <c r="L23" s="69">
        <v>88</v>
      </c>
      <c r="M23" s="29">
        <f t="shared" si="17"/>
        <v>94.461142121082005</v>
      </c>
      <c r="N23" s="71">
        <v>82.839831000000004</v>
      </c>
      <c r="O23" s="35">
        <f t="shared" si="18"/>
        <v>0.23811807878233515</v>
      </c>
      <c r="P23" s="16">
        <f t="shared" si="9"/>
        <v>0.23826103540357726</v>
      </c>
      <c r="Q23" s="57" t="s">
        <v>69</v>
      </c>
      <c r="R23" s="58" t="s">
        <v>269</v>
      </c>
      <c r="S23" s="58">
        <v>2577</v>
      </c>
      <c r="T23" s="58">
        <f t="shared" si="19"/>
        <v>1</v>
      </c>
      <c r="U23" s="58"/>
      <c r="V23" s="73">
        <v>1295</v>
      </c>
      <c r="W23" s="74">
        <v>2.1063708499999998</v>
      </c>
      <c r="X23" s="75">
        <v>1</v>
      </c>
      <c r="Y23" s="76">
        <v>5.5545999999999998E-2</v>
      </c>
      <c r="Z23" s="74">
        <v>2.1063708499999998</v>
      </c>
      <c r="AA23" s="73">
        <v>4208.1921869999996</v>
      </c>
      <c r="AB23" s="77">
        <v>5.5545999999999998E-2</v>
      </c>
      <c r="AC23" s="35">
        <f t="shared" si="20"/>
        <v>0.39686346463722527</v>
      </c>
      <c r="AD23" s="15">
        <f t="shared" si="10"/>
        <v>1.4005991427237163</v>
      </c>
      <c r="AE23" s="15">
        <f t="shared" si="21"/>
        <v>0.91521620237780688</v>
      </c>
      <c r="AF23" s="15">
        <f t="shared" si="22"/>
        <v>0.35783459940611861</v>
      </c>
      <c r="AG23" s="15">
        <f t="shared" si="11"/>
        <v>1.3983087711256956</v>
      </c>
      <c r="AH23" s="15">
        <f t="shared" si="12"/>
        <v>1.6900126826218533</v>
      </c>
      <c r="AI23" s="15">
        <f t="shared" si="13"/>
        <v>0.99404149624290183</v>
      </c>
      <c r="AJ23" s="16">
        <f t="shared" si="23"/>
        <v>2.0491578001076785</v>
      </c>
      <c r="AK23" s="32">
        <f t="shared" si="24"/>
        <v>1.7035484402330316</v>
      </c>
      <c r="AL23" s="15">
        <f t="shared" si="25"/>
        <v>1.1261992482788052</v>
      </c>
      <c r="AM23" s="15">
        <f t="shared" si="14"/>
        <v>0.42155081272084799</v>
      </c>
      <c r="AN23" s="16">
        <f t="shared" si="15"/>
        <v>0.20013133618937426</v>
      </c>
    </row>
    <row r="24" spans="1:40" x14ac:dyDescent="0.45">
      <c r="A24" s="19">
        <v>12</v>
      </c>
      <c r="B24" s="57" t="s">
        <v>69</v>
      </c>
      <c r="C24" s="58" t="s">
        <v>132</v>
      </c>
      <c r="D24" s="59">
        <v>2578</v>
      </c>
      <c r="E24" s="60">
        <v>12.19703125</v>
      </c>
      <c r="F24" s="61">
        <v>22.05</v>
      </c>
      <c r="G24" s="61">
        <v>1227</v>
      </c>
      <c r="H24" s="61">
        <v>2284</v>
      </c>
      <c r="I24" s="61">
        <v>1748.952409</v>
      </c>
      <c r="J24" s="62">
        <v>46.103938999999997</v>
      </c>
      <c r="K24" s="28">
        <f t="shared" si="16"/>
        <v>65.434919671660992</v>
      </c>
      <c r="L24" s="69">
        <v>81.322774999999993</v>
      </c>
      <c r="M24" s="29">
        <f t="shared" si="17"/>
        <v>91.011920685896001</v>
      </c>
      <c r="N24" s="71">
        <v>81.895520000000005</v>
      </c>
      <c r="O24" s="35">
        <f t="shared" si="18"/>
        <v>0.54195229298911707</v>
      </c>
      <c r="P24" s="16">
        <f t="shared" si="9"/>
        <v>0.54227765958486818</v>
      </c>
      <c r="Q24" s="57" t="s">
        <v>69</v>
      </c>
      <c r="R24" s="58" t="s">
        <v>270</v>
      </c>
      <c r="S24" s="58">
        <v>2578</v>
      </c>
      <c r="T24" s="58">
        <f t="shared" si="19"/>
        <v>1</v>
      </c>
      <c r="U24" s="58"/>
      <c r="V24" s="73">
        <v>1445</v>
      </c>
      <c r="W24" s="74">
        <v>3.4098164660000001</v>
      </c>
      <c r="X24" s="75">
        <v>1</v>
      </c>
      <c r="Y24" s="76">
        <v>9.5605999999999997E-2</v>
      </c>
      <c r="Z24" s="74">
        <v>3.4098164660000001</v>
      </c>
      <c r="AA24" s="73">
        <v>6866.7839059999997</v>
      </c>
      <c r="AB24" s="77">
        <v>9.5605999999999997E-2</v>
      </c>
      <c r="AC24" s="35">
        <f t="shared" si="20"/>
        <v>0.90325382164852852</v>
      </c>
      <c r="AD24" s="15">
        <f t="shared" si="10"/>
        <v>1.966030107002672</v>
      </c>
      <c r="AE24" s="15">
        <f t="shared" si="21"/>
        <v>1.1904321279086221</v>
      </c>
      <c r="AF24" s="15">
        <f t="shared" si="22"/>
        <v>0.42069555341762521</v>
      </c>
      <c r="AG24" s="15">
        <f t="shared" si="11"/>
        <v>1.3211449247032776</v>
      </c>
      <c r="AH24" s="15">
        <f t="shared" si="12"/>
        <v>1.8423653110318312</v>
      </c>
      <c r="AI24" s="15">
        <f t="shared" si="13"/>
        <v>1.1828182991992131</v>
      </c>
      <c r="AJ24" s="16">
        <f t="shared" si="23"/>
        <v>2.961281295617189</v>
      </c>
      <c r="AK24" s="32">
        <f t="shared" si="24"/>
        <v>1.7678261626677227</v>
      </c>
      <c r="AL24" s="15">
        <f t="shared" si="25"/>
        <v>1.0490401957541289</v>
      </c>
      <c r="AM24" s="15">
        <f t="shared" si="14"/>
        <v>0.27956118141453479</v>
      </c>
      <c r="AN24" s="16">
        <f t="shared" si="15"/>
        <v>8.198716388465431E-2</v>
      </c>
    </row>
    <row r="25" spans="1:40" x14ac:dyDescent="0.45">
      <c r="A25" s="19">
        <v>13</v>
      </c>
      <c r="B25" s="57" t="s">
        <v>69</v>
      </c>
      <c r="C25" s="58" t="s">
        <v>133</v>
      </c>
      <c r="D25" s="59">
        <v>2579</v>
      </c>
      <c r="E25" s="60">
        <v>13.160937499999999</v>
      </c>
      <c r="F25" s="61">
        <v>22.35</v>
      </c>
      <c r="G25" s="61">
        <v>1017</v>
      </c>
      <c r="H25" s="61">
        <v>2065</v>
      </c>
      <c r="I25" s="61">
        <v>1440.0397599999999</v>
      </c>
      <c r="J25" s="62">
        <v>64.515349999999998</v>
      </c>
      <c r="K25" s="28">
        <f t="shared" si="16"/>
        <v>75.409695469482344</v>
      </c>
      <c r="L25" s="69">
        <v>87.582699000000005</v>
      </c>
      <c r="M25" s="29">
        <f t="shared" si="17"/>
        <v>94.253856486501007</v>
      </c>
      <c r="N25" s="71">
        <v>82.654602999999994</v>
      </c>
      <c r="O25" s="35">
        <f t="shared" si="18"/>
        <v>0.38985981992631552</v>
      </c>
      <c r="P25" s="16">
        <f t="shared" si="9"/>
        <v>0.39009387625206676</v>
      </c>
      <c r="Q25" s="57" t="s">
        <v>69</v>
      </c>
      <c r="R25" s="58" t="s">
        <v>271</v>
      </c>
      <c r="S25" s="58">
        <v>2579</v>
      </c>
      <c r="T25" s="58">
        <f t="shared" si="19"/>
        <v>1</v>
      </c>
      <c r="U25" s="58"/>
      <c r="V25" s="73">
        <v>1141</v>
      </c>
      <c r="W25" s="74">
        <v>6.3987698369999997</v>
      </c>
      <c r="X25" s="75">
        <v>1</v>
      </c>
      <c r="Y25" s="76">
        <v>3.3131000000000001E-2</v>
      </c>
      <c r="Z25" s="74">
        <v>6.3987698369999997</v>
      </c>
      <c r="AA25" s="73">
        <v>7361.5300280000001</v>
      </c>
      <c r="AB25" s="77">
        <v>3.3131000000000001E-2</v>
      </c>
      <c r="AC25" s="35">
        <f t="shared" si="20"/>
        <v>0.64976636654385922</v>
      </c>
      <c r="AD25" s="15">
        <f t="shared" si="10"/>
        <v>2.0236834800947379</v>
      </c>
      <c r="AE25" s="15">
        <f t="shared" si="21"/>
        <v>2.3491460742601991</v>
      </c>
      <c r="AF25" s="15">
        <f t="shared" si="22"/>
        <v>1.0272019328021857</v>
      </c>
      <c r="AG25" s="15">
        <f t="shared" si="11"/>
        <v>2.069662809762987</v>
      </c>
      <c r="AH25" s="15">
        <f t="shared" si="12"/>
        <v>2.417357936105323</v>
      </c>
      <c r="AI25" s="15">
        <f t="shared" si="13"/>
        <v>2.9765091016794663</v>
      </c>
      <c r="AJ25" s="16">
        <f t="shared" si="23"/>
        <v>4.2416258079149971</v>
      </c>
      <c r="AK25" s="32">
        <f t="shared" si="24"/>
        <v>1.7250120988173183</v>
      </c>
      <c r="AL25" s="15">
        <f t="shared" si="25"/>
        <v>0.32143550695400025</v>
      </c>
      <c r="AM25" s="15">
        <f t="shared" si="14"/>
        <v>0.48619407523210256</v>
      </c>
      <c r="AN25" s="16">
        <f t="shared" si="15"/>
        <v>7.5982429063279122E-2</v>
      </c>
    </row>
    <row r="26" spans="1:40" x14ac:dyDescent="0.45">
      <c r="A26" s="19">
        <v>14</v>
      </c>
      <c r="B26" s="57" t="s">
        <v>69</v>
      </c>
      <c r="C26" s="58" t="s">
        <v>134</v>
      </c>
      <c r="D26" s="59">
        <v>2580</v>
      </c>
      <c r="E26" s="60">
        <v>5.7378125000000004</v>
      </c>
      <c r="F26" s="61">
        <v>14.35</v>
      </c>
      <c r="G26" s="61">
        <v>894</v>
      </c>
      <c r="H26" s="61">
        <v>1613</v>
      </c>
      <c r="I26" s="61">
        <v>1257.000082</v>
      </c>
      <c r="J26" s="62">
        <v>56.893120000000003</v>
      </c>
      <c r="K26" s="28">
        <f t="shared" si="16"/>
        <v>63.235569165189219</v>
      </c>
      <c r="L26" s="69">
        <v>79.822627999999995</v>
      </c>
      <c r="M26" s="29">
        <f t="shared" si="17"/>
        <v>90.196183048605263</v>
      </c>
      <c r="N26" s="71">
        <v>83.018932000000007</v>
      </c>
      <c r="O26" s="35">
        <f t="shared" si="18"/>
        <v>0.36436580749972941</v>
      </c>
      <c r="P26" s="16">
        <f t="shared" si="9"/>
        <v>0.36458455823467018</v>
      </c>
      <c r="Q26" s="57" t="s">
        <v>69</v>
      </c>
      <c r="R26" s="58" t="s">
        <v>272</v>
      </c>
      <c r="S26" s="58">
        <v>2580</v>
      </c>
      <c r="T26" s="58">
        <f t="shared" si="19"/>
        <v>1</v>
      </c>
      <c r="U26" s="58"/>
      <c r="V26" s="73">
        <v>948</v>
      </c>
      <c r="W26" s="74">
        <v>4.048097039</v>
      </c>
      <c r="X26" s="75">
        <v>1</v>
      </c>
      <c r="Y26" s="76">
        <v>2.7914000000000001E-2</v>
      </c>
      <c r="Z26" s="74">
        <v>4.048097039</v>
      </c>
      <c r="AA26" s="73">
        <v>4493.1795599999996</v>
      </c>
      <c r="AB26" s="77">
        <v>2.7914000000000001E-2</v>
      </c>
      <c r="AC26" s="35">
        <f t="shared" si="20"/>
        <v>0.60727634583288237</v>
      </c>
      <c r="AD26" s="15">
        <f t="shared" si="10"/>
        <v>1.476172825172904</v>
      </c>
      <c r="AE26" s="15">
        <f t="shared" si="21"/>
        <v>1.7136643252579584</v>
      </c>
      <c r="AF26" s="15">
        <f t="shared" si="22"/>
        <v>0.77124708712021894</v>
      </c>
      <c r="AG26" s="15">
        <f t="shared" si="11"/>
        <v>1.8405951547769315</v>
      </c>
      <c r="AH26" s="15">
        <f t="shared" si="12"/>
        <v>2.0269082861444407</v>
      </c>
      <c r="AI26" s="15">
        <f t="shared" si="13"/>
        <v>2.2051629886257715</v>
      </c>
      <c r="AJ26" s="16">
        <f t="shared" si="23"/>
        <v>2.7276908630881751</v>
      </c>
      <c r="AK26" s="32">
        <f t="shared" si="24"/>
        <v>1.6774004541684977</v>
      </c>
      <c r="AL26" s="15">
        <f t="shared" si="25"/>
        <v>0.35014225387456938</v>
      </c>
      <c r="AM26" s="15">
        <f t="shared" si="14"/>
        <v>0.70551225558520769</v>
      </c>
      <c r="AN26" s="16">
        <f t="shared" si="15"/>
        <v>0.17428244648984259</v>
      </c>
    </row>
    <row r="27" spans="1:40" x14ac:dyDescent="0.45">
      <c r="A27" s="19">
        <v>15</v>
      </c>
      <c r="B27" s="57" t="s">
        <v>69</v>
      </c>
      <c r="C27" s="58" t="s">
        <v>135</v>
      </c>
      <c r="D27" s="59">
        <v>2581</v>
      </c>
      <c r="E27" s="60">
        <v>7.8532812500000002</v>
      </c>
      <c r="F27" s="61">
        <v>22.25</v>
      </c>
      <c r="G27" s="61">
        <v>771</v>
      </c>
      <c r="H27" s="61">
        <v>2080</v>
      </c>
      <c r="I27" s="61">
        <v>1351.973041</v>
      </c>
      <c r="J27" s="62">
        <v>49.270114999999997</v>
      </c>
      <c r="K27" s="28">
        <f t="shared" si="16"/>
        <v>67.705622414106514</v>
      </c>
      <c r="L27" s="69">
        <v>82.823721000000006</v>
      </c>
      <c r="M27" s="29">
        <f t="shared" si="17"/>
        <v>91.812615907298493</v>
      </c>
      <c r="N27" s="71">
        <v>83.191761</v>
      </c>
      <c r="O27" s="35">
        <f t="shared" si="18"/>
        <v>0.50469593788693312</v>
      </c>
      <c r="P27" s="16">
        <f t="shared" si="9"/>
        <v>0.5049989372492828</v>
      </c>
      <c r="Q27" s="57" t="s">
        <v>69</v>
      </c>
      <c r="R27" s="58" t="s">
        <v>273</v>
      </c>
      <c r="S27" s="58">
        <v>2581</v>
      </c>
      <c r="T27" s="58">
        <f t="shared" si="19"/>
        <v>1</v>
      </c>
      <c r="U27" s="58"/>
      <c r="V27" s="73">
        <v>837</v>
      </c>
      <c r="W27" s="74">
        <v>3.918287335</v>
      </c>
      <c r="X27" s="75">
        <v>1</v>
      </c>
      <c r="Y27" s="76">
        <v>2.8583999999999998E-2</v>
      </c>
      <c r="Z27" s="74">
        <v>3.918287335</v>
      </c>
      <c r="AA27" s="73">
        <v>6961.6824450000004</v>
      </c>
      <c r="AB27" s="77">
        <v>2.8583999999999998E-2</v>
      </c>
      <c r="AC27" s="35">
        <f t="shared" si="20"/>
        <v>0.84115989647822187</v>
      </c>
      <c r="AD27" s="15">
        <f t="shared" si="10"/>
        <v>1.6631561639657797</v>
      </c>
      <c r="AE27" s="15">
        <f t="shared" si="21"/>
        <v>1.6642212274985921</v>
      </c>
      <c r="AF27" s="15">
        <f t="shared" si="22"/>
        <v>0.74529569172338361</v>
      </c>
      <c r="AG27" s="15">
        <f t="shared" si="11"/>
        <v>2.0180571468865702</v>
      </c>
      <c r="AH27" s="15">
        <f t="shared" si="12"/>
        <v>2.236169569753371</v>
      </c>
      <c r="AI27" s="15">
        <f t="shared" si="13"/>
        <v>2.125910749741716</v>
      </c>
      <c r="AJ27" s="16">
        <f t="shared" si="23"/>
        <v>3.2626438530140796</v>
      </c>
      <c r="AK27" s="32">
        <f t="shared" si="24"/>
        <v>2.2231177749307096</v>
      </c>
      <c r="AL27" s="15">
        <f t="shared" si="25"/>
        <v>0.51151525504496009</v>
      </c>
      <c r="AM27" s="15">
        <f t="shared" si="14"/>
        <v>0.49893633123097431</v>
      </c>
      <c r="AN27" s="16">
        <f t="shared" si="15"/>
        <v>0.12733530968345239</v>
      </c>
    </row>
    <row r="28" spans="1:40" x14ac:dyDescent="0.45">
      <c r="A28" s="19">
        <v>16</v>
      </c>
      <c r="B28" s="57" t="s">
        <v>69</v>
      </c>
      <c r="C28" s="58" t="s">
        <v>136</v>
      </c>
      <c r="D28" s="59">
        <v>2582</v>
      </c>
      <c r="E28" s="60">
        <v>4.2595312500000002</v>
      </c>
      <c r="F28" s="61">
        <v>13.625</v>
      </c>
      <c r="G28" s="61">
        <v>788</v>
      </c>
      <c r="H28" s="61">
        <v>1970</v>
      </c>
      <c r="I28" s="61">
        <v>1503.0390299999999</v>
      </c>
      <c r="J28" s="62">
        <v>40.888241000000001</v>
      </c>
      <c r="K28" s="28">
        <f t="shared" si="16"/>
        <v>72.416917261422441</v>
      </c>
      <c r="L28" s="69">
        <v>85.792315000000002</v>
      </c>
      <c r="M28" s="29">
        <f t="shared" si="17"/>
        <v>93.352342885887694</v>
      </c>
      <c r="N28" s="71">
        <v>83.243476999999999</v>
      </c>
      <c r="O28" s="35">
        <f t="shared" si="18"/>
        <v>0.36240046336666154</v>
      </c>
      <c r="P28" s="16">
        <f t="shared" si="9"/>
        <v>0.36261803418717375</v>
      </c>
      <c r="Q28" s="57" t="s">
        <v>69</v>
      </c>
      <c r="R28" s="58" t="s">
        <v>274</v>
      </c>
      <c r="S28" s="58">
        <v>2582</v>
      </c>
      <c r="T28" s="58">
        <f t="shared" si="19"/>
        <v>1</v>
      </c>
      <c r="U28" s="58"/>
      <c r="V28" s="73">
        <v>839</v>
      </c>
      <c r="W28" s="74">
        <v>0.267937861</v>
      </c>
      <c r="X28" s="75">
        <v>1</v>
      </c>
      <c r="Y28" s="76">
        <v>0.38441700000000001</v>
      </c>
      <c r="Z28" s="74">
        <v>0.267937861</v>
      </c>
      <c r="AA28" s="73">
        <v>4653.8266569999996</v>
      </c>
      <c r="AB28" s="77">
        <v>0.38441700000000001</v>
      </c>
      <c r="AC28" s="35">
        <f t="shared" si="20"/>
        <v>0.60400077227776927</v>
      </c>
      <c r="AD28" s="15">
        <f t="shared" si="10"/>
        <v>1.3181689566075327</v>
      </c>
      <c r="AE28" s="15">
        <f t="shared" si="21"/>
        <v>0.13222533283692944</v>
      </c>
      <c r="AF28" s="15">
        <f t="shared" si="22"/>
        <v>3.4728744406931925E-2</v>
      </c>
      <c r="AG28" s="15">
        <f t="shared" si="11"/>
        <v>1.066219441329733</v>
      </c>
      <c r="AH28" s="15">
        <f t="shared" si="12"/>
        <v>1.1160524080106398</v>
      </c>
      <c r="AI28" s="15">
        <f t="shared" si="13"/>
        <v>8.7879685175988473E-2</v>
      </c>
      <c r="AJ28" s="16">
        <f t="shared" si="23"/>
        <v>1.0504185754576421</v>
      </c>
      <c r="AK28" s="32">
        <f t="shared" si="24"/>
        <v>1.8484752410500067</v>
      </c>
      <c r="AL28" s="15">
        <f t="shared" si="25"/>
        <v>59.332635101775104</v>
      </c>
      <c r="AM28" s="15">
        <f t="shared" si="14"/>
        <v>6.2903133061883276E-2</v>
      </c>
      <c r="AN28" s="16">
        <f t="shared" si="15"/>
        <v>0.23476761674186566</v>
      </c>
    </row>
    <row r="29" spans="1:40" x14ac:dyDescent="0.45">
      <c r="A29" s="19">
        <v>17</v>
      </c>
      <c r="B29" s="57" t="s">
        <v>69</v>
      </c>
      <c r="C29" s="58" t="s">
        <v>137</v>
      </c>
      <c r="D29" s="59">
        <v>2583</v>
      </c>
      <c r="E29" s="60">
        <v>1.0254687499999999</v>
      </c>
      <c r="F29" s="61">
        <v>6.375</v>
      </c>
      <c r="G29" s="61">
        <v>731</v>
      </c>
      <c r="H29" s="61">
        <v>1281</v>
      </c>
      <c r="I29" s="61">
        <v>946.62334299999998</v>
      </c>
      <c r="J29" s="62">
        <v>69.389426999999998</v>
      </c>
      <c r="K29" s="28">
        <f t="shared" si="16"/>
        <v>55.15002334022244</v>
      </c>
      <c r="L29" s="69">
        <v>73.878116000000006</v>
      </c>
      <c r="M29" s="29">
        <f t="shared" si="17"/>
        <v>86.802560585557799</v>
      </c>
      <c r="N29" s="71">
        <v>82.816376000000005</v>
      </c>
      <c r="O29" s="35">
        <f t="shared" si="18"/>
        <v>0.21449825542530132</v>
      </c>
      <c r="P29" s="16">
        <f t="shared" si="9"/>
        <v>0.21462703164428787</v>
      </c>
      <c r="Q29" s="57" t="s">
        <v>69</v>
      </c>
      <c r="R29" s="58" t="s">
        <v>275</v>
      </c>
      <c r="S29" s="58">
        <v>2583</v>
      </c>
      <c r="T29" s="58">
        <f t="shared" si="19"/>
        <v>1</v>
      </c>
      <c r="U29" s="58"/>
      <c r="V29" s="73">
        <v>743</v>
      </c>
      <c r="W29" s="74">
        <v>1.491205807</v>
      </c>
      <c r="X29" s="75">
        <v>1</v>
      </c>
      <c r="Y29" s="76">
        <v>4.1577000000000003E-2</v>
      </c>
      <c r="Z29" s="74">
        <v>1.491205807</v>
      </c>
      <c r="AA29" s="73">
        <v>2105.222311</v>
      </c>
      <c r="AB29" s="77">
        <v>4.1577000000000003E-2</v>
      </c>
      <c r="AC29" s="35">
        <f t="shared" si="20"/>
        <v>0.3574970923755022</v>
      </c>
      <c r="AD29" s="15">
        <f t="shared" si="10"/>
        <v>0.76729808761810148</v>
      </c>
      <c r="AE29" s="15">
        <f t="shared" si="21"/>
        <v>0.74375127261785201</v>
      </c>
      <c r="AF29" s="15">
        <f t="shared" si="22"/>
        <v>0.30663188293989613</v>
      </c>
      <c r="AG29" s="15">
        <f t="shared" si="11"/>
        <v>0.99806078963212197</v>
      </c>
      <c r="AH29" s="15">
        <f t="shared" si="12"/>
        <v>1.135661207400835</v>
      </c>
      <c r="AI29" s="15">
        <f t="shared" si="13"/>
        <v>0.84681406319103447</v>
      </c>
      <c r="AJ29" s="16">
        <f t="shared" si="23"/>
        <v>0.87303539085496673</v>
      </c>
      <c r="AK29" s="32">
        <f t="shared" si="24"/>
        <v>1.7626943209860948</v>
      </c>
      <c r="AL29" s="15">
        <f t="shared" si="25"/>
        <v>0.46115535683472636</v>
      </c>
      <c r="AM29" s="15">
        <f t="shared" si="14"/>
        <v>1.4541699169282343</v>
      </c>
      <c r="AN29" s="16">
        <f t="shared" si="15"/>
        <v>0.97516379704403477</v>
      </c>
    </row>
    <row r="30" spans="1:40" x14ac:dyDescent="0.45">
      <c r="A30" s="19">
        <v>18</v>
      </c>
      <c r="B30" s="57" t="s">
        <v>69</v>
      </c>
      <c r="C30" s="58" t="s">
        <v>138</v>
      </c>
      <c r="D30" s="59">
        <v>2584</v>
      </c>
      <c r="E30" s="60">
        <v>7.74515625</v>
      </c>
      <c r="F30" s="61">
        <v>18.524999999999999</v>
      </c>
      <c r="G30" s="61">
        <v>466</v>
      </c>
      <c r="H30" s="61">
        <v>1631</v>
      </c>
      <c r="I30" s="61">
        <v>1005.116767</v>
      </c>
      <c r="J30" s="62">
        <v>52.719948000000002</v>
      </c>
      <c r="K30" s="28">
        <f t="shared" si="16"/>
        <v>53.494317287300802</v>
      </c>
      <c r="L30" s="69">
        <v>72.569914999999995</v>
      </c>
      <c r="M30" s="29">
        <f t="shared" si="17"/>
        <v>86.019134351217858</v>
      </c>
      <c r="N30" s="71">
        <v>82.393519999999995</v>
      </c>
      <c r="O30" s="35">
        <f t="shared" si="18"/>
        <v>0.64698451812924329</v>
      </c>
      <c r="P30" s="16">
        <f t="shared" si="9"/>
        <v>0.64737294189437988</v>
      </c>
      <c r="Q30" s="57" t="s">
        <v>69</v>
      </c>
      <c r="R30" s="58" t="s">
        <v>276</v>
      </c>
      <c r="S30" s="58">
        <v>2584</v>
      </c>
      <c r="T30" s="58">
        <f t="shared" si="19"/>
        <v>1</v>
      </c>
      <c r="U30" s="58"/>
      <c r="V30" s="73">
        <v>637</v>
      </c>
      <c r="W30" s="74">
        <v>2.9751208499999997</v>
      </c>
      <c r="X30" s="75">
        <v>1</v>
      </c>
      <c r="Y30" s="76">
        <v>0.104534</v>
      </c>
      <c r="Z30" s="74">
        <v>2.9751208499999997</v>
      </c>
      <c r="AA30" s="73">
        <v>6732.0882899999997</v>
      </c>
      <c r="AB30" s="77">
        <v>0.104534</v>
      </c>
      <c r="AC30" s="35">
        <f t="shared" si="20"/>
        <v>1.0783075302154055</v>
      </c>
      <c r="AD30" s="15">
        <f t="shared" si="10"/>
        <v>1.6544172971656506</v>
      </c>
      <c r="AE30" s="15">
        <f t="shared" si="21"/>
        <v>1.0551782274193491</v>
      </c>
      <c r="AF30" s="15">
        <f t="shared" si="22"/>
        <v>0.36596219002392655</v>
      </c>
      <c r="AG30" s="15">
        <f t="shared" si="11"/>
        <v>1.1052899915763228</v>
      </c>
      <c r="AH30" s="15">
        <f t="shared" si="12"/>
        <v>1.5693495777529052</v>
      </c>
      <c r="AI30" s="15">
        <f t="shared" si="13"/>
        <v>1.0202614954868336</v>
      </c>
      <c r="AJ30" s="16">
        <f t="shared" si="23"/>
        <v>2.2030778126713373</v>
      </c>
      <c r="AK30" s="32">
        <f t="shared" si="24"/>
        <v>1.8638079342399103</v>
      </c>
      <c r="AL30" s="15">
        <f t="shared" si="25"/>
        <v>0.87502600587057666</v>
      </c>
      <c r="AM30" s="15">
        <f t="shared" si="14"/>
        <v>0.38412664044059791</v>
      </c>
      <c r="AN30" s="16">
        <f t="shared" si="15"/>
        <v>0.12911295366055398</v>
      </c>
    </row>
    <row r="31" spans="1:40" x14ac:dyDescent="0.45">
      <c r="A31" s="19">
        <v>19</v>
      </c>
      <c r="B31" s="57" t="s">
        <v>69</v>
      </c>
      <c r="C31" s="58" t="s">
        <v>139</v>
      </c>
      <c r="D31" s="59">
        <v>2585</v>
      </c>
      <c r="E31" s="60">
        <v>13.525625</v>
      </c>
      <c r="F31" s="61">
        <v>23.2</v>
      </c>
      <c r="G31" s="61">
        <v>578</v>
      </c>
      <c r="H31" s="61">
        <v>1717</v>
      </c>
      <c r="I31" s="61">
        <v>1127.969006</v>
      </c>
      <c r="J31" s="62">
        <v>53.061408999999998</v>
      </c>
      <c r="K31" s="28">
        <f t="shared" si="16"/>
        <v>60.577348462885837</v>
      </c>
      <c r="L31" s="69">
        <v>77.945437999999996</v>
      </c>
      <c r="M31" s="29">
        <f t="shared" si="17"/>
        <v>89.1529440529619</v>
      </c>
      <c r="N31" s="71">
        <v>82.455680000000001</v>
      </c>
      <c r="O31" s="35">
        <f t="shared" si="18"/>
        <v>0.64690998783192166</v>
      </c>
      <c r="P31" s="16">
        <f t="shared" si="9"/>
        <v>0.6472983668520329</v>
      </c>
      <c r="Q31" s="57" t="s">
        <v>69</v>
      </c>
      <c r="R31" s="58" t="s">
        <v>277</v>
      </c>
      <c r="S31" s="58">
        <v>2585</v>
      </c>
      <c r="T31" s="58">
        <f t="shared" si="19"/>
        <v>1</v>
      </c>
      <c r="U31" s="58"/>
      <c r="V31" s="73">
        <v>659</v>
      </c>
      <c r="W31" s="74">
        <v>4.9084523779999998</v>
      </c>
      <c r="X31" s="75">
        <v>1</v>
      </c>
      <c r="Y31" s="76">
        <v>3.1171000000000001E-2</v>
      </c>
      <c r="Z31" s="74">
        <v>4.9084523779999998</v>
      </c>
      <c r="AA31" s="73">
        <v>8204.9567040000002</v>
      </c>
      <c r="AB31" s="77">
        <v>3.1171000000000001E-2</v>
      </c>
      <c r="AC31" s="35">
        <f t="shared" si="20"/>
        <v>1.0781833130532028</v>
      </c>
      <c r="AD31" s="15">
        <f t="shared" si="10"/>
        <v>2.0448119869875629</v>
      </c>
      <c r="AE31" s="15">
        <f t="shared" si="21"/>
        <v>1.9427928532797636</v>
      </c>
      <c r="AF31" s="15">
        <f t="shared" si="22"/>
        <v>0.85740325125755013</v>
      </c>
      <c r="AG31" s="15">
        <f t="shared" si="11"/>
        <v>2.2305100272271208</v>
      </c>
      <c r="AH31" s="15">
        <f t="shared" si="12"/>
        <v>2.5464418675435185</v>
      </c>
      <c r="AI31" s="15">
        <f t="shared" si="13"/>
        <v>2.4700312410027374</v>
      </c>
      <c r="AJ31" s="16">
        <f t="shared" si="23"/>
        <v>4.3895906092714831</v>
      </c>
      <c r="AK31" s="32">
        <f t="shared" si="24"/>
        <v>1.7663116973379467</v>
      </c>
      <c r="AL31" s="15">
        <f t="shared" si="25"/>
        <v>0.56139453262195349</v>
      </c>
      <c r="AM31" s="15">
        <f t="shared" si="14"/>
        <v>0.36290022664387039</v>
      </c>
      <c r="AN31" s="16">
        <f t="shared" si="15"/>
        <v>7.3933736888313853E-2</v>
      </c>
    </row>
    <row r="32" spans="1:40" x14ac:dyDescent="0.45">
      <c r="A32" s="19">
        <v>20</v>
      </c>
      <c r="B32" s="57" t="s">
        <v>69</v>
      </c>
      <c r="C32" s="58" t="s">
        <v>140</v>
      </c>
      <c r="D32" s="59">
        <v>2586</v>
      </c>
      <c r="E32" s="60">
        <v>5.4584374999999996</v>
      </c>
      <c r="F32" s="61">
        <v>15.6</v>
      </c>
      <c r="G32" s="61">
        <v>579</v>
      </c>
      <c r="H32" s="61">
        <v>1841</v>
      </c>
      <c r="I32" s="61">
        <v>1328.044369</v>
      </c>
      <c r="J32" s="62">
        <v>45.870010000000001</v>
      </c>
      <c r="K32" s="28">
        <f t="shared" si="16"/>
        <v>68.055383417796975</v>
      </c>
      <c r="L32" s="69">
        <v>83.050736000000001</v>
      </c>
      <c r="M32" s="29">
        <f t="shared" si="17"/>
        <v>91.932399060422156</v>
      </c>
      <c r="N32" s="71">
        <v>83.034110999999996</v>
      </c>
      <c r="O32" s="35">
        <f t="shared" si="18"/>
        <v>0.42955553798373802</v>
      </c>
      <c r="P32" s="16">
        <f t="shared" si="9"/>
        <v>0.42981342603936168</v>
      </c>
      <c r="Q32" s="57" t="s">
        <v>69</v>
      </c>
      <c r="R32" s="58" t="s">
        <v>278</v>
      </c>
      <c r="S32" s="58">
        <v>2586</v>
      </c>
      <c r="T32" s="58">
        <f t="shared" si="19"/>
        <v>1</v>
      </c>
      <c r="U32" s="58"/>
      <c r="V32" s="73">
        <v>737</v>
      </c>
      <c r="W32" s="74">
        <v>1.540057268</v>
      </c>
      <c r="X32" s="75">
        <v>1</v>
      </c>
      <c r="Y32" s="76">
        <v>0.198045</v>
      </c>
      <c r="Z32" s="74">
        <v>1.540057268</v>
      </c>
      <c r="AA32" s="73">
        <v>5494.067908</v>
      </c>
      <c r="AB32" s="77">
        <v>0.198045</v>
      </c>
      <c r="AC32" s="35">
        <f t="shared" si="20"/>
        <v>0.71592589663956341</v>
      </c>
      <c r="AD32" s="15">
        <f t="shared" si="10"/>
        <v>1.448436839816128</v>
      </c>
      <c r="AE32" s="15">
        <f t="shared" si="21"/>
        <v>0.56658378165293344</v>
      </c>
      <c r="AF32" s="15">
        <f t="shared" si="22"/>
        <v>0.17234596765266125</v>
      </c>
      <c r="AG32" s="15">
        <f t="shared" si="11"/>
        <v>0.83417369977132283</v>
      </c>
      <c r="AH32" s="15">
        <f t="shared" si="12"/>
        <v>1.2396759292442499</v>
      </c>
      <c r="AI32" s="15">
        <f t="shared" si="13"/>
        <v>0.46478599902725898</v>
      </c>
      <c r="AJ32" s="16">
        <f t="shared" si="23"/>
        <v>1.4812755100101798</v>
      </c>
      <c r="AK32" s="32">
        <f t="shared" si="24"/>
        <v>1.8695989640171711</v>
      </c>
      <c r="AL32" s="15">
        <f t="shared" si="25"/>
        <v>2.3014132048707485</v>
      </c>
      <c r="AM32" s="15">
        <f t="shared" si="14"/>
        <v>0.28214251202839641</v>
      </c>
      <c r="AN32" s="16">
        <f t="shared" si="15"/>
        <v>0.18320261063720159</v>
      </c>
    </row>
    <row r="33" spans="1:40" x14ac:dyDescent="0.45">
      <c r="A33" s="19">
        <v>21</v>
      </c>
      <c r="B33" s="57" t="s">
        <v>69</v>
      </c>
      <c r="C33" s="58" t="s">
        <v>141</v>
      </c>
      <c r="D33" s="59">
        <v>2587</v>
      </c>
      <c r="E33" s="60">
        <v>6.7046875000000004</v>
      </c>
      <c r="F33" s="61">
        <v>16.850000000000001</v>
      </c>
      <c r="G33" s="61">
        <v>458</v>
      </c>
      <c r="H33" s="61">
        <v>1424</v>
      </c>
      <c r="I33" s="61">
        <v>881.08145000000002</v>
      </c>
      <c r="J33" s="62">
        <v>60.315463999999999</v>
      </c>
      <c r="K33" s="28">
        <f t="shared" si="16"/>
        <v>55.504668176097645</v>
      </c>
      <c r="L33" s="69">
        <v>74.154072999999997</v>
      </c>
      <c r="M33" s="29">
        <f t="shared" si="17"/>
        <v>86.966069497081406</v>
      </c>
      <c r="N33" s="71">
        <v>81.962480999999997</v>
      </c>
      <c r="O33" s="35">
        <f t="shared" si="18"/>
        <v>0.53979888385411789</v>
      </c>
      <c r="P33" s="16">
        <f t="shared" si="9"/>
        <v>0.54012295762869511</v>
      </c>
      <c r="Q33" s="57" t="s">
        <v>69</v>
      </c>
      <c r="R33" s="58" t="s">
        <v>279</v>
      </c>
      <c r="S33" s="58">
        <v>2587</v>
      </c>
      <c r="T33" s="58">
        <f t="shared" si="19"/>
        <v>1</v>
      </c>
      <c r="U33" s="58"/>
      <c r="V33" s="73">
        <v>523</v>
      </c>
      <c r="W33" s="74">
        <v>4.061853352</v>
      </c>
      <c r="X33" s="75">
        <v>1</v>
      </c>
      <c r="Y33" s="76">
        <v>2.8312E-2</v>
      </c>
      <c r="Z33" s="74">
        <v>4.061853352</v>
      </c>
      <c r="AA33" s="73">
        <v>6173.2178889999996</v>
      </c>
      <c r="AB33" s="77">
        <v>2.8312E-2</v>
      </c>
      <c r="AC33" s="35">
        <f t="shared" si="20"/>
        <v>0.89966480642352986</v>
      </c>
      <c r="AD33" s="15">
        <f t="shared" si="10"/>
        <v>1.5661647236936174</v>
      </c>
      <c r="AE33" s="15">
        <f t="shared" si="21"/>
        <v>1.713473027736842</v>
      </c>
      <c r="AF33" s="15">
        <f t="shared" si="22"/>
        <v>0.76906108092236691</v>
      </c>
      <c r="AG33" s="15">
        <f t="shared" si="11"/>
        <v>1.9173517883501292</v>
      </c>
      <c r="AH33" s="15">
        <f t="shared" si="12"/>
        <v>2.122707049547055</v>
      </c>
      <c r="AI33" s="15">
        <f t="shared" si="13"/>
        <v>2.2127940122748977</v>
      </c>
      <c r="AJ33" s="16">
        <f t="shared" si="23"/>
        <v>2.9790515173050429</v>
      </c>
      <c r="AK33" s="32">
        <f t="shared" si="24"/>
        <v>1.8220851400932883</v>
      </c>
      <c r="AL33" s="15">
        <f t="shared" si="25"/>
        <v>0.40637788072460773</v>
      </c>
      <c r="AM33" s="15">
        <f t="shared" si="14"/>
        <v>0.60582291896527607</v>
      </c>
      <c r="AN33" s="16">
        <f t="shared" si="15"/>
        <v>0.14914938242833836</v>
      </c>
    </row>
    <row r="34" spans="1:40" x14ac:dyDescent="0.45">
      <c r="A34" s="19">
        <v>22</v>
      </c>
      <c r="B34" s="57" t="s">
        <v>69</v>
      </c>
      <c r="C34" s="58" t="s">
        <v>142</v>
      </c>
      <c r="D34" s="59">
        <v>2588</v>
      </c>
      <c r="E34" s="60">
        <v>8.8420312499999998</v>
      </c>
      <c r="F34" s="61">
        <v>16.625</v>
      </c>
      <c r="G34" s="61">
        <v>1354</v>
      </c>
      <c r="H34" s="61">
        <v>1968</v>
      </c>
      <c r="I34" s="61">
        <v>1753.32061</v>
      </c>
      <c r="J34" s="62">
        <v>24.582066000000001</v>
      </c>
      <c r="K34" s="28">
        <f t="shared" si="16"/>
        <v>72.459508891793121</v>
      </c>
      <c r="L34" s="69">
        <v>85.818297999999999</v>
      </c>
      <c r="M34" s="29">
        <f t="shared" si="17"/>
        <v>93.365569279302733</v>
      </c>
      <c r="N34" s="71">
        <v>81.926225000000002</v>
      </c>
      <c r="O34" s="35">
        <f t="shared" si="18"/>
        <v>0.56309533091175423</v>
      </c>
      <c r="P34" s="16">
        <f t="shared" si="9"/>
        <v>0.56343339094632217</v>
      </c>
      <c r="Q34" s="57" t="s">
        <v>69</v>
      </c>
      <c r="R34" s="58" t="s">
        <v>280</v>
      </c>
      <c r="S34" s="58">
        <v>2588</v>
      </c>
      <c r="T34" s="58">
        <f t="shared" si="19"/>
        <v>1</v>
      </c>
      <c r="U34" s="58"/>
      <c r="V34" s="73">
        <v>1553</v>
      </c>
      <c r="W34" s="74">
        <v>2.1022655110000001</v>
      </c>
      <c r="X34" s="75">
        <v>1</v>
      </c>
      <c r="Y34" s="76">
        <v>0.11844399999999999</v>
      </c>
      <c r="Z34" s="74">
        <v>2.1022655110000001</v>
      </c>
      <c r="AA34" s="73">
        <v>5880.9081850000002</v>
      </c>
      <c r="AB34" s="77">
        <v>0.11844399999999999</v>
      </c>
      <c r="AC34" s="35">
        <f t="shared" si="20"/>
        <v>0.93849221818625717</v>
      </c>
      <c r="AD34" s="15">
        <f t="shared" si="10"/>
        <v>1.7398161967087706</v>
      </c>
      <c r="AE34" s="15">
        <f t="shared" si="21"/>
        <v>0.79140050311363552</v>
      </c>
      <c r="AF34" s="15">
        <f t="shared" si="22"/>
        <v>0.26694311635435447</v>
      </c>
      <c r="AG34" s="15">
        <f t="shared" si="11"/>
        <v>1.1919196118660302</v>
      </c>
      <c r="AH34" s="15">
        <f t="shared" si="12"/>
        <v>1.6336485905224767</v>
      </c>
      <c r="AI34" s="15">
        <f t="shared" si="13"/>
        <v>0.73720915164378953</v>
      </c>
      <c r="AJ34" s="16">
        <f t="shared" si="23"/>
        <v>2.2964317676831651</v>
      </c>
      <c r="AK34" s="32">
        <f t="shared" si="24"/>
        <v>1.5654660824192506</v>
      </c>
      <c r="AL34" s="15">
        <f t="shared" si="25"/>
        <v>2.0006767007121118</v>
      </c>
      <c r="AM34" s="15">
        <f t="shared" si="14"/>
        <v>0.23775820866952943</v>
      </c>
      <c r="AN34" s="16">
        <f t="shared" si="15"/>
        <v>0.11309618477089187</v>
      </c>
    </row>
    <row r="35" spans="1:40" x14ac:dyDescent="0.45">
      <c r="A35" s="19">
        <v>23</v>
      </c>
      <c r="B35" s="57" t="s">
        <v>69</v>
      </c>
      <c r="C35" s="58" t="s">
        <v>143</v>
      </c>
      <c r="D35" s="59">
        <v>2589</v>
      </c>
      <c r="E35" s="60">
        <v>14.137343749999999</v>
      </c>
      <c r="F35" s="61">
        <v>23.9</v>
      </c>
      <c r="G35" s="61">
        <v>1356</v>
      </c>
      <c r="H35" s="61">
        <v>2472</v>
      </c>
      <c r="I35" s="61">
        <v>1813.8037449999999</v>
      </c>
      <c r="J35" s="62">
        <v>48.036788999999999</v>
      </c>
      <c r="K35" s="28">
        <f t="shared" si="16"/>
        <v>61.741306683789759</v>
      </c>
      <c r="L35" s="69">
        <v>78.776263</v>
      </c>
      <c r="M35" s="29">
        <f t="shared" si="17"/>
        <v>89.617803778046309</v>
      </c>
      <c r="N35" s="71">
        <v>81.408623000000006</v>
      </c>
      <c r="O35" s="35">
        <f t="shared" si="18"/>
        <v>0.61983066897827099</v>
      </c>
      <c r="P35" s="16">
        <f t="shared" si="9"/>
        <v>0.62020279065266259</v>
      </c>
      <c r="Q35" s="57" t="s">
        <v>69</v>
      </c>
      <c r="R35" s="58" t="s">
        <v>281</v>
      </c>
      <c r="S35" s="58">
        <v>2589</v>
      </c>
      <c r="T35" s="58">
        <f t="shared" si="19"/>
        <v>1</v>
      </c>
      <c r="U35" s="58"/>
      <c r="V35" s="73">
        <v>1450</v>
      </c>
      <c r="W35" s="74">
        <v>3.8215043260000003</v>
      </c>
      <c r="X35" s="75">
        <v>1</v>
      </c>
      <c r="Y35" s="76">
        <v>4.9195000000000003E-2</v>
      </c>
      <c r="Z35" s="74">
        <v>3.8215043260000003</v>
      </c>
      <c r="AA35" s="73">
        <v>7542.7484619999996</v>
      </c>
      <c r="AB35" s="77">
        <v>4.9195000000000003E-2</v>
      </c>
      <c r="AC35" s="35">
        <f t="shared" si="20"/>
        <v>1.0330511149637851</v>
      </c>
      <c r="AD35" s="15">
        <f t="shared" si="10"/>
        <v>2.0794733700916135</v>
      </c>
      <c r="AE35" s="15">
        <f t="shared" si="21"/>
        <v>1.4728359683773036</v>
      </c>
      <c r="AF35" s="15">
        <f t="shared" si="22"/>
        <v>0.59317482845627134</v>
      </c>
      <c r="AG35" s="15">
        <f t="shared" si="11"/>
        <v>1.8935755848575586</v>
      </c>
      <c r="AH35" s="15">
        <f t="shared" si="12"/>
        <v>2.3181630855201862</v>
      </c>
      <c r="AI35" s="15">
        <f t="shared" si="13"/>
        <v>1.6952792944109478</v>
      </c>
      <c r="AJ35" s="16">
        <f t="shared" si="23"/>
        <v>3.9360296112430819</v>
      </c>
      <c r="AK35" s="32">
        <f t="shared" si="24"/>
        <v>1.7798033639613042</v>
      </c>
      <c r="AL35" s="15">
        <f t="shared" si="25"/>
        <v>0.96805293699955086</v>
      </c>
      <c r="AM35" s="15">
        <f t="shared" si="14"/>
        <v>0.27031275419047518</v>
      </c>
      <c r="AN35" s="16">
        <f t="shared" si="15"/>
        <v>7.0734645608373212E-2</v>
      </c>
    </row>
    <row r="36" spans="1:40" x14ac:dyDescent="0.45">
      <c r="A36" s="19">
        <v>24</v>
      </c>
      <c r="B36" s="57" t="s">
        <v>69</v>
      </c>
      <c r="C36" s="58" t="s">
        <v>144</v>
      </c>
      <c r="D36" s="59">
        <v>2590</v>
      </c>
      <c r="E36" s="60">
        <v>2.5918749999999999</v>
      </c>
      <c r="F36" s="61">
        <v>9.125</v>
      </c>
      <c r="G36" s="61">
        <v>377</v>
      </c>
      <c r="H36" s="61">
        <v>1092</v>
      </c>
      <c r="I36" s="61">
        <v>671.52923799999996</v>
      </c>
      <c r="J36" s="62">
        <v>64.199012999999994</v>
      </c>
      <c r="K36" s="28">
        <f t="shared" si="16"/>
        <v>55.958323493549898</v>
      </c>
      <c r="L36" s="69">
        <v>74.504925</v>
      </c>
      <c r="M36" s="29">
        <f t="shared" si="17"/>
        <v>87.173085863858986</v>
      </c>
      <c r="N36" s="71">
        <v>81.487868000000006</v>
      </c>
      <c r="O36" s="35">
        <f t="shared" si="18"/>
        <v>0.28776975747588096</v>
      </c>
      <c r="P36" s="16">
        <f t="shared" si="9"/>
        <v>0.28794252298967477</v>
      </c>
      <c r="Q36" s="57" t="s">
        <v>69</v>
      </c>
      <c r="R36" s="58" t="s">
        <v>282</v>
      </c>
      <c r="S36" s="58">
        <v>2590</v>
      </c>
      <c r="T36" s="58">
        <f t="shared" si="19"/>
        <v>1</v>
      </c>
      <c r="U36" s="58"/>
      <c r="V36" s="73">
        <v>449</v>
      </c>
      <c r="W36" s="74">
        <v>2.364581528</v>
      </c>
      <c r="X36" s="75">
        <v>1</v>
      </c>
      <c r="Y36" s="76">
        <v>3.7638999999999999E-2</v>
      </c>
      <c r="Z36" s="74">
        <v>2.364581528</v>
      </c>
      <c r="AA36" s="73">
        <v>2960.6286049999999</v>
      </c>
      <c r="AB36" s="77">
        <v>3.7638999999999999E-2</v>
      </c>
      <c r="AC36" s="35">
        <f t="shared" si="20"/>
        <v>0.4796162624598016</v>
      </c>
      <c r="AD36" s="15">
        <f t="shared" si="10"/>
        <v>1.0914074960832096</v>
      </c>
      <c r="AE36" s="15">
        <f t="shared" si="21"/>
        <v>1.0759777297761997</v>
      </c>
      <c r="AF36" s="15">
        <f t="shared" si="22"/>
        <v>0.45438289778063912</v>
      </c>
      <c r="AG36" s="15">
        <f t="shared" si="11"/>
        <v>1.3231242694399774</v>
      </c>
      <c r="AH36" s="15">
        <f t="shared" si="12"/>
        <v>1.5115939178627162</v>
      </c>
      <c r="AI36" s="15">
        <f t="shared" si="13"/>
        <v>1.2845738872955572</v>
      </c>
      <c r="AJ36" s="16">
        <f t="shared" si="23"/>
        <v>1.5582647648790724</v>
      </c>
      <c r="AK36" s="32">
        <f t="shared" si="24"/>
        <v>1.5870254018873904</v>
      </c>
      <c r="AL36" s="15">
        <f t="shared" si="25"/>
        <v>0.46355948057476515</v>
      </c>
      <c r="AM36" s="15">
        <f t="shared" si="14"/>
        <v>0.91230538818422957</v>
      </c>
      <c r="AN36" s="16">
        <f t="shared" si="15"/>
        <v>0.38582107547624789</v>
      </c>
    </row>
    <row r="37" spans="1:40" x14ac:dyDescent="0.45">
      <c r="A37" s="19">
        <v>25</v>
      </c>
      <c r="B37" s="57" t="s">
        <v>69</v>
      </c>
      <c r="C37" s="58" t="s">
        <v>145</v>
      </c>
      <c r="D37" s="59">
        <v>2591</v>
      </c>
      <c r="E37" s="60">
        <v>16.939374999999998</v>
      </c>
      <c r="F37" s="61">
        <v>25.925000000000001</v>
      </c>
      <c r="G37" s="61">
        <v>730</v>
      </c>
      <c r="H37" s="61">
        <v>1877</v>
      </c>
      <c r="I37" s="61">
        <v>1380.423818</v>
      </c>
      <c r="J37" s="62">
        <v>48.997917000000001</v>
      </c>
      <c r="K37" s="28">
        <f t="shared" si="16"/>
        <v>66.415677516225969</v>
      </c>
      <c r="L37" s="69">
        <v>81.976894999999999</v>
      </c>
      <c r="M37" s="29">
        <f t="shared" si="17"/>
        <v>91.362744970435131</v>
      </c>
      <c r="N37" s="71">
        <v>82.257124000000005</v>
      </c>
      <c r="O37" s="35">
        <f t="shared" si="18"/>
        <v>0.6739843798845867</v>
      </c>
      <c r="P37" s="16">
        <f t="shared" si="9"/>
        <v>0.67438901329256229</v>
      </c>
      <c r="Q37" s="57" t="s">
        <v>69</v>
      </c>
      <c r="R37" s="58" t="s">
        <v>283</v>
      </c>
      <c r="S37" s="58">
        <v>2591</v>
      </c>
      <c r="T37" s="58">
        <f t="shared" si="19"/>
        <v>1</v>
      </c>
      <c r="U37" s="58"/>
      <c r="V37" s="73">
        <v>998</v>
      </c>
      <c r="W37" s="74">
        <v>7.2396076789999997</v>
      </c>
      <c r="X37" s="75">
        <v>1</v>
      </c>
      <c r="Y37" s="76">
        <v>8.5777999999999993E-2</v>
      </c>
      <c r="Z37" s="74">
        <v>7.2396076789999997</v>
      </c>
      <c r="AA37" s="73">
        <v>9618.8023009999997</v>
      </c>
      <c r="AB37" s="77">
        <v>8.5777999999999993E-2</v>
      </c>
      <c r="AC37" s="35">
        <f t="shared" si="20"/>
        <v>1.1233072998076445</v>
      </c>
      <c r="AD37" s="15">
        <f t="shared" si="10"/>
        <v>2.2273814456058196</v>
      </c>
      <c r="AE37" s="15">
        <f t="shared" si="21"/>
        <v>2.1535911359151574</v>
      </c>
      <c r="AF37" s="15">
        <f t="shared" si="22"/>
        <v>0.78321803269635193</v>
      </c>
      <c r="AG37" s="15">
        <f t="shared" si="11"/>
        <v>1.3704173706904981</v>
      </c>
      <c r="AH37" s="15">
        <f t="shared" si="12"/>
        <v>1.9679135384707636</v>
      </c>
      <c r="AI37" s="15">
        <f t="shared" si="13"/>
        <v>2.2510869090869789</v>
      </c>
      <c r="AJ37" s="16">
        <f t="shared" si="23"/>
        <v>3.715651688482426</v>
      </c>
      <c r="AK37" s="32">
        <f t="shared" si="24"/>
        <v>1.7637137681987993</v>
      </c>
      <c r="AL37" s="15">
        <f t="shared" si="25"/>
        <v>0.32319699815278502</v>
      </c>
      <c r="AM37" s="15">
        <f t="shared" si="14"/>
        <v>0.42738339985979412</v>
      </c>
      <c r="AN37" s="16">
        <f t="shared" si="15"/>
        <v>5.9034055270634253E-2</v>
      </c>
    </row>
    <row r="38" spans="1:40" x14ac:dyDescent="0.45">
      <c r="A38" s="19">
        <v>26</v>
      </c>
      <c r="B38" s="57" t="s">
        <v>69</v>
      </c>
      <c r="C38" s="58" t="s">
        <v>146</v>
      </c>
      <c r="D38" s="59">
        <v>2592</v>
      </c>
      <c r="E38" s="60">
        <v>4.2995312500000002</v>
      </c>
      <c r="F38" s="61">
        <v>11.45</v>
      </c>
      <c r="G38" s="61">
        <v>374</v>
      </c>
      <c r="H38" s="61">
        <v>1206</v>
      </c>
      <c r="I38" s="61">
        <v>825.95977000000005</v>
      </c>
      <c r="J38" s="62">
        <v>59.302306999999999</v>
      </c>
      <c r="K38" s="28">
        <f t="shared" si="16"/>
        <v>50.466828903180271</v>
      </c>
      <c r="L38" s="69">
        <v>70.089906999999997</v>
      </c>
      <c r="M38" s="29">
        <f t="shared" si="17"/>
        <v>84.495302413536379</v>
      </c>
      <c r="N38" s="71">
        <v>81.842967000000002</v>
      </c>
      <c r="O38" s="35">
        <f t="shared" si="18"/>
        <v>0.45210540028765828</v>
      </c>
      <c r="P38" s="16">
        <f t="shared" si="9"/>
        <v>0.45237682638348831</v>
      </c>
      <c r="Q38" s="57" t="s">
        <v>69</v>
      </c>
      <c r="R38" s="58" t="s">
        <v>284</v>
      </c>
      <c r="S38" s="58">
        <v>2592</v>
      </c>
      <c r="T38" s="58">
        <f t="shared" si="19"/>
        <v>1</v>
      </c>
      <c r="U38" s="58"/>
      <c r="V38" s="73">
        <v>389</v>
      </c>
      <c r="W38" s="74">
        <v>0.12178300900000001</v>
      </c>
      <c r="X38" s="75">
        <v>1</v>
      </c>
      <c r="Y38" s="76">
        <v>0.188861</v>
      </c>
      <c r="Z38" s="74">
        <v>0.12178300900000001</v>
      </c>
      <c r="AA38" s="73">
        <v>4252.1261699999995</v>
      </c>
      <c r="AB38" s="77">
        <v>0.188861</v>
      </c>
      <c r="AC38" s="35">
        <f t="shared" si="20"/>
        <v>0.75350900047943048</v>
      </c>
      <c r="AD38" s="15">
        <f t="shared" si="10"/>
        <v>1.3228591756200438</v>
      </c>
      <c r="AE38" s="15">
        <f t="shared" si="21"/>
        <v>8.3118962343155106E-2</v>
      </c>
      <c r="AF38" s="15">
        <f t="shared" si="22"/>
        <v>2.4879337447327197E-2</v>
      </c>
      <c r="AG38" s="15">
        <f t="shared" si="11"/>
        <v>2.2092601986017049</v>
      </c>
      <c r="AH38" s="15">
        <f t="shared" si="12"/>
        <v>1.4838510138961807</v>
      </c>
      <c r="AI38" s="15">
        <f t="shared" si="13"/>
        <v>6.2672804259011061E-2</v>
      </c>
      <c r="AJ38" s="16">
        <f t="shared" si="23"/>
        <v>1.3040292643123699</v>
      </c>
      <c r="AK38" s="32">
        <f t="shared" si="24"/>
        <v>1.546154764599132</v>
      </c>
      <c r="AL38" s="15">
        <f t="shared" si="25"/>
        <v>289.89966210269358</v>
      </c>
      <c r="AM38" s="15">
        <f t="shared" si="14"/>
        <v>2.8324717723589056E-2</v>
      </c>
      <c r="AN38" s="16">
        <f t="shared" si="15"/>
        <v>0.23258349384017152</v>
      </c>
    </row>
    <row r="39" spans="1:40" x14ac:dyDescent="0.45">
      <c r="A39" s="19">
        <v>27</v>
      </c>
      <c r="B39" s="57" t="s">
        <v>69</v>
      </c>
      <c r="C39" s="58" t="s">
        <v>147</v>
      </c>
      <c r="D39" s="59">
        <v>2593</v>
      </c>
      <c r="E39" s="60">
        <v>10.68890625</v>
      </c>
      <c r="F39" s="61">
        <v>20.175000000000001</v>
      </c>
      <c r="G39" s="61">
        <v>290</v>
      </c>
      <c r="H39" s="61">
        <v>1101</v>
      </c>
      <c r="I39" s="61">
        <v>611.83097299999997</v>
      </c>
      <c r="J39" s="62">
        <v>42.952015000000003</v>
      </c>
      <c r="K39" s="28">
        <f t="shared" si="16"/>
        <v>57.926829268292693</v>
      </c>
      <c r="L39" s="69">
        <v>76</v>
      </c>
      <c r="M39" s="29">
        <f t="shared" si="17"/>
        <v>88.044485634847078</v>
      </c>
      <c r="N39" s="71">
        <v>80.844127999999998</v>
      </c>
      <c r="O39" s="35">
        <f t="shared" si="18"/>
        <v>0.60934329276683963</v>
      </c>
      <c r="P39" s="16">
        <f t="shared" si="9"/>
        <v>0.60970911823778229</v>
      </c>
      <c r="Q39" s="57" t="s">
        <v>69</v>
      </c>
      <c r="R39" s="58" t="s">
        <v>285</v>
      </c>
      <c r="S39" s="58">
        <v>2593</v>
      </c>
      <c r="T39" s="58">
        <f t="shared" si="19"/>
        <v>1</v>
      </c>
      <c r="U39" s="58"/>
      <c r="V39" s="73">
        <v>331</v>
      </c>
      <c r="W39" s="74">
        <v>4.6011300469999998</v>
      </c>
      <c r="X39" s="75">
        <v>1</v>
      </c>
      <c r="Y39" s="76">
        <v>1.6518000000000001E-2</v>
      </c>
      <c r="Z39" s="74">
        <v>4.6011300469999998</v>
      </c>
      <c r="AA39" s="73">
        <v>6208.129054</v>
      </c>
      <c r="AB39" s="77">
        <v>1.6518000000000001E-2</v>
      </c>
      <c r="AC39" s="35">
        <f t="shared" si="20"/>
        <v>1.0155721546113994</v>
      </c>
      <c r="AD39" s="15">
        <f t="shared" si="10"/>
        <v>1.8698563094146543</v>
      </c>
      <c r="AE39" s="15">
        <f t="shared" si="21"/>
        <v>2.0868265975522076</v>
      </c>
      <c r="AF39" s="15">
        <f t="shared" si="22"/>
        <v>1.0417029156859192</v>
      </c>
      <c r="AG39" s="15">
        <f t="shared" si="11"/>
        <v>2.8644927170799299</v>
      </c>
      <c r="AH39" s="15">
        <f t="shared" si="12"/>
        <v>2.8535578297013693</v>
      </c>
      <c r="AI39" s="15">
        <f t="shared" si="13"/>
        <v>3.0538081173932938</v>
      </c>
      <c r="AJ39" s="16">
        <f t="shared" si="23"/>
        <v>4.6086937238791617</v>
      </c>
      <c r="AK39" s="32">
        <f t="shared" si="24"/>
        <v>1.7278456371970248</v>
      </c>
      <c r="AL39" s="15">
        <f t="shared" si="25"/>
        <v>0.50489869849024194</v>
      </c>
      <c r="AM39" s="15">
        <f t="shared" si="14"/>
        <v>0.43045845284684758</v>
      </c>
      <c r="AN39" s="16">
        <f t="shared" si="15"/>
        <v>9.3554941601251287E-2</v>
      </c>
    </row>
    <row r="40" spans="1:40" x14ac:dyDescent="0.45">
      <c r="A40" s="19">
        <v>28</v>
      </c>
      <c r="B40" s="57" t="s">
        <v>69</v>
      </c>
      <c r="C40" s="58" t="s">
        <v>148</v>
      </c>
      <c r="D40" s="59">
        <v>2594</v>
      </c>
      <c r="E40" s="60">
        <v>9.5175000000000001</v>
      </c>
      <c r="F40" s="61">
        <v>20.274999999999999</v>
      </c>
      <c r="G40" s="61">
        <v>866</v>
      </c>
      <c r="H40" s="61">
        <v>1745</v>
      </c>
      <c r="I40" s="61">
        <v>1406.1823939999999</v>
      </c>
      <c r="J40" s="62">
        <v>30.37921</v>
      </c>
      <c r="K40" s="28">
        <f t="shared" si="16"/>
        <v>60.063185154002412</v>
      </c>
      <c r="L40" s="69">
        <v>77.573936000000003</v>
      </c>
      <c r="M40" s="29">
        <f t="shared" si="17"/>
        <v>88.943449497645275</v>
      </c>
      <c r="N40" s="71">
        <v>81.664255999999995</v>
      </c>
      <c r="O40" s="35">
        <f t="shared" si="18"/>
        <v>0.76626695082211504</v>
      </c>
      <c r="P40" s="16">
        <f t="shared" si="9"/>
        <v>0.76672698701432351</v>
      </c>
      <c r="Q40" s="57" t="s">
        <v>69</v>
      </c>
      <c r="R40" s="58" t="s">
        <v>286</v>
      </c>
      <c r="S40" s="58">
        <v>2594</v>
      </c>
      <c r="T40" s="58">
        <f t="shared" si="19"/>
        <v>1</v>
      </c>
      <c r="U40" s="58"/>
      <c r="V40" s="73">
        <v>1165</v>
      </c>
      <c r="W40" s="74">
        <v>3.2710601530000001</v>
      </c>
      <c r="X40" s="75">
        <v>1</v>
      </c>
      <c r="Y40" s="76">
        <v>0.119227</v>
      </c>
      <c r="Z40" s="74">
        <v>3.2710601530000001</v>
      </c>
      <c r="AA40" s="73">
        <v>7056.2130180000004</v>
      </c>
      <c r="AB40" s="77">
        <v>0.119227</v>
      </c>
      <c r="AC40" s="35">
        <f t="shared" si="20"/>
        <v>1.277111584703525</v>
      </c>
      <c r="AD40" s="15">
        <f t="shared" si="10"/>
        <v>1.7891728065959958</v>
      </c>
      <c r="AE40" s="15">
        <f t="shared" si="21"/>
        <v>1.1060464365785554</v>
      </c>
      <c r="AF40" s="15">
        <f t="shared" si="22"/>
        <v>0.37424652145245541</v>
      </c>
      <c r="AG40" s="15">
        <f t="shared" si="11"/>
        <v>1.0915801750655194</v>
      </c>
      <c r="AH40" s="15">
        <f t="shared" si="12"/>
        <v>1.6006162549914498</v>
      </c>
      <c r="AI40" s="15">
        <f t="shared" si="13"/>
        <v>1.0489199286649504</v>
      </c>
      <c r="AJ40" s="16">
        <f t="shared" si="23"/>
        <v>2.3942186220350661</v>
      </c>
      <c r="AK40" s="32">
        <f t="shared" si="24"/>
        <v>1.8401679038523278</v>
      </c>
      <c r="AL40" s="15">
        <f t="shared" si="25"/>
        <v>0.88949973741816069</v>
      </c>
      <c r="AM40" s="15">
        <f t="shared" si="14"/>
        <v>0.34368901003414765</v>
      </c>
      <c r="AN40" s="16">
        <f t="shared" si="15"/>
        <v>0.10506960861570791</v>
      </c>
    </row>
    <row r="41" spans="1:40" x14ac:dyDescent="0.45">
      <c r="A41" s="19">
        <v>29</v>
      </c>
      <c r="B41" s="57" t="s">
        <v>69</v>
      </c>
      <c r="C41" s="58" t="s">
        <v>149</v>
      </c>
      <c r="D41" s="59">
        <v>2595</v>
      </c>
      <c r="E41" s="60">
        <v>5.9906249999999996</v>
      </c>
      <c r="F41" s="61">
        <v>18.649999999999999</v>
      </c>
      <c r="G41" s="61">
        <v>637</v>
      </c>
      <c r="H41" s="61">
        <v>1551</v>
      </c>
      <c r="I41" s="61">
        <v>1258.1552690000001</v>
      </c>
      <c r="J41" s="62">
        <v>28.810085000000001</v>
      </c>
      <c r="K41" s="28">
        <f t="shared" si="16"/>
        <v>58.542023682276643</v>
      </c>
      <c r="L41" s="69">
        <v>76.458326999999997</v>
      </c>
      <c r="M41" s="29">
        <f t="shared" si="17"/>
        <v>88.308184725821661</v>
      </c>
      <c r="N41" s="71">
        <v>81.482692</v>
      </c>
      <c r="O41" s="35">
        <f t="shared" si="18"/>
        <v>0.77791506323484627</v>
      </c>
      <c r="P41" s="16">
        <f t="shared" si="9"/>
        <v>0.77838209249034063</v>
      </c>
      <c r="Q41" s="57" t="s">
        <v>69</v>
      </c>
      <c r="R41" s="58" t="s">
        <v>287</v>
      </c>
      <c r="S41" s="58">
        <v>2595</v>
      </c>
      <c r="T41" s="58">
        <f t="shared" si="19"/>
        <v>1</v>
      </c>
      <c r="U41" s="58"/>
      <c r="V41" s="73">
        <v>948</v>
      </c>
      <c r="W41" s="74">
        <v>2.7925067619999999</v>
      </c>
      <c r="X41" s="75">
        <v>1</v>
      </c>
      <c r="Y41" s="76">
        <v>0.17081399999999999</v>
      </c>
      <c r="Z41" s="74">
        <v>2.7925067619999999</v>
      </c>
      <c r="AA41" s="73">
        <v>6674.6266180000002</v>
      </c>
      <c r="AB41" s="77">
        <v>0.17081399999999999</v>
      </c>
      <c r="AC41" s="35">
        <f t="shared" si="20"/>
        <v>1.2965251053914104</v>
      </c>
      <c r="AD41" s="15">
        <f t="shared" si="10"/>
        <v>1.5005587492597559</v>
      </c>
      <c r="AE41" s="15">
        <f t="shared" si="21"/>
        <v>0.91600409289575313</v>
      </c>
      <c r="AF41" s="15">
        <f t="shared" si="22"/>
        <v>0.28850002665083146</v>
      </c>
      <c r="AG41" s="15">
        <f t="shared" si="11"/>
        <v>0.80001594917224261</v>
      </c>
      <c r="AH41" s="15">
        <f t="shared" si="12"/>
        <v>1.2596712461074024</v>
      </c>
      <c r="AI41" s="15">
        <f t="shared" si="13"/>
        <v>0.80132866948685078</v>
      </c>
      <c r="AJ41" s="16">
        <f t="shared" si="23"/>
        <v>1.6354699773708008</v>
      </c>
      <c r="AK41" s="32">
        <f t="shared" si="24"/>
        <v>2.1335400525822981</v>
      </c>
      <c r="AL41" s="15">
        <f t="shared" si="25"/>
        <v>0.7682165652081262</v>
      </c>
      <c r="AM41" s="15">
        <f t="shared" si="14"/>
        <v>0.46614614702138762</v>
      </c>
      <c r="AN41" s="16">
        <f t="shared" si="15"/>
        <v>0.16692749087115286</v>
      </c>
    </row>
    <row r="42" spans="1:40" x14ac:dyDescent="0.45">
      <c r="A42" s="19">
        <v>30</v>
      </c>
      <c r="B42" s="57" t="s">
        <v>69</v>
      </c>
      <c r="C42" s="58" t="s">
        <v>150</v>
      </c>
      <c r="D42" s="59">
        <v>2596</v>
      </c>
      <c r="E42" s="60">
        <v>5.2231249999999996</v>
      </c>
      <c r="F42" s="61">
        <v>14.975</v>
      </c>
      <c r="G42" s="61">
        <v>1315</v>
      </c>
      <c r="H42" s="61">
        <v>2490</v>
      </c>
      <c r="I42" s="61">
        <v>1684.125464</v>
      </c>
      <c r="J42" s="62">
        <v>49.278556999999999</v>
      </c>
      <c r="K42" s="28">
        <f t="shared" si="16"/>
        <v>65.585004356110829</v>
      </c>
      <c r="L42" s="69">
        <v>81.423457999999997</v>
      </c>
      <c r="M42" s="29">
        <f t="shared" si="17"/>
        <v>91.066110534598934</v>
      </c>
      <c r="N42" s="71">
        <v>81.257034000000004</v>
      </c>
      <c r="O42" s="35">
        <f t="shared" si="18"/>
        <v>0.42556894268199347</v>
      </c>
      <c r="P42" s="16">
        <f t="shared" si="9"/>
        <v>0.42582443734440018</v>
      </c>
      <c r="Q42" s="57" t="s">
        <v>69</v>
      </c>
      <c r="R42" s="58" t="s">
        <v>288</v>
      </c>
      <c r="S42" s="58">
        <v>2596</v>
      </c>
      <c r="T42" s="58">
        <f t="shared" si="19"/>
        <v>1</v>
      </c>
      <c r="U42" s="58"/>
      <c r="V42" s="73">
        <v>1346</v>
      </c>
      <c r="W42" s="74">
        <v>0.66328057299999998</v>
      </c>
      <c r="X42" s="75">
        <v>1</v>
      </c>
      <c r="Y42" s="76">
        <v>7.5383000000000006E-2</v>
      </c>
      <c r="Z42" s="74">
        <v>0.66328057299999998</v>
      </c>
      <c r="AA42" s="73">
        <v>5313.0780990000003</v>
      </c>
      <c r="AB42" s="77">
        <v>7.5383000000000006E-2</v>
      </c>
      <c r="AC42" s="35">
        <f t="shared" si="20"/>
        <v>0.7092815711366558</v>
      </c>
      <c r="AD42" s="15">
        <f t="shared" si="10"/>
        <v>1.4243842133920708</v>
      </c>
      <c r="AE42" s="15">
        <f t="shared" si="21"/>
        <v>0.35886345683412108</v>
      </c>
      <c r="AF42" s="15">
        <f t="shared" si="22"/>
        <v>0.13067980238266025</v>
      </c>
      <c r="AG42" s="15">
        <f t="shared" si="11"/>
        <v>1.7917843692174775</v>
      </c>
      <c r="AH42" s="15">
        <f t="shared" si="12"/>
        <v>1.7533199714539036</v>
      </c>
      <c r="AI42" s="15">
        <f t="shared" si="13"/>
        <v>0.35243200108233824</v>
      </c>
      <c r="AJ42" s="16">
        <f t="shared" si="23"/>
        <v>1.9216132191883721</v>
      </c>
      <c r="AK42" s="32">
        <f t="shared" si="24"/>
        <v>1.8346771524384204</v>
      </c>
      <c r="AL42" s="15">
        <f t="shared" si="25"/>
        <v>11.87232740958709</v>
      </c>
      <c r="AM42" s="15">
        <f t="shared" si="14"/>
        <v>0.12698922062941248</v>
      </c>
      <c r="AN42" s="16">
        <f t="shared" si="15"/>
        <v>0.19145626420964462</v>
      </c>
    </row>
    <row r="43" spans="1:40" x14ac:dyDescent="0.45">
      <c r="A43" s="19">
        <v>31</v>
      </c>
      <c r="B43" s="57" t="s">
        <v>69</v>
      </c>
      <c r="C43" s="58" t="s">
        <v>151</v>
      </c>
      <c r="D43" s="59">
        <v>2597</v>
      </c>
      <c r="E43" s="60">
        <v>4.1798437499999999</v>
      </c>
      <c r="F43" s="61">
        <v>14.35</v>
      </c>
      <c r="G43" s="61">
        <v>1318</v>
      </c>
      <c r="H43" s="61">
        <v>2500</v>
      </c>
      <c r="I43" s="61">
        <v>1939.428844</v>
      </c>
      <c r="J43" s="62">
        <v>57.073920999999999</v>
      </c>
      <c r="K43" s="28">
        <f t="shared" si="16"/>
        <v>63.719352261618639</v>
      </c>
      <c r="L43" s="69">
        <v>80.156634999999994</v>
      </c>
      <c r="M43" s="29">
        <f t="shared" si="17"/>
        <v>90.379167851634634</v>
      </c>
      <c r="N43" s="71">
        <v>80.983626999999998</v>
      </c>
      <c r="O43" s="35">
        <f t="shared" si="18"/>
        <v>0.38938734453917212</v>
      </c>
      <c r="P43" s="16">
        <f t="shared" si="9"/>
        <v>0.38962111720949782</v>
      </c>
      <c r="Q43" s="57" t="s">
        <v>69</v>
      </c>
      <c r="R43" s="58" t="s">
        <v>289</v>
      </c>
      <c r="S43" s="58">
        <v>2597</v>
      </c>
      <c r="T43" s="58">
        <f t="shared" si="19"/>
        <v>1</v>
      </c>
      <c r="U43" s="58"/>
      <c r="V43" s="73">
        <v>1341</v>
      </c>
      <c r="W43" s="74">
        <v>0.54168154700000004</v>
      </c>
      <c r="X43" s="75">
        <v>1</v>
      </c>
      <c r="Y43" s="76">
        <v>9.0458999999999998E-2</v>
      </c>
      <c r="Z43" s="74">
        <v>0.54168154700000004</v>
      </c>
      <c r="AA43" s="73">
        <v>4956.0475260000003</v>
      </c>
      <c r="AB43" s="77">
        <v>9.0458999999999998E-2</v>
      </c>
      <c r="AC43" s="35">
        <f t="shared" si="20"/>
        <v>0.64897890756528687</v>
      </c>
      <c r="AD43" s="15">
        <f t="shared" si="10"/>
        <v>1.3087431159520313</v>
      </c>
      <c r="AE43" s="15">
        <f t="shared" si="21"/>
        <v>0.297194581680014</v>
      </c>
      <c r="AF43" s="15">
        <f t="shared" si="22"/>
        <v>0.1042319364935503</v>
      </c>
      <c r="AG43" s="15">
        <f t="shared" si="11"/>
        <v>1.6053141741259604</v>
      </c>
      <c r="AH43" s="15">
        <f t="shared" si="12"/>
        <v>1.5772211547273431</v>
      </c>
      <c r="AI43" s="15">
        <f t="shared" si="13"/>
        <v>0.27910863436324834</v>
      </c>
      <c r="AJ43" s="16">
        <f t="shared" si="23"/>
        <v>1.5951618763238298</v>
      </c>
      <c r="AK43" s="32">
        <f t="shared" si="24"/>
        <v>1.9653047722284733</v>
      </c>
      <c r="AL43" s="15">
        <f t="shared" si="25"/>
        <v>14.245311986916484</v>
      </c>
      <c r="AM43" s="15">
        <f t="shared" si="14"/>
        <v>0.12959373110537925</v>
      </c>
      <c r="AN43" s="16">
        <f t="shared" si="15"/>
        <v>0.23924339277036374</v>
      </c>
    </row>
    <row r="44" spans="1:40" x14ac:dyDescent="0.45">
      <c r="A44" s="19">
        <v>32</v>
      </c>
      <c r="B44" s="57" t="s">
        <v>69</v>
      </c>
      <c r="C44" s="58" t="s">
        <v>152</v>
      </c>
      <c r="D44" s="59">
        <v>2598</v>
      </c>
      <c r="E44" s="60">
        <v>2.2864062500000002</v>
      </c>
      <c r="F44" s="61">
        <v>10.824999999999999</v>
      </c>
      <c r="G44" s="61">
        <v>1240</v>
      </c>
      <c r="H44" s="61">
        <v>2161</v>
      </c>
      <c r="I44" s="61">
        <v>1517.348459</v>
      </c>
      <c r="J44" s="62">
        <v>46.560569999999998</v>
      </c>
      <c r="K44" s="28">
        <f t="shared" si="16"/>
        <v>66.980321383341078</v>
      </c>
      <c r="L44" s="69">
        <v>82.349441999999996</v>
      </c>
      <c r="M44" s="29">
        <f t="shared" si="17"/>
        <v>91.561253086487653</v>
      </c>
      <c r="N44" s="71">
        <v>81.080787000000001</v>
      </c>
      <c r="O44" s="35">
        <f t="shared" si="18"/>
        <v>0.30257244050799681</v>
      </c>
      <c r="P44" s="16">
        <f t="shared" si="9"/>
        <v>0.30275409296377503</v>
      </c>
      <c r="Q44" s="57" t="s">
        <v>69</v>
      </c>
      <c r="R44" s="58" t="s">
        <v>290</v>
      </c>
      <c r="S44" s="58">
        <v>2598</v>
      </c>
      <c r="T44" s="58">
        <f t="shared" si="19"/>
        <v>1</v>
      </c>
      <c r="U44" s="58"/>
      <c r="V44" s="73">
        <v>1272</v>
      </c>
      <c r="W44" s="74">
        <v>1.249784451</v>
      </c>
      <c r="X44" s="75">
        <v>1</v>
      </c>
      <c r="Y44" s="76">
        <v>5.5210000000000002E-2</v>
      </c>
      <c r="Z44" s="74">
        <v>1.249784451</v>
      </c>
      <c r="AA44" s="73">
        <v>3476.2378220000001</v>
      </c>
      <c r="AB44" s="77">
        <v>5.5210000000000002E-2</v>
      </c>
      <c r="AC44" s="35">
        <f t="shared" si="20"/>
        <v>0.50428740084666135</v>
      </c>
      <c r="AD44" s="15">
        <f t="shared" si="10"/>
        <v>1.0406193177602696</v>
      </c>
      <c r="AE44" s="15">
        <f t="shared" si="21"/>
        <v>0.61621543422253611</v>
      </c>
      <c r="AF44" s="15">
        <f t="shared" si="22"/>
        <v>0.23995954988301024</v>
      </c>
      <c r="AG44" s="15">
        <f t="shared" si="11"/>
        <v>1.1921859351533022</v>
      </c>
      <c r="AH44" s="15">
        <f t="shared" si="12"/>
        <v>1.380605374070327</v>
      </c>
      <c r="AI44" s="15">
        <f t="shared" si="13"/>
        <v>0.66337542795488513</v>
      </c>
      <c r="AJ44" s="16">
        <f t="shared" si="23"/>
        <v>1.2912624157799923</v>
      </c>
      <c r="AK44" s="32">
        <f t="shared" si="24"/>
        <v>2.0045146611728994</v>
      </c>
      <c r="AL44" s="15">
        <f t="shared" si="25"/>
        <v>1.4638047911276346</v>
      </c>
      <c r="AM44" s="15">
        <f t="shared" si="14"/>
        <v>0.54661521809608415</v>
      </c>
      <c r="AN44" s="16">
        <f t="shared" si="15"/>
        <v>0.43736759379484724</v>
      </c>
    </row>
    <row r="45" spans="1:40" x14ac:dyDescent="0.45">
      <c r="A45" s="19">
        <v>33</v>
      </c>
      <c r="B45" s="57" t="s">
        <v>69</v>
      </c>
      <c r="C45" s="58" t="s">
        <v>153</v>
      </c>
      <c r="D45" s="59">
        <v>2599</v>
      </c>
      <c r="E45" s="60">
        <v>4.0298437500000004</v>
      </c>
      <c r="F45" s="61">
        <v>17.225000000000001</v>
      </c>
      <c r="G45" s="61">
        <v>439</v>
      </c>
      <c r="H45" s="61">
        <v>1460</v>
      </c>
      <c r="I45" s="61">
        <v>1104.671319</v>
      </c>
      <c r="J45" s="62">
        <v>22.540766000000001</v>
      </c>
      <c r="K45" s="28">
        <f t="shared" si="16"/>
        <v>59.841419639640023</v>
      </c>
      <c r="L45" s="69">
        <v>77.412840000000003</v>
      </c>
      <c r="M45" s="29">
        <f t="shared" si="17"/>
        <v>88.852288939917202</v>
      </c>
      <c r="N45" s="71">
        <v>81.260480999999999</v>
      </c>
      <c r="O45" s="35">
        <f t="shared" si="18"/>
        <v>0.836543719376587</v>
      </c>
      <c r="P45" s="16">
        <f t="shared" ref="P45:P76" si="26">((AA45/0.3048)^0.8*(((1000/L45)-10)+1)^0.7)/(1900*J45^0.5)</f>
        <v>0.83704594694475398</v>
      </c>
      <c r="Q45" s="57" t="s">
        <v>69</v>
      </c>
      <c r="R45" s="58" t="s">
        <v>291</v>
      </c>
      <c r="S45" s="58">
        <v>2599</v>
      </c>
      <c r="T45" s="58">
        <f t="shared" si="19"/>
        <v>1</v>
      </c>
      <c r="U45" s="58"/>
      <c r="V45" s="73">
        <v>451</v>
      </c>
      <c r="W45" s="74">
        <v>0.12696067799999999</v>
      </c>
      <c r="X45" s="75">
        <v>1</v>
      </c>
      <c r="Y45" s="76">
        <v>0.18903500000000001</v>
      </c>
      <c r="Z45" s="74">
        <v>0.12696067799999999</v>
      </c>
      <c r="AA45" s="73">
        <v>6495.1848799999998</v>
      </c>
      <c r="AB45" s="77">
        <v>0.18903500000000001</v>
      </c>
      <c r="AC45" s="35">
        <f t="shared" si="20"/>
        <v>1.3942395322943117</v>
      </c>
      <c r="AD45" s="15">
        <f t="shared" ref="AD45:AD76" si="27" xml:space="preserve"> 0.76 * (E45 ) ^ 0.38</f>
        <v>1.2906934649020407</v>
      </c>
      <c r="AE45" s="15">
        <f t="shared" ref="AE45:AE136" si="28" xml:space="preserve"> 0.3 * ( Z45/ ( AB45^0.25 ) ) ^ 0.76</f>
        <v>8.5776209317563676E-2</v>
      </c>
      <c r="AF45" s="15">
        <f t="shared" ref="AF45:AF136" si="29">0.00013*(((Z45*1000)/0.3048)^0.77)/(AB45^0.385)</f>
        <v>2.5680790332847519E-2</v>
      </c>
      <c r="AG45" s="15">
        <f t="shared" ref="AG45:AG76" si="30" xml:space="preserve"> ( 4 * E45 ^ 0.5 + 1.5 * Z45 ) / ( 25.3 * ( AB45 *Z45 ) ^ 0.5)</f>
        <v>2.0972861270413938</v>
      </c>
      <c r="AH45" s="15">
        <f t="shared" ref="AH45:AH76" si="31" xml:space="preserve"> 1.7694 * E45 ^ 0.325 * Z45 ^ -0.096 *( AB45*100) ^ -0.29</f>
        <v>1.4467556921068192</v>
      </c>
      <c r="AI45" s="15">
        <f t="shared" ref="AI45:AI76" si="32" xml:space="preserve"> (0.007*(0.035^0.8) * ((Z45*1000)/0.3048)^0.8)/((AB45^0.4)*(N45/25.4)^0.5)</f>
        <v>6.5003414080388455E-2</v>
      </c>
      <c r="AJ45" s="16">
        <f t="shared" ref="AJ45:AJ76" si="33">0.335 * (E45 / AB45 ^ 0.5) ^ 0.593</f>
        <v>1.2545441376241335</v>
      </c>
      <c r="AK45" s="32">
        <f t="shared" ref="AK45:AK76" si="34" xml:space="preserve"> 0.28 * F45 /E45^0.5</f>
        <v>2.4025540027457235</v>
      </c>
      <c r="AL45" s="15">
        <f t="shared" ref="AL45:AL76" si="35" xml:space="preserve"> E45 / Z45 ^ 2</f>
        <v>250.00560272771239</v>
      </c>
      <c r="AM45" s="15">
        <f t="shared" ref="AM45:AM76" si="36">W45/E45</f>
        <v>3.1505111829708034E-2</v>
      </c>
      <c r="AN45" s="16">
        <f t="shared" ref="AN45:AN76" si="37">X45/E45</f>
        <v>0.24814857896165327</v>
      </c>
    </row>
    <row r="46" spans="1:40" x14ac:dyDescent="0.45">
      <c r="A46" s="19">
        <v>34</v>
      </c>
      <c r="B46" s="57" t="s">
        <v>69</v>
      </c>
      <c r="C46" s="58" t="s">
        <v>154</v>
      </c>
      <c r="D46" s="59">
        <v>2600</v>
      </c>
      <c r="E46" s="60">
        <v>3.0825</v>
      </c>
      <c r="F46" s="61">
        <v>12.125</v>
      </c>
      <c r="G46" s="61">
        <v>291</v>
      </c>
      <c r="H46" s="61">
        <v>936</v>
      </c>
      <c r="I46" s="61">
        <v>579.86420299999997</v>
      </c>
      <c r="J46" s="62">
        <v>43.671416999999998</v>
      </c>
      <c r="K46" s="28">
        <f t="shared" si="16"/>
        <v>67.80412217450214</v>
      </c>
      <c r="L46" s="69">
        <v>82.887764000000004</v>
      </c>
      <c r="M46" s="29">
        <f t="shared" si="17"/>
        <v>91.846442609674028</v>
      </c>
      <c r="N46" s="71">
        <v>80.233693000000002</v>
      </c>
      <c r="O46" s="35">
        <f t="shared" si="18"/>
        <v>0.36526320961331304</v>
      </c>
      <c r="P46" s="16">
        <f t="shared" si="26"/>
        <v>0.36548249911278075</v>
      </c>
      <c r="Q46" s="57" t="s">
        <v>69</v>
      </c>
      <c r="R46" s="58" t="s">
        <v>292</v>
      </c>
      <c r="S46" s="58">
        <v>2600</v>
      </c>
      <c r="T46" s="58">
        <f t="shared" si="19"/>
        <v>1</v>
      </c>
      <c r="U46" s="58"/>
      <c r="V46" s="73">
        <v>372</v>
      </c>
      <c r="W46" s="74">
        <v>2.6874368669999997</v>
      </c>
      <c r="X46" s="75">
        <v>1</v>
      </c>
      <c r="Y46" s="76">
        <v>5.2094000000000001E-2</v>
      </c>
      <c r="Z46" s="74">
        <v>2.6874368669999997</v>
      </c>
      <c r="AA46" s="73">
        <v>4321.1363609999999</v>
      </c>
      <c r="AB46" s="77">
        <v>5.2094000000000001E-2</v>
      </c>
      <c r="AC46" s="35">
        <f t="shared" si="20"/>
        <v>0.60877201602218844</v>
      </c>
      <c r="AD46" s="15">
        <f t="shared" si="27"/>
        <v>1.1657267562181701</v>
      </c>
      <c r="AE46" s="15">
        <f t="shared" si="28"/>
        <v>1.1148814161913569</v>
      </c>
      <c r="AF46" s="15">
        <f t="shared" si="29"/>
        <v>0.44246511212288181</v>
      </c>
      <c r="AG46" s="15">
        <f t="shared" si="30"/>
        <v>1.1677099434470946</v>
      </c>
      <c r="AH46" s="15">
        <f t="shared" si="31"/>
        <v>1.4375885895076104</v>
      </c>
      <c r="AI46" s="15">
        <f t="shared" si="32"/>
        <v>1.2593153779255699</v>
      </c>
      <c r="AJ46" s="16">
        <f t="shared" si="33"/>
        <v>1.5683275872306008</v>
      </c>
      <c r="AK46" s="32">
        <f t="shared" si="34"/>
        <v>1.933696165298936</v>
      </c>
      <c r="AL46" s="15">
        <f t="shared" si="35"/>
        <v>0.42680209642663175</v>
      </c>
      <c r="AM46" s="15">
        <f t="shared" si="36"/>
        <v>0.87183677761557166</v>
      </c>
      <c r="AN46" s="16">
        <f t="shared" si="37"/>
        <v>0.32441200324412001</v>
      </c>
    </row>
    <row r="47" spans="1:40" x14ac:dyDescent="0.45">
      <c r="A47" s="19">
        <v>35</v>
      </c>
      <c r="B47" s="57" t="s">
        <v>69</v>
      </c>
      <c r="C47" s="58" t="s">
        <v>155</v>
      </c>
      <c r="D47" s="59">
        <v>2601</v>
      </c>
      <c r="E47" s="60">
        <v>4.61328125</v>
      </c>
      <c r="F47" s="61">
        <v>14.375</v>
      </c>
      <c r="G47" s="61">
        <v>1118</v>
      </c>
      <c r="H47" s="61">
        <v>1725</v>
      </c>
      <c r="I47" s="61">
        <v>1518.7360880000001</v>
      </c>
      <c r="J47" s="62">
        <v>23.433119000000001</v>
      </c>
      <c r="K47" s="28">
        <f t="shared" si="16"/>
        <v>62.033744188043748</v>
      </c>
      <c r="L47" s="69">
        <v>78.982815000000002</v>
      </c>
      <c r="M47" s="29">
        <f t="shared" si="17"/>
        <v>89.732596514398807</v>
      </c>
      <c r="N47" s="71">
        <v>81.623981000000001</v>
      </c>
      <c r="O47" s="35">
        <f t="shared" si="18"/>
        <v>0.62992487588305723</v>
      </c>
      <c r="P47" s="16">
        <f t="shared" si="26"/>
        <v>0.6303030577176878</v>
      </c>
      <c r="Q47" s="57" t="s">
        <v>69</v>
      </c>
      <c r="R47" s="58" t="s">
        <v>293</v>
      </c>
      <c r="S47" s="58">
        <v>2601</v>
      </c>
      <c r="T47" s="58">
        <f t="shared" si="19"/>
        <v>1</v>
      </c>
      <c r="U47" s="58"/>
      <c r="V47" s="73">
        <v>1185</v>
      </c>
      <c r="W47" s="74">
        <v>0.75684658999999999</v>
      </c>
      <c r="X47" s="75">
        <v>1</v>
      </c>
      <c r="Y47" s="76">
        <v>0.14005500000000001</v>
      </c>
      <c r="Z47" s="74">
        <v>0.75684658999999999</v>
      </c>
      <c r="AA47" s="73">
        <v>4953.2431420000003</v>
      </c>
      <c r="AB47" s="77">
        <v>0.14005500000000001</v>
      </c>
      <c r="AC47" s="35">
        <f t="shared" si="20"/>
        <v>1.0498747931384287</v>
      </c>
      <c r="AD47" s="15">
        <f t="shared" si="27"/>
        <v>1.358743146615063</v>
      </c>
      <c r="AE47" s="15">
        <f t="shared" si="28"/>
        <v>0.35267160136480719</v>
      </c>
      <c r="AF47" s="15">
        <f t="shared" si="29"/>
        <v>0.1139627483546308</v>
      </c>
      <c r="AG47" s="15">
        <f t="shared" si="30"/>
        <v>1.1808407076093306</v>
      </c>
      <c r="AH47" s="15">
        <f t="shared" si="31"/>
        <v>1.3893699366779897</v>
      </c>
      <c r="AI47" s="15">
        <f t="shared" si="32"/>
        <v>0.30502491662005954</v>
      </c>
      <c r="AJ47" s="16">
        <f t="shared" si="33"/>
        <v>1.4856795884890448</v>
      </c>
      <c r="AK47" s="32">
        <f t="shared" si="34"/>
        <v>1.8739625975734282</v>
      </c>
      <c r="AL47" s="15">
        <f t="shared" si="35"/>
        <v>8.0536771368217686</v>
      </c>
      <c r="AM47" s="15">
        <f t="shared" si="36"/>
        <v>0.16405819393734122</v>
      </c>
      <c r="AN47" s="16">
        <f t="shared" si="37"/>
        <v>0.21676545300592717</v>
      </c>
    </row>
    <row r="48" spans="1:40" x14ac:dyDescent="0.45">
      <c r="A48" s="19">
        <v>36</v>
      </c>
      <c r="B48" s="57" t="s">
        <v>69</v>
      </c>
      <c r="C48" s="58" t="s">
        <v>156</v>
      </c>
      <c r="D48" s="59">
        <v>2602</v>
      </c>
      <c r="E48" s="60">
        <v>7.9592187499999998</v>
      </c>
      <c r="F48" s="61">
        <v>23.225000000000001</v>
      </c>
      <c r="G48" s="61">
        <v>1107</v>
      </c>
      <c r="H48" s="61">
        <v>2135</v>
      </c>
      <c r="I48" s="61">
        <v>1464.1654530000001</v>
      </c>
      <c r="J48" s="62">
        <v>35.351737999999997</v>
      </c>
      <c r="K48" s="28">
        <f t="shared" si="16"/>
        <v>62.876862320380063</v>
      </c>
      <c r="L48" s="69">
        <v>79.573481999999998</v>
      </c>
      <c r="M48" s="29">
        <f t="shared" si="17"/>
        <v>90.059175619595294</v>
      </c>
      <c r="N48" s="71">
        <v>81.217271999999994</v>
      </c>
      <c r="O48" s="35">
        <f t="shared" si="18"/>
        <v>0.61238502369805958</v>
      </c>
      <c r="P48" s="16">
        <f t="shared" si="26"/>
        <v>0.61275267530324173</v>
      </c>
      <c r="Q48" s="57" t="s">
        <v>69</v>
      </c>
      <c r="R48" s="58" t="s">
        <v>294</v>
      </c>
      <c r="S48" s="58">
        <v>2602</v>
      </c>
      <c r="T48" s="58">
        <f t="shared" si="19"/>
        <v>1</v>
      </c>
      <c r="U48" s="58"/>
      <c r="V48" s="73">
        <v>1172</v>
      </c>
      <c r="W48" s="74">
        <v>2.9322591980000001</v>
      </c>
      <c r="X48" s="75">
        <v>1</v>
      </c>
      <c r="Y48" s="76">
        <v>4.4674999999999999E-2</v>
      </c>
      <c r="Z48" s="74">
        <v>2.9322591980000001</v>
      </c>
      <c r="AA48" s="73">
        <v>6324.9183759999996</v>
      </c>
      <c r="AB48" s="77">
        <v>4.4674999999999999E-2</v>
      </c>
      <c r="AC48" s="35">
        <f t="shared" si="20"/>
        <v>1.0206417061634327</v>
      </c>
      <c r="AD48" s="15">
        <f t="shared" si="27"/>
        <v>1.6716461785333068</v>
      </c>
      <c r="AE48" s="15">
        <f t="shared" si="28"/>
        <v>1.2265430038545135</v>
      </c>
      <c r="AF48" s="15">
        <f t="shared" si="29"/>
        <v>0.50202204686351748</v>
      </c>
      <c r="AG48" s="15">
        <f t="shared" si="30"/>
        <v>1.7127002385423478</v>
      </c>
      <c r="AH48" s="15">
        <f t="shared" si="31"/>
        <v>2.0287978090934673</v>
      </c>
      <c r="AI48" s="15">
        <f t="shared" si="32"/>
        <v>1.4271486993527247</v>
      </c>
      <c r="AJ48" s="16">
        <f t="shared" si="33"/>
        <v>2.8808247274673731</v>
      </c>
      <c r="AK48" s="32">
        <f t="shared" si="34"/>
        <v>2.3050403572408449</v>
      </c>
      <c r="AL48" s="15">
        <f t="shared" si="35"/>
        <v>0.92569032875707002</v>
      </c>
      <c r="AM48" s="15">
        <f t="shared" si="36"/>
        <v>0.36841042947839575</v>
      </c>
      <c r="AN48" s="16">
        <f t="shared" si="37"/>
        <v>0.12564047193702271</v>
      </c>
    </row>
    <row r="49" spans="1:40" x14ac:dyDescent="0.45">
      <c r="A49" s="19">
        <v>37</v>
      </c>
      <c r="B49" s="57" t="s">
        <v>69</v>
      </c>
      <c r="C49" s="58" t="s">
        <v>157</v>
      </c>
      <c r="D49" s="59">
        <v>2603</v>
      </c>
      <c r="E49" s="60">
        <v>22.270312499999999</v>
      </c>
      <c r="F49" s="61">
        <v>37.25</v>
      </c>
      <c r="G49" s="61">
        <v>150</v>
      </c>
      <c r="H49" s="61">
        <v>886</v>
      </c>
      <c r="I49" s="61">
        <v>378.81762400000002</v>
      </c>
      <c r="J49" s="62">
        <v>27.397922999999999</v>
      </c>
      <c r="K49" s="28">
        <f t="shared" si="16"/>
        <v>55.998269401982327</v>
      </c>
      <c r="L49" s="69">
        <v>74.535703999999996</v>
      </c>
      <c r="M49" s="29">
        <f t="shared" si="17"/>
        <v>87.191200461778109</v>
      </c>
      <c r="N49" s="71">
        <v>77.917421000000004</v>
      </c>
      <c r="O49" s="35">
        <f t="shared" si="18"/>
        <v>1.4063404028859705</v>
      </c>
      <c r="P49" s="16">
        <f t="shared" si="26"/>
        <v>1.4071847137141993</v>
      </c>
      <c r="Q49" s="57" t="s">
        <v>69</v>
      </c>
      <c r="R49" s="58" t="s">
        <v>295</v>
      </c>
      <c r="S49" s="58">
        <v>2603</v>
      </c>
      <c r="T49" s="58">
        <f t="shared" si="19"/>
        <v>1</v>
      </c>
      <c r="U49" s="58"/>
      <c r="V49" s="73">
        <v>219</v>
      </c>
      <c r="W49" s="74">
        <v>9.6077425969999997</v>
      </c>
      <c r="X49" s="75">
        <v>1</v>
      </c>
      <c r="Y49" s="76">
        <v>1.4572E-2</v>
      </c>
      <c r="Z49" s="74">
        <v>9.6077425969999997</v>
      </c>
      <c r="AA49" s="73">
        <v>12648.396456</v>
      </c>
      <c r="AB49" s="77">
        <v>1.4572E-2</v>
      </c>
      <c r="AC49" s="35">
        <f t="shared" si="20"/>
        <v>2.3439006714766175</v>
      </c>
      <c r="AD49" s="15">
        <f t="shared" si="27"/>
        <v>2.4714372634095017</v>
      </c>
      <c r="AE49" s="15">
        <f t="shared" si="28"/>
        <v>3.7397695991781132</v>
      </c>
      <c r="AF49" s="15">
        <f t="shared" si="29"/>
        <v>1.9271494708927333</v>
      </c>
      <c r="AG49" s="15">
        <f t="shared" si="30"/>
        <v>3.5164087834334121</v>
      </c>
      <c r="AH49" s="15">
        <f t="shared" si="31"/>
        <v>3.5001355725289982</v>
      </c>
      <c r="AI49" s="15">
        <f t="shared" si="32"/>
        <v>5.8942628830261485</v>
      </c>
      <c r="AJ49" s="16">
        <f t="shared" si="33"/>
        <v>7.392019057052555</v>
      </c>
      <c r="AK49" s="32">
        <f t="shared" si="34"/>
        <v>2.2101469626647368</v>
      </c>
      <c r="AL49" s="15">
        <f t="shared" si="35"/>
        <v>0.24125903845603147</v>
      </c>
      <c r="AM49" s="15">
        <f t="shared" si="36"/>
        <v>0.43141480825650741</v>
      </c>
      <c r="AN49" s="16">
        <f t="shared" si="37"/>
        <v>4.4902827474917563E-2</v>
      </c>
    </row>
    <row r="50" spans="1:40" x14ac:dyDescent="0.45">
      <c r="A50" s="19">
        <v>38</v>
      </c>
      <c r="B50" s="57" t="s">
        <v>69</v>
      </c>
      <c r="C50" s="58" t="s">
        <v>158</v>
      </c>
      <c r="D50" s="59">
        <v>2604</v>
      </c>
      <c r="E50" s="60">
        <v>5.1015625</v>
      </c>
      <c r="F50" s="61">
        <v>15.7</v>
      </c>
      <c r="G50" s="61">
        <v>438</v>
      </c>
      <c r="H50" s="61">
        <v>1392</v>
      </c>
      <c r="I50" s="61">
        <v>867.15365999999995</v>
      </c>
      <c r="J50" s="62">
        <v>38.985160999999998</v>
      </c>
      <c r="K50" s="28">
        <f t="shared" si="16"/>
        <v>66.7934788062216</v>
      </c>
      <c r="L50" s="69">
        <v>82.226489000000001</v>
      </c>
      <c r="M50" s="29">
        <f t="shared" si="17"/>
        <v>91.495842466428627</v>
      </c>
      <c r="N50" s="71">
        <v>80.683588</v>
      </c>
      <c r="O50" s="35">
        <f t="shared" si="18"/>
        <v>0.45329156895084927</v>
      </c>
      <c r="P50" s="16">
        <f t="shared" si="26"/>
        <v>0.45356370717515432</v>
      </c>
      <c r="Q50" s="57" t="s">
        <v>69</v>
      </c>
      <c r="R50" s="58" t="s">
        <v>296</v>
      </c>
      <c r="S50" s="58">
        <v>2604</v>
      </c>
      <c r="T50" s="58">
        <f t="shared" si="19"/>
        <v>1</v>
      </c>
      <c r="U50" s="58"/>
      <c r="V50" s="73">
        <v>597</v>
      </c>
      <c r="W50" s="74">
        <v>2.3767135619999999</v>
      </c>
      <c r="X50" s="75">
        <v>1</v>
      </c>
      <c r="Y50" s="76">
        <v>8.4570999999999993E-2</v>
      </c>
      <c r="Z50" s="74">
        <v>2.3767135619999999</v>
      </c>
      <c r="AA50" s="73">
        <v>5130.464011</v>
      </c>
      <c r="AB50" s="77">
        <v>8.4570999999999993E-2</v>
      </c>
      <c r="AC50" s="35">
        <f t="shared" si="20"/>
        <v>0.75548594825141546</v>
      </c>
      <c r="AD50" s="15">
        <f t="shared" si="27"/>
        <v>1.4116947925670835</v>
      </c>
      <c r="AE50" s="15">
        <f t="shared" si="28"/>
        <v>0.92617185206157115</v>
      </c>
      <c r="AF50" s="15">
        <f t="shared" si="29"/>
        <v>0.33402097303907385</v>
      </c>
      <c r="AG50" s="15">
        <f t="shared" si="30"/>
        <v>1.1108141903777049</v>
      </c>
      <c r="AH50" s="15">
        <f t="shared" si="31"/>
        <v>1.488817841342597</v>
      </c>
      <c r="AI50" s="15">
        <f t="shared" si="32"/>
        <v>0.9376864736965953</v>
      </c>
      <c r="AJ50" s="16">
        <f t="shared" si="33"/>
        <v>1.8314355789819885</v>
      </c>
      <c r="AK50" s="32">
        <f t="shared" si="34"/>
        <v>1.9462833973466289</v>
      </c>
      <c r="AL50" s="15">
        <f t="shared" si="35"/>
        <v>0.90312844885824817</v>
      </c>
      <c r="AM50" s="15">
        <f t="shared" si="36"/>
        <v>0.46587953435834606</v>
      </c>
      <c r="AN50" s="16">
        <f t="shared" si="37"/>
        <v>0.19601837672281777</v>
      </c>
    </row>
    <row r="51" spans="1:40" x14ac:dyDescent="0.45">
      <c r="A51" s="19">
        <v>39</v>
      </c>
      <c r="B51" s="57" t="s">
        <v>69</v>
      </c>
      <c r="C51" s="58" t="s">
        <v>159</v>
      </c>
      <c r="D51" s="59">
        <v>2605</v>
      </c>
      <c r="E51" s="60">
        <v>6.765625</v>
      </c>
      <c r="F51" s="61">
        <v>17.274999999999999</v>
      </c>
      <c r="G51" s="61">
        <v>637</v>
      </c>
      <c r="H51" s="61">
        <v>1329</v>
      </c>
      <c r="I51" s="61">
        <v>994.67637400000001</v>
      </c>
      <c r="J51" s="62">
        <v>36.602482000000002</v>
      </c>
      <c r="K51" s="28">
        <f t="shared" si="16"/>
        <v>61.227500757726183</v>
      </c>
      <c r="L51" s="69">
        <v>78.411237999999997</v>
      </c>
      <c r="M51" s="29">
        <f t="shared" si="17"/>
        <v>89.414184872873449</v>
      </c>
      <c r="N51" s="71">
        <v>80.458374000000006</v>
      </c>
      <c r="O51" s="35">
        <f t="shared" si="18"/>
        <v>0.54388586274751927</v>
      </c>
      <c r="P51" s="16">
        <f t="shared" si="26"/>
        <v>0.54421239018162837</v>
      </c>
      <c r="Q51" s="57" t="s">
        <v>69</v>
      </c>
      <c r="R51" s="58" t="s">
        <v>297</v>
      </c>
      <c r="S51" s="58">
        <v>2605</v>
      </c>
      <c r="T51" s="58">
        <f t="shared" si="19"/>
        <v>1</v>
      </c>
      <c r="U51" s="58"/>
      <c r="V51" s="73">
        <v>768</v>
      </c>
      <c r="W51" s="74">
        <v>4.0027543259999998</v>
      </c>
      <c r="X51" s="75">
        <v>1</v>
      </c>
      <c r="Y51" s="76">
        <v>5.7210999999999998E-2</v>
      </c>
      <c r="Z51" s="74">
        <v>4.0027543259999998</v>
      </c>
      <c r="AA51" s="73">
        <v>5330.3115950000001</v>
      </c>
      <c r="AB51" s="77">
        <v>5.7210999999999998E-2</v>
      </c>
      <c r="AC51" s="35">
        <f t="shared" si="20"/>
        <v>0.90647643791253207</v>
      </c>
      <c r="AD51" s="15">
        <f t="shared" si="27"/>
        <v>1.5715586840597238</v>
      </c>
      <c r="AE51" s="15">
        <f t="shared" si="28"/>
        <v>1.4824939624537157</v>
      </c>
      <c r="AF51" s="15">
        <f t="shared" si="29"/>
        <v>0.58001415030010284</v>
      </c>
      <c r="AG51" s="15">
        <f t="shared" si="30"/>
        <v>1.3552767825119925</v>
      </c>
      <c r="AH51" s="15">
        <f t="shared" si="31"/>
        <v>1.7385235323816433</v>
      </c>
      <c r="AI51" s="15">
        <f t="shared" si="32"/>
        <v>1.6659695940969266</v>
      </c>
      <c r="AJ51" s="16">
        <f t="shared" si="33"/>
        <v>2.4312225861805916</v>
      </c>
      <c r="AK51" s="32">
        <f t="shared" si="34"/>
        <v>1.8596110845231302</v>
      </c>
      <c r="AL51" s="15">
        <f t="shared" si="35"/>
        <v>0.42226982790009082</v>
      </c>
      <c r="AM51" s="15">
        <f t="shared" si="36"/>
        <v>0.59163112439722865</v>
      </c>
      <c r="AN51" s="16">
        <f t="shared" si="37"/>
        <v>0.14780600461893764</v>
      </c>
    </row>
    <row r="52" spans="1:40" x14ac:dyDescent="0.45">
      <c r="A52" s="19">
        <v>40</v>
      </c>
      <c r="B52" s="57" t="s">
        <v>69</v>
      </c>
      <c r="C52" s="58" t="s">
        <v>160</v>
      </c>
      <c r="D52" s="59">
        <v>2606</v>
      </c>
      <c r="E52" s="60">
        <v>4.8748437500000001</v>
      </c>
      <c r="F52" s="61">
        <v>14.45</v>
      </c>
      <c r="G52" s="61">
        <v>1245</v>
      </c>
      <c r="H52" s="61">
        <v>2324</v>
      </c>
      <c r="I52" s="61">
        <v>1797.7849289999999</v>
      </c>
      <c r="J52" s="62">
        <v>48.010914</v>
      </c>
      <c r="K52" s="28">
        <f t="shared" si="16"/>
        <v>64.041785733240587</v>
      </c>
      <c r="L52" s="69">
        <v>80.377972</v>
      </c>
      <c r="M52" s="29">
        <f t="shared" si="17"/>
        <v>90.499994532257247</v>
      </c>
      <c r="N52" s="71">
        <v>80.687870000000004</v>
      </c>
      <c r="O52" s="35">
        <f t="shared" si="18"/>
        <v>0.38659135476066492</v>
      </c>
      <c r="P52" s="16">
        <f t="shared" si="26"/>
        <v>0.38682344882996283</v>
      </c>
      <c r="Q52" s="57" t="s">
        <v>69</v>
      </c>
      <c r="R52" s="58" t="s">
        <v>298</v>
      </c>
      <c r="S52" s="58">
        <v>2606</v>
      </c>
      <c r="T52" s="58">
        <f t="shared" si="19"/>
        <v>1</v>
      </c>
      <c r="U52" s="58"/>
      <c r="V52" s="73">
        <v>1306</v>
      </c>
      <c r="W52" s="74">
        <v>0.98310290299999992</v>
      </c>
      <c r="X52" s="75">
        <v>1</v>
      </c>
      <c r="Y52" s="76">
        <v>0.11595900000000001</v>
      </c>
      <c r="Z52" s="74">
        <v>0.98310290299999992</v>
      </c>
      <c r="AA52" s="73">
        <v>4446.9485000000004</v>
      </c>
      <c r="AB52" s="77">
        <v>0.11595900000000001</v>
      </c>
      <c r="AC52" s="35">
        <f t="shared" si="20"/>
        <v>0.64431892460110818</v>
      </c>
      <c r="AD52" s="15">
        <f t="shared" si="27"/>
        <v>1.3875181037579376</v>
      </c>
      <c r="AE52" s="15">
        <f t="shared" si="28"/>
        <v>0.4459422602411458</v>
      </c>
      <c r="AF52" s="15">
        <f t="shared" si="29"/>
        <v>0.14989799603292286</v>
      </c>
      <c r="AG52" s="15">
        <f t="shared" si="30"/>
        <v>1.2065058440617547</v>
      </c>
      <c r="AH52" s="15">
        <f t="shared" si="31"/>
        <v>1.45705335322319</v>
      </c>
      <c r="AI52" s="15">
        <f t="shared" si="32"/>
        <v>0.40785955058755158</v>
      </c>
      <c r="AJ52" s="16">
        <f t="shared" si="33"/>
        <v>1.6234511658538329</v>
      </c>
      <c r="AK52" s="32">
        <f t="shared" si="34"/>
        <v>1.8325065193865875</v>
      </c>
      <c r="AL52" s="15">
        <f t="shared" si="35"/>
        <v>5.0438567421976765</v>
      </c>
      <c r="AM52" s="15">
        <f t="shared" si="36"/>
        <v>0.20166859768582324</v>
      </c>
      <c r="AN52" s="16">
        <f t="shared" si="37"/>
        <v>0.20513477996089619</v>
      </c>
    </row>
    <row r="53" spans="1:40" x14ac:dyDescent="0.45">
      <c r="A53" s="19">
        <v>41</v>
      </c>
      <c r="B53" s="57" t="s">
        <v>69</v>
      </c>
      <c r="C53" s="58" t="s">
        <v>161</v>
      </c>
      <c r="D53" s="59">
        <v>2607</v>
      </c>
      <c r="E53" s="60">
        <v>13.66546875</v>
      </c>
      <c r="F53" s="61">
        <v>27.175000000000001</v>
      </c>
      <c r="G53" s="61">
        <v>860</v>
      </c>
      <c r="H53" s="61">
        <v>1665</v>
      </c>
      <c r="I53" s="61">
        <v>1238.8527200000001</v>
      </c>
      <c r="J53" s="62">
        <v>31.569133999999998</v>
      </c>
      <c r="K53" s="28">
        <f t="shared" si="16"/>
        <v>65.390278673444683</v>
      </c>
      <c r="L53" s="69">
        <v>81.292787000000004</v>
      </c>
      <c r="M53" s="29">
        <f t="shared" si="17"/>
        <v>90.995767015216586</v>
      </c>
      <c r="N53" s="71">
        <v>81.002100999999996</v>
      </c>
      <c r="O53" s="35">
        <f t="shared" si="18"/>
        <v>0.82232293223438169</v>
      </c>
      <c r="P53" s="16">
        <f t="shared" si="26"/>
        <v>0.82281662220770624</v>
      </c>
      <c r="Q53" s="57" t="s">
        <v>69</v>
      </c>
      <c r="R53" s="58" t="s">
        <v>299</v>
      </c>
      <c r="S53" s="58">
        <v>2607</v>
      </c>
      <c r="T53" s="58">
        <f t="shared" si="19"/>
        <v>1</v>
      </c>
      <c r="U53" s="58"/>
      <c r="V53" s="73">
        <v>1005</v>
      </c>
      <c r="W53" s="74">
        <v>5.6821960650000003</v>
      </c>
      <c r="X53" s="75">
        <v>1</v>
      </c>
      <c r="Y53" s="76">
        <v>4.3645000000000003E-2</v>
      </c>
      <c r="Z53" s="74">
        <v>5.6821960650000003</v>
      </c>
      <c r="AA53" s="73">
        <v>9115.6038009999993</v>
      </c>
      <c r="AB53" s="77">
        <v>4.3645000000000003E-2</v>
      </c>
      <c r="AC53" s="35">
        <f t="shared" si="20"/>
        <v>1.3705382203906362</v>
      </c>
      <c r="AD53" s="15">
        <f t="shared" si="27"/>
        <v>2.0528202113238923</v>
      </c>
      <c r="AE53" s="15">
        <f t="shared" si="28"/>
        <v>2.0368827187248661</v>
      </c>
      <c r="AF53" s="15">
        <f t="shared" si="29"/>
        <v>0.84305233378915023</v>
      </c>
      <c r="AG53" s="15">
        <f t="shared" si="30"/>
        <v>1.8501073048806118</v>
      </c>
      <c r="AH53" s="15">
        <f t="shared" si="31"/>
        <v>2.2850169989206393</v>
      </c>
      <c r="AI53" s="15">
        <f t="shared" si="32"/>
        <v>2.4487722481901275</v>
      </c>
      <c r="AJ53" s="16">
        <f t="shared" si="33"/>
        <v>3.9969579263021831</v>
      </c>
      <c r="AK53" s="32">
        <f t="shared" si="34"/>
        <v>2.0583314859197226</v>
      </c>
      <c r="AL53" s="15">
        <f t="shared" si="35"/>
        <v>0.42324526021038739</v>
      </c>
      <c r="AM53" s="15">
        <f t="shared" si="36"/>
        <v>0.41580689026858297</v>
      </c>
      <c r="AN53" s="16">
        <f t="shared" si="37"/>
        <v>7.317714586263277E-2</v>
      </c>
    </row>
    <row r="54" spans="1:40" x14ac:dyDescent="0.45">
      <c r="A54" s="19">
        <v>42</v>
      </c>
      <c r="B54" s="57" t="s">
        <v>69</v>
      </c>
      <c r="C54" s="58" t="s">
        <v>162</v>
      </c>
      <c r="D54" s="59">
        <v>2608</v>
      </c>
      <c r="E54" s="60">
        <v>21.318906250000001</v>
      </c>
      <c r="F54" s="61">
        <v>31.95</v>
      </c>
      <c r="G54" s="61">
        <v>703</v>
      </c>
      <c r="H54" s="61">
        <v>2194</v>
      </c>
      <c r="I54" s="61">
        <v>1317.2748810000001</v>
      </c>
      <c r="J54" s="62">
        <v>44.517006000000002</v>
      </c>
      <c r="K54" s="28">
        <f t="shared" si="16"/>
        <v>61.206762739322116</v>
      </c>
      <c r="L54" s="69">
        <v>78.396448000000007</v>
      </c>
      <c r="M54" s="29">
        <f t="shared" si="17"/>
        <v>89.405914318839152</v>
      </c>
      <c r="N54" s="71">
        <v>80.338397999999998</v>
      </c>
      <c r="O54" s="35">
        <f t="shared" si="18"/>
        <v>0.86112204665929315</v>
      </c>
      <c r="P54" s="16">
        <f t="shared" si="26"/>
        <v>0.86163903007733966</v>
      </c>
      <c r="Q54" s="57" t="s">
        <v>69</v>
      </c>
      <c r="R54" s="58" t="s">
        <v>300</v>
      </c>
      <c r="S54" s="58">
        <v>2608</v>
      </c>
      <c r="T54" s="58">
        <f t="shared" si="19"/>
        <v>1</v>
      </c>
      <c r="U54" s="58"/>
      <c r="V54" s="73">
        <v>937</v>
      </c>
      <c r="W54" s="74">
        <v>7.7190809829999996</v>
      </c>
      <c r="X54" s="75">
        <v>1</v>
      </c>
      <c r="Y54" s="76">
        <v>7.3454000000000005E-2</v>
      </c>
      <c r="Z54" s="74">
        <v>7.7190809829999996</v>
      </c>
      <c r="AA54" s="73">
        <v>10692.761537</v>
      </c>
      <c r="AB54" s="77">
        <v>7.3454000000000005E-2</v>
      </c>
      <c r="AC54" s="35">
        <f t="shared" si="20"/>
        <v>1.4352034110988219</v>
      </c>
      <c r="AD54" s="15">
        <f t="shared" si="27"/>
        <v>2.4307722055317091</v>
      </c>
      <c r="AE54" s="15">
        <f t="shared" si="28"/>
        <v>2.3287784469312913</v>
      </c>
      <c r="AF54" s="15">
        <f t="shared" si="29"/>
        <v>0.87349694909844144</v>
      </c>
      <c r="AG54" s="15">
        <f t="shared" si="30"/>
        <v>1.5772425429549117</v>
      </c>
      <c r="AH54" s="15">
        <f t="shared" si="31"/>
        <v>2.2045697494607741</v>
      </c>
      <c r="AI54" s="15">
        <f t="shared" si="32"/>
        <v>2.551185732988726</v>
      </c>
      <c r="AJ54" s="16">
        <f t="shared" si="33"/>
        <v>4.4589111996642457</v>
      </c>
      <c r="AK54" s="32">
        <f t="shared" si="34"/>
        <v>1.9375210695974798</v>
      </c>
      <c r="AL54" s="15">
        <f t="shared" si="35"/>
        <v>0.35779455350226008</v>
      </c>
      <c r="AM54" s="15">
        <f t="shared" si="36"/>
        <v>0.36207678257415288</v>
      </c>
      <c r="AN54" s="16">
        <f t="shared" si="37"/>
        <v>4.6906721586619855E-2</v>
      </c>
    </row>
    <row r="55" spans="1:40" x14ac:dyDescent="0.45">
      <c r="A55" s="19">
        <v>43</v>
      </c>
      <c r="B55" s="57" t="s">
        <v>69</v>
      </c>
      <c r="C55" s="58" t="s">
        <v>163</v>
      </c>
      <c r="D55" s="59">
        <v>2609</v>
      </c>
      <c r="E55" s="60">
        <v>4.524375</v>
      </c>
      <c r="F55" s="61">
        <v>13.9</v>
      </c>
      <c r="G55" s="61">
        <v>359</v>
      </c>
      <c r="H55" s="61">
        <v>997</v>
      </c>
      <c r="I55" s="61">
        <v>691.62204699999995</v>
      </c>
      <c r="J55" s="62">
        <v>27.386092999999999</v>
      </c>
      <c r="K55" s="28">
        <f t="shared" si="16"/>
        <v>54.584444429731988</v>
      </c>
      <c r="L55" s="69">
        <v>73.434946999999994</v>
      </c>
      <c r="M55" s="29">
        <f t="shared" si="17"/>
        <v>86.538707502766144</v>
      </c>
      <c r="N55" s="71">
        <v>79.433333000000005</v>
      </c>
      <c r="O55" s="35">
        <f t="shared" si="18"/>
        <v>0.70650252460006502</v>
      </c>
      <c r="P55" s="16">
        <f t="shared" si="26"/>
        <v>0.70692668060843</v>
      </c>
      <c r="Q55" s="57" t="s">
        <v>69</v>
      </c>
      <c r="R55" s="58" t="s">
        <v>301</v>
      </c>
      <c r="S55" s="58">
        <v>2609</v>
      </c>
      <c r="T55" s="58">
        <f t="shared" si="19"/>
        <v>1</v>
      </c>
      <c r="U55" s="58"/>
      <c r="V55" s="73">
        <v>508</v>
      </c>
      <c r="W55" s="74">
        <v>0.59552669499999999</v>
      </c>
      <c r="X55" s="75">
        <v>1</v>
      </c>
      <c r="Y55" s="76">
        <v>0.27202799999999999</v>
      </c>
      <c r="Z55" s="74">
        <v>0.59552669499999999</v>
      </c>
      <c r="AA55" s="73">
        <v>5143.6999420000002</v>
      </c>
      <c r="AB55" s="77">
        <v>0.27202799999999999</v>
      </c>
      <c r="AC55" s="35">
        <f t="shared" si="20"/>
        <v>1.177504207666775</v>
      </c>
      <c r="AD55" s="15">
        <f t="shared" si="27"/>
        <v>1.3487326096166747</v>
      </c>
      <c r="AE55" s="15">
        <f t="shared" si="28"/>
        <v>0.25910130886291932</v>
      </c>
      <c r="AF55" s="15">
        <f t="shared" si="29"/>
        <v>7.3383689320745613E-2</v>
      </c>
      <c r="AG55" s="15">
        <f t="shared" si="30"/>
        <v>0.92325186645865653</v>
      </c>
      <c r="AH55" s="15">
        <f t="shared" si="31"/>
        <v>1.1653438835273824</v>
      </c>
      <c r="AI55" s="15">
        <f t="shared" si="32"/>
        <v>0.19571833588295015</v>
      </c>
      <c r="AJ55" s="16">
        <f t="shared" si="33"/>
        <v>1.2062244250716239</v>
      </c>
      <c r="AK55" s="32">
        <f t="shared" si="34"/>
        <v>1.8297574942906218</v>
      </c>
      <c r="AL55" s="15">
        <f t="shared" si="35"/>
        <v>12.757222383757082</v>
      </c>
      <c r="AM55" s="15">
        <f t="shared" si="36"/>
        <v>0.13162628981903576</v>
      </c>
      <c r="AN55" s="16">
        <f t="shared" si="37"/>
        <v>0.22102500345351567</v>
      </c>
    </row>
    <row r="56" spans="1:40" x14ac:dyDescent="0.45">
      <c r="A56" s="19">
        <v>44</v>
      </c>
      <c r="B56" s="57" t="s">
        <v>69</v>
      </c>
      <c r="C56" s="58" t="s">
        <v>164</v>
      </c>
      <c r="D56" s="59">
        <v>2610</v>
      </c>
      <c r="E56" s="60">
        <v>10.25765625</v>
      </c>
      <c r="F56" s="61">
        <v>22.7</v>
      </c>
      <c r="G56" s="61">
        <v>428</v>
      </c>
      <c r="H56" s="61">
        <v>1202</v>
      </c>
      <c r="I56" s="61">
        <v>887.80883200000005</v>
      </c>
      <c r="J56" s="62">
        <v>27.402888999999998</v>
      </c>
      <c r="K56" s="28">
        <f t="shared" si="16"/>
        <v>54.034048852701702</v>
      </c>
      <c r="L56" s="69">
        <v>73</v>
      </c>
      <c r="M56" s="29">
        <f t="shared" si="17"/>
        <v>86.278217704763023</v>
      </c>
      <c r="N56" s="71">
        <v>79.659149999999997</v>
      </c>
      <c r="O56" s="35">
        <f t="shared" si="18"/>
        <v>0.90215751014622392</v>
      </c>
      <c r="P56" s="16">
        <f t="shared" si="26"/>
        <v>0.90269912962399845</v>
      </c>
      <c r="Q56" s="57" t="s">
        <v>69</v>
      </c>
      <c r="R56" s="58" t="s">
        <v>302</v>
      </c>
      <c r="S56" s="58">
        <v>2610</v>
      </c>
      <c r="T56" s="58">
        <f t="shared" si="19"/>
        <v>1</v>
      </c>
      <c r="U56" s="58"/>
      <c r="V56" s="73">
        <v>703</v>
      </c>
      <c r="W56" s="74">
        <v>2.8962757020000001</v>
      </c>
      <c r="X56" s="75">
        <v>1</v>
      </c>
      <c r="Y56" s="76">
        <v>0.12809599999999999</v>
      </c>
      <c r="Z56" s="74">
        <v>2.8962757020000001</v>
      </c>
      <c r="AA56" s="73">
        <v>6879.1314899999998</v>
      </c>
      <c r="AB56" s="77">
        <v>0.12809599999999999</v>
      </c>
      <c r="AC56" s="35">
        <f t="shared" si="20"/>
        <v>1.5035958502437066</v>
      </c>
      <c r="AD56" s="15">
        <f t="shared" si="27"/>
        <v>1.8408223809314879</v>
      </c>
      <c r="AE56" s="15">
        <f t="shared" si="28"/>
        <v>0.99469015918251769</v>
      </c>
      <c r="AF56" s="15">
        <f t="shared" si="29"/>
        <v>0.33148765610102382</v>
      </c>
      <c r="AG56" s="15">
        <f t="shared" si="30"/>
        <v>1.113252568005429</v>
      </c>
      <c r="AH56" s="15">
        <f t="shared" si="31"/>
        <v>1.6251547572049947</v>
      </c>
      <c r="AI56" s="15">
        <f t="shared" si="32"/>
        <v>0.93626162466973273</v>
      </c>
      <c r="AJ56" s="16">
        <f t="shared" si="33"/>
        <v>2.4502593700918807</v>
      </c>
      <c r="AK56" s="32">
        <f t="shared" si="34"/>
        <v>1.984539822261896</v>
      </c>
      <c r="AL56" s="15">
        <f t="shared" si="35"/>
        <v>1.2228363482973355</v>
      </c>
      <c r="AM56" s="15">
        <f t="shared" si="36"/>
        <v>0.28235257951834758</v>
      </c>
      <c r="AN56" s="16">
        <f t="shared" si="37"/>
        <v>9.7488156712211907E-2</v>
      </c>
    </row>
    <row r="57" spans="1:40" x14ac:dyDescent="0.45">
      <c r="A57" s="19">
        <v>45</v>
      </c>
      <c r="B57" s="57" t="s">
        <v>69</v>
      </c>
      <c r="C57" s="58" t="s">
        <v>165</v>
      </c>
      <c r="D57" s="59">
        <v>2611</v>
      </c>
      <c r="E57" s="60">
        <v>18.363125</v>
      </c>
      <c r="F57" s="61">
        <v>52.7</v>
      </c>
      <c r="G57" s="61">
        <v>66</v>
      </c>
      <c r="H57" s="61">
        <v>154</v>
      </c>
      <c r="I57" s="61">
        <v>90.025271000000004</v>
      </c>
      <c r="J57" s="62">
        <v>8.2999749999999999</v>
      </c>
      <c r="K57" s="28">
        <f t="shared" si="16"/>
        <v>53.563715150670198</v>
      </c>
      <c r="L57" s="69">
        <v>72.625414000000006</v>
      </c>
      <c r="M57" s="29">
        <f t="shared" si="17"/>
        <v>86.052651549035502</v>
      </c>
      <c r="N57" s="71">
        <v>85.299818000000002</v>
      </c>
      <c r="O57" s="35">
        <f t="shared" si="18"/>
        <v>3.6309044464245788</v>
      </c>
      <c r="P57" s="16">
        <f t="shared" si="26"/>
        <v>3.6330842970027808</v>
      </c>
      <c r="Q57" s="57" t="s">
        <v>69</v>
      </c>
      <c r="R57" s="58" t="s">
        <v>303</v>
      </c>
      <c r="S57" s="58">
        <v>2611</v>
      </c>
      <c r="T57" s="58">
        <f t="shared" si="19"/>
        <v>1</v>
      </c>
      <c r="U57" s="58"/>
      <c r="V57" s="73">
        <v>85</v>
      </c>
      <c r="W57" s="74">
        <v>17.547197859000001</v>
      </c>
      <c r="X57" s="75">
        <v>1</v>
      </c>
      <c r="Y57" s="76">
        <v>1.2539999999999999E-3</v>
      </c>
      <c r="Z57" s="74">
        <v>17.547197859000001</v>
      </c>
      <c r="AA57" s="73">
        <v>18347.534258</v>
      </c>
      <c r="AB57" s="77">
        <v>1.2539999999999999E-3</v>
      </c>
      <c r="AC57" s="35">
        <f t="shared" si="20"/>
        <v>6.0515074107076314</v>
      </c>
      <c r="AD57" s="15">
        <f t="shared" si="27"/>
        <v>2.2967477345957268</v>
      </c>
      <c r="AE57" s="15">
        <f t="shared" si="28"/>
        <v>9.4198205699255428</v>
      </c>
      <c r="AF57" s="15">
        <f t="shared" si="29"/>
        <v>7.8785675836616873</v>
      </c>
      <c r="AG57" s="15">
        <f t="shared" si="30"/>
        <v>11.580661557560569</v>
      </c>
      <c r="AH57" s="15">
        <f t="shared" si="31"/>
        <v>6.3191466324039105</v>
      </c>
      <c r="AI57" s="15">
        <f t="shared" si="32"/>
        <v>24.329350512242197</v>
      </c>
      <c r="AJ57" s="16">
        <f t="shared" si="33"/>
        <v>13.643315292410344</v>
      </c>
      <c r="AK57" s="32">
        <f t="shared" si="34"/>
        <v>3.4434624484639218</v>
      </c>
      <c r="AL57" s="15">
        <f t="shared" si="35"/>
        <v>5.9639094954718336E-2</v>
      </c>
      <c r="AM57" s="15">
        <f t="shared" si="36"/>
        <v>0.95556708670229062</v>
      </c>
      <c r="AN57" s="16">
        <f t="shared" si="37"/>
        <v>5.4456961982233418E-2</v>
      </c>
    </row>
    <row r="58" spans="1:40" x14ac:dyDescent="0.45">
      <c r="A58" s="19">
        <v>46</v>
      </c>
      <c r="B58" s="57" t="s">
        <v>69</v>
      </c>
      <c r="C58" s="58" t="s">
        <v>166</v>
      </c>
      <c r="D58" s="59">
        <v>2612</v>
      </c>
      <c r="E58" s="60">
        <v>11.6509375</v>
      </c>
      <c r="F58" s="61">
        <v>20.45</v>
      </c>
      <c r="G58" s="61">
        <v>204</v>
      </c>
      <c r="H58" s="61">
        <v>661</v>
      </c>
      <c r="I58" s="61">
        <v>364.85296199999999</v>
      </c>
      <c r="J58" s="62">
        <v>26.429832000000001</v>
      </c>
      <c r="K58" s="28">
        <f t="shared" si="16"/>
        <v>55.055498748680321</v>
      </c>
      <c r="L58" s="69">
        <v>73.804314000000005</v>
      </c>
      <c r="M58" s="29">
        <f t="shared" si="17"/>
        <v>86.758729245761629</v>
      </c>
      <c r="N58" s="71">
        <v>77.716706000000002</v>
      </c>
      <c r="O58" s="35">
        <f t="shared" si="18"/>
        <v>0.90868485007483557</v>
      </c>
      <c r="P58" s="16">
        <f t="shared" si="26"/>
        <v>0.90923038830782033</v>
      </c>
      <c r="Q58" s="57" t="s">
        <v>69</v>
      </c>
      <c r="R58" s="58" t="s">
        <v>304</v>
      </c>
      <c r="S58" s="58">
        <v>2612</v>
      </c>
      <c r="T58" s="58">
        <f t="shared" si="19"/>
        <v>1</v>
      </c>
      <c r="U58" s="58"/>
      <c r="V58" s="73">
        <v>253</v>
      </c>
      <c r="W58" s="74">
        <v>5.5139348799999999</v>
      </c>
      <c r="X58" s="75">
        <v>1</v>
      </c>
      <c r="Y58" s="76">
        <v>2.6478000000000002E-2</v>
      </c>
      <c r="Z58" s="74">
        <v>5.5139348799999999</v>
      </c>
      <c r="AA58" s="73">
        <v>6980.7688440000002</v>
      </c>
      <c r="AB58" s="77">
        <v>2.6478000000000002E-2</v>
      </c>
      <c r="AC58" s="35">
        <f t="shared" si="20"/>
        <v>1.514474750124726</v>
      </c>
      <c r="AD58" s="15">
        <f t="shared" si="27"/>
        <v>1.9321049975498574</v>
      </c>
      <c r="AE58" s="15">
        <f t="shared" si="28"/>
        <v>2.1891922994066286</v>
      </c>
      <c r="AF58" s="15">
        <f t="shared" si="29"/>
        <v>0.99854236376504124</v>
      </c>
      <c r="AG58" s="15">
        <f t="shared" si="30"/>
        <v>2.2679402833582802</v>
      </c>
      <c r="AH58" s="15">
        <f t="shared" si="31"/>
        <v>2.5152217982242462</v>
      </c>
      <c r="AI58" s="15">
        <f t="shared" si="32"/>
        <v>2.9806803622100766</v>
      </c>
      <c r="AJ58" s="16">
        <f t="shared" si="33"/>
        <v>4.2170752358495021</v>
      </c>
      <c r="AK58" s="32">
        <f t="shared" si="34"/>
        <v>1.6775323632690957</v>
      </c>
      <c r="AL58" s="15">
        <f t="shared" si="35"/>
        <v>0.38321068245258105</v>
      </c>
      <c r="AM58" s="15">
        <f t="shared" si="36"/>
        <v>0.47326104701874849</v>
      </c>
      <c r="AN58" s="16">
        <f t="shared" si="37"/>
        <v>8.5830002950406353E-2</v>
      </c>
    </row>
    <row r="59" spans="1:40" x14ac:dyDescent="0.45">
      <c r="A59" s="19">
        <v>47</v>
      </c>
      <c r="B59" s="57" t="s">
        <v>69</v>
      </c>
      <c r="C59" s="58" t="s">
        <v>167</v>
      </c>
      <c r="D59" s="59">
        <v>2613</v>
      </c>
      <c r="E59" s="60">
        <v>1.33</v>
      </c>
      <c r="F59" s="61">
        <v>7.35</v>
      </c>
      <c r="G59" s="61">
        <v>358</v>
      </c>
      <c r="H59" s="61">
        <v>764</v>
      </c>
      <c r="I59" s="61">
        <v>554.16940799999998</v>
      </c>
      <c r="J59" s="62">
        <v>41.759932999999997</v>
      </c>
      <c r="K59" s="28">
        <f t="shared" si="16"/>
        <v>54.034048852701702</v>
      </c>
      <c r="L59" s="69">
        <v>73</v>
      </c>
      <c r="M59" s="29">
        <f t="shared" si="17"/>
        <v>86.278217704763023</v>
      </c>
      <c r="N59" s="71">
        <v>78.883930000000007</v>
      </c>
      <c r="O59" s="35">
        <f t="shared" si="18"/>
        <v>0.3058529494457603</v>
      </c>
      <c r="P59" s="16">
        <f t="shared" si="26"/>
        <v>0.30603657138859353</v>
      </c>
      <c r="Q59" s="57" t="s">
        <v>69</v>
      </c>
      <c r="R59" s="58" t="s">
        <v>305</v>
      </c>
      <c r="S59" s="58">
        <v>2613</v>
      </c>
      <c r="T59" s="58">
        <f t="shared" si="19"/>
        <v>1</v>
      </c>
      <c r="U59" s="58"/>
      <c r="V59" s="73">
        <v>385</v>
      </c>
      <c r="W59" s="74">
        <v>1.2428300859999999</v>
      </c>
      <c r="X59" s="75">
        <v>1</v>
      </c>
      <c r="Y59" s="76">
        <v>6.2759999999999996E-2</v>
      </c>
      <c r="Z59" s="74">
        <v>1.2428300859999999</v>
      </c>
      <c r="AA59" s="73">
        <v>2315.6538580000001</v>
      </c>
      <c r="AB59" s="77">
        <v>6.2759999999999996E-2</v>
      </c>
      <c r="AC59" s="35">
        <f t="shared" si="20"/>
        <v>0.50975491574293386</v>
      </c>
      <c r="AD59" s="15">
        <f t="shared" si="27"/>
        <v>0.84698791905167314</v>
      </c>
      <c r="AE59" s="15">
        <f t="shared" si="28"/>
        <v>0.59884500734979773</v>
      </c>
      <c r="AF59" s="15">
        <f t="shared" si="29"/>
        <v>0.22742644079525162</v>
      </c>
      <c r="AG59" s="15">
        <f t="shared" si="30"/>
        <v>0.91669348380585713</v>
      </c>
      <c r="AH59" s="15">
        <f t="shared" si="31"/>
        <v>1.1160566161150005</v>
      </c>
      <c r="AI59" s="15">
        <f t="shared" si="32"/>
        <v>0.63609111092037052</v>
      </c>
      <c r="AJ59" s="16">
        <f t="shared" si="33"/>
        <v>0.90152098403829928</v>
      </c>
      <c r="AK59" s="32">
        <f t="shared" si="34"/>
        <v>1.784512317280639</v>
      </c>
      <c r="AL59" s="15">
        <f t="shared" si="35"/>
        <v>0.86104951221401427</v>
      </c>
      <c r="AM59" s="15">
        <f t="shared" si="36"/>
        <v>0.93445871127819535</v>
      </c>
      <c r="AN59" s="16">
        <f t="shared" si="37"/>
        <v>0.75187969924812026</v>
      </c>
    </row>
    <row r="60" spans="1:40" x14ac:dyDescent="0.45">
      <c r="A60" s="19">
        <v>48</v>
      </c>
      <c r="B60" s="57" t="s">
        <v>69</v>
      </c>
      <c r="C60" s="58" t="s">
        <v>168</v>
      </c>
      <c r="D60" s="59">
        <v>2614</v>
      </c>
      <c r="E60" s="60">
        <v>5.5617187499999998</v>
      </c>
      <c r="F60" s="61">
        <v>20.6</v>
      </c>
      <c r="G60" s="61">
        <v>54</v>
      </c>
      <c r="H60" s="61">
        <v>89</v>
      </c>
      <c r="I60" s="61">
        <v>71.141030999999998</v>
      </c>
      <c r="J60" s="62">
        <v>7.4685730000000001</v>
      </c>
      <c r="K60" s="28">
        <f t="shared" si="16"/>
        <v>63.504856922639817</v>
      </c>
      <c r="L60" s="69">
        <v>80.008830000000003</v>
      </c>
      <c r="M60" s="29">
        <f t="shared" si="17"/>
        <v>90.298290289787161</v>
      </c>
      <c r="N60" s="71">
        <v>80.515405999999999</v>
      </c>
      <c r="O60" s="35">
        <f t="shared" si="18"/>
        <v>1.4897565619706865</v>
      </c>
      <c r="P60" s="16">
        <f t="shared" si="26"/>
        <v>1.4906509525422118</v>
      </c>
      <c r="Q60" s="57" t="s">
        <v>69</v>
      </c>
      <c r="R60" s="58" t="s">
        <v>306</v>
      </c>
      <c r="S60" s="58">
        <v>2614</v>
      </c>
      <c r="T60" s="58">
        <f t="shared" si="19"/>
        <v>1</v>
      </c>
      <c r="U60" s="58"/>
      <c r="V60" s="73">
        <v>72</v>
      </c>
      <c r="W60" s="74">
        <v>3.9582683950000002</v>
      </c>
      <c r="X60" s="75">
        <v>1</v>
      </c>
      <c r="Y60" s="76">
        <v>1E-3</v>
      </c>
      <c r="Z60" s="74">
        <v>3.9582683950000002</v>
      </c>
      <c r="AA60" s="73">
        <v>7396.7460259999998</v>
      </c>
      <c r="AB60" s="77">
        <v>1E-3</v>
      </c>
      <c r="AC60" s="35">
        <f t="shared" si="20"/>
        <v>2.4829276032844776</v>
      </c>
      <c r="AD60" s="15">
        <f t="shared" si="27"/>
        <v>1.4587908181347384</v>
      </c>
      <c r="AE60" s="15">
        <f t="shared" si="28"/>
        <v>3.1712117075111625</v>
      </c>
      <c r="AF60" s="15">
        <f t="shared" si="29"/>
        <v>2.7310576316745334</v>
      </c>
      <c r="AG60" s="15">
        <f t="shared" si="30"/>
        <v>9.6565302384245602</v>
      </c>
      <c r="AH60" s="15">
        <f t="shared" si="31"/>
        <v>5.2802982362189761</v>
      </c>
      <c r="AI60" s="15">
        <f t="shared" si="32"/>
        <v>8.3295600030638699</v>
      </c>
      <c r="AJ60" s="16">
        <f t="shared" si="33"/>
        <v>7.1854464619426253</v>
      </c>
      <c r="AK60" s="32">
        <f t="shared" si="34"/>
        <v>2.4457988703204858</v>
      </c>
      <c r="AL60" s="15">
        <f t="shared" si="35"/>
        <v>0.35497563591103654</v>
      </c>
      <c r="AM60" s="15">
        <f t="shared" si="36"/>
        <v>0.71169877027672435</v>
      </c>
      <c r="AN60" s="16">
        <f t="shared" si="37"/>
        <v>0.17980053378283467</v>
      </c>
    </row>
    <row r="61" spans="1:40" x14ac:dyDescent="0.45">
      <c r="A61" s="19">
        <v>49</v>
      </c>
      <c r="B61" s="57" t="s">
        <v>69</v>
      </c>
      <c r="C61" s="58" t="s">
        <v>169</v>
      </c>
      <c r="D61" s="59">
        <v>2615</v>
      </c>
      <c r="E61" s="60">
        <v>12.059843750000001</v>
      </c>
      <c r="F61" s="61">
        <v>27.925000000000001</v>
      </c>
      <c r="G61" s="61">
        <v>421</v>
      </c>
      <c r="H61" s="61">
        <v>1243</v>
      </c>
      <c r="I61" s="61">
        <v>795.58671000000004</v>
      </c>
      <c r="J61" s="62">
        <v>33.791203000000003</v>
      </c>
      <c r="K61" s="28">
        <f t="shared" si="16"/>
        <v>54.034048852701702</v>
      </c>
      <c r="L61" s="69">
        <v>73</v>
      </c>
      <c r="M61" s="29">
        <f t="shared" si="17"/>
        <v>86.278217704763023</v>
      </c>
      <c r="N61" s="71">
        <v>79.271658000000002</v>
      </c>
      <c r="O61" s="35">
        <f t="shared" si="18"/>
        <v>1.0434203633656458</v>
      </c>
      <c r="P61" s="16">
        <f t="shared" si="26"/>
        <v>1.0440467914405103</v>
      </c>
      <c r="Q61" s="57" t="s">
        <v>69</v>
      </c>
      <c r="R61" s="58" t="s">
        <v>307</v>
      </c>
      <c r="S61" s="58">
        <v>2615</v>
      </c>
      <c r="T61" s="58">
        <f t="shared" si="19"/>
        <v>1</v>
      </c>
      <c r="U61" s="58"/>
      <c r="V61" s="73">
        <v>558</v>
      </c>
      <c r="W61" s="74">
        <v>6.2746581849999998</v>
      </c>
      <c r="X61" s="75">
        <v>1</v>
      </c>
      <c r="Y61" s="76">
        <v>4.3985999999999997E-2</v>
      </c>
      <c r="Z61" s="74">
        <v>6.2746581849999998</v>
      </c>
      <c r="AA61" s="73">
        <v>9405.5532939999994</v>
      </c>
      <c r="AB61" s="77">
        <v>4.3985999999999997E-2</v>
      </c>
      <c r="AC61" s="35">
        <f t="shared" si="20"/>
        <v>1.7390339389427432</v>
      </c>
      <c r="AD61" s="15">
        <f t="shared" si="27"/>
        <v>1.9575976323106405</v>
      </c>
      <c r="AE61" s="15">
        <f t="shared" si="28"/>
        <v>2.193107703822351</v>
      </c>
      <c r="AF61" s="15">
        <f t="shared" si="29"/>
        <v>0.90723566738509887</v>
      </c>
      <c r="AG61" s="15">
        <f t="shared" si="30"/>
        <v>1.7532231982342137</v>
      </c>
      <c r="AH61" s="15">
        <f t="shared" si="31"/>
        <v>2.1683641882471973</v>
      </c>
      <c r="AI61" s="15">
        <f t="shared" si="32"/>
        <v>2.6714353146252794</v>
      </c>
      <c r="AJ61" s="16">
        <f t="shared" si="33"/>
        <v>3.7028633360677228</v>
      </c>
      <c r="AK61" s="32">
        <f t="shared" si="34"/>
        <v>2.2515436588136923</v>
      </c>
      <c r="AL61" s="15">
        <f t="shared" si="35"/>
        <v>0.30631025456178157</v>
      </c>
      <c r="AM61" s="15">
        <f t="shared" si="36"/>
        <v>0.5202934892916834</v>
      </c>
      <c r="AN61" s="16">
        <f t="shared" si="37"/>
        <v>8.2919813948667445E-2</v>
      </c>
    </row>
    <row r="62" spans="1:40" x14ac:dyDescent="0.45">
      <c r="A62" s="19">
        <v>50</v>
      </c>
      <c r="B62" s="57" t="s">
        <v>69</v>
      </c>
      <c r="C62" s="58" t="s">
        <v>170</v>
      </c>
      <c r="D62" s="59">
        <v>2616</v>
      </c>
      <c r="E62" s="60">
        <v>17.49984375</v>
      </c>
      <c r="F62" s="61">
        <v>45.75</v>
      </c>
      <c r="G62" s="61">
        <v>65</v>
      </c>
      <c r="H62" s="61">
        <v>176</v>
      </c>
      <c r="I62" s="61">
        <v>94.708533000000003</v>
      </c>
      <c r="J62" s="62">
        <v>8.0080329999999993</v>
      </c>
      <c r="K62" s="28">
        <f t="shared" si="16"/>
        <v>30.549846235115123</v>
      </c>
      <c r="L62" s="69">
        <v>50.291483999999997</v>
      </c>
      <c r="M62" s="29">
        <f t="shared" si="17"/>
        <v>70.174673665596032</v>
      </c>
      <c r="N62" s="71">
        <v>82.702944000000002</v>
      </c>
      <c r="O62" s="35">
        <f t="shared" si="18"/>
        <v>5.6443737569109214</v>
      </c>
      <c r="P62" s="16">
        <f t="shared" si="26"/>
        <v>5.6477624143595371</v>
      </c>
      <c r="Q62" s="57" t="s">
        <v>69</v>
      </c>
      <c r="R62" s="58" t="s">
        <v>308</v>
      </c>
      <c r="S62" s="58">
        <v>2616</v>
      </c>
      <c r="T62" s="58">
        <f t="shared" si="19"/>
        <v>1</v>
      </c>
      <c r="U62" s="58"/>
      <c r="V62" s="73">
        <v>87</v>
      </c>
      <c r="W62" s="74">
        <v>11.236264421</v>
      </c>
      <c r="X62" s="75">
        <v>1</v>
      </c>
      <c r="Y62" s="76">
        <v>2.0470000000000002E-3</v>
      </c>
      <c r="Z62" s="74">
        <v>11.236264421</v>
      </c>
      <c r="AA62" s="73">
        <v>15129.107582000001</v>
      </c>
      <c r="AB62" s="77">
        <v>2.0470000000000002E-3</v>
      </c>
      <c r="AC62" s="35">
        <f t="shared" si="20"/>
        <v>9.4072895948515356</v>
      </c>
      <c r="AD62" s="15">
        <f t="shared" si="27"/>
        <v>2.2551040102698878</v>
      </c>
      <c r="AE62" s="15">
        <f t="shared" si="28"/>
        <v>6.1161981525776952</v>
      </c>
      <c r="AF62" s="15">
        <f t="shared" si="29"/>
        <v>4.6286075962941036</v>
      </c>
      <c r="AG62" s="15">
        <f t="shared" si="30"/>
        <v>8.7536172233368461</v>
      </c>
      <c r="AH62" s="15">
        <f t="shared" si="31"/>
        <v>5.632850785071871</v>
      </c>
      <c r="AI62" s="15">
        <f t="shared" si="32"/>
        <v>14.218287856646731</v>
      </c>
      <c r="AJ62" s="16">
        <f t="shared" si="33"/>
        <v>11.466150295813893</v>
      </c>
      <c r="AK62" s="32">
        <f t="shared" si="34"/>
        <v>3.0621893676334797</v>
      </c>
      <c r="AL62" s="15">
        <f t="shared" si="35"/>
        <v>0.13860862948586578</v>
      </c>
      <c r="AM62" s="15">
        <f t="shared" si="36"/>
        <v>0.64207798546772732</v>
      </c>
      <c r="AN62" s="16">
        <f t="shared" si="37"/>
        <v>5.7143367351494209E-2</v>
      </c>
    </row>
    <row r="63" spans="1:40" x14ac:dyDescent="0.45">
      <c r="A63" s="19">
        <v>51</v>
      </c>
      <c r="B63" s="57" t="s">
        <v>69</v>
      </c>
      <c r="C63" s="58" t="s">
        <v>171</v>
      </c>
      <c r="D63" s="59">
        <v>2617</v>
      </c>
      <c r="E63" s="60">
        <v>8.3892187499999995</v>
      </c>
      <c r="F63" s="61">
        <v>18.675000000000001</v>
      </c>
      <c r="G63" s="61">
        <v>796</v>
      </c>
      <c r="H63" s="61">
        <v>2282</v>
      </c>
      <c r="I63" s="61">
        <v>1415.512078</v>
      </c>
      <c r="J63" s="62">
        <v>53.46172</v>
      </c>
      <c r="K63" s="28">
        <f t="shared" si="16"/>
        <v>62.398601281295846</v>
      </c>
      <c r="L63" s="69">
        <v>79.239301999999995</v>
      </c>
      <c r="M63" s="29">
        <f t="shared" si="17"/>
        <v>89.874714263802431</v>
      </c>
      <c r="N63" s="71">
        <v>79.981316000000007</v>
      </c>
      <c r="O63" s="35">
        <f t="shared" si="18"/>
        <v>0.54892832540034975</v>
      </c>
      <c r="P63" s="16">
        <f t="shared" si="26"/>
        <v>0.5492578801284268</v>
      </c>
      <c r="Q63" s="57" t="s">
        <v>69</v>
      </c>
      <c r="R63" s="58" t="s">
        <v>309</v>
      </c>
      <c r="S63" s="58">
        <v>2617</v>
      </c>
      <c r="T63" s="58">
        <f t="shared" si="19"/>
        <v>1</v>
      </c>
      <c r="U63" s="58"/>
      <c r="V63" s="73">
        <v>905</v>
      </c>
      <c r="W63" s="74">
        <v>3.1052985189999998</v>
      </c>
      <c r="X63" s="75">
        <v>1</v>
      </c>
      <c r="Y63" s="76">
        <v>9.3066999999999997E-2</v>
      </c>
      <c r="Z63" s="74">
        <v>3.1052985189999998</v>
      </c>
      <c r="AA63" s="73">
        <v>7052.3547939999999</v>
      </c>
      <c r="AB63" s="77">
        <v>9.3066999999999997E-2</v>
      </c>
      <c r="AC63" s="35">
        <f t="shared" si="20"/>
        <v>0.91488054233391625</v>
      </c>
      <c r="AD63" s="15">
        <f t="shared" si="27"/>
        <v>1.7054059326207276</v>
      </c>
      <c r="AE63" s="15">
        <f t="shared" si="28"/>
        <v>1.1144192867468039</v>
      </c>
      <c r="AF63" s="15">
        <f t="shared" si="29"/>
        <v>0.39553513284980946</v>
      </c>
      <c r="AG63" s="15">
        <f t="shared" si="30"/>
        <v>1.1942972090525201</v>
      </c>
      <c r="AH63" s="15">
        <f t="shared" si="31"/>
        <v>1.6589864431746644</v>
      </c>
      <c r="AI63" s="15">
        <f t="shared" si="32"/>
        <v>1.122606338161505</v>
      </c>
      <c r="AJ63" s="16">
        <f t="shared" si="33"/>
        <v>2.3909128067289069</v>
      </c>
      <c r="AK63" s="32">
        <f t="shared" si="34"/>
        <v>1.8053353347184047</v>
      </c>
      <c r="AL63" s="15">
        <f t="shared" si="35"/>
        <v>0.869991093310298</v>
      </c>
      <c r="AM63" s="15">
        <f t="shared" si="36"/>
        <v>0.37015348050138758</v>
      </c>
      <c r="AN63" s="16">
        <f t="shared" si="37"/>
        <v>0.11920061090313089</v>
      </c>
    </row>
    <row r="64" spans="1:40" x14ac:dyDescent="0.45">
      <c r="A64" s="19">
        <v>52</v>
      </c>
      <c r="B64" s="57" t="s">
        <v>69</v>
      </c>
      <c r="C64" s="58" t="s">
        <v>172</v>
      </c>
      <c r="D64" s="59">
        <v>2618</v>
      </c>
      <c r="E64" s="60">
        <v>5.8323437499999997</v>
      </c>
      <c r="F64" s="61">
        <v>19.75</v>
      </c>
      <c r="G64" s="61">
        <v>51</v>
      </c>
      <c r="H64" s="61">
        <v>81</v>
      </c>
      <c r="I64" s="61">
        <v>63.209580000000003</v>
      </c>
      <c r="J64" s="62">
        <v>6.6376670000000004</v>
      </c>
      <c r="K64" s="28">
        <f t="shared" si="16"/>
        <v>49.726611122753276</v>
      </c>
      <c r="L64" s="69">
        <v>69.465508999999997</v>
      </c>
      <c r="M64" s="29">
        <f t="shared" si="17"/>
        <v>84.103423862248817</v>
      </c>
      <c r="N64" s="71">
        <v>79.438334999999995</v>
      </c>
      <c r="O64" s="35">
        <f t="shared" si="18"/>
        <v>2.6135707257951086</v>
      </c>
      <c r="P64" s="16">
        <f t="shared" si="26"/>
        <v>2.6151398096809171</v>
      </c>
      <c r="Q64" s="57" t="s">
        <v>69</v>
      </c>
      <c r="R64" s="58" t="s">
        <v>310</v>
      </c>
      <c r="S64" s="58">
        <v>2618</v>
      </c>
      <c r="T64" s="58">
        <f t="shared" si="19"/>
        <v>1</v>
      </c>
      <c r="U64" s="58"/>
      <c r="V64" s="73">
        <v>64</v>
      </c>
      <c r="W64" s="74">
        <v>9.3795571720000002</v>
      </c>
      <c r="X64" s="75">
        <v>1</v>
      </c>
      <c r="Y64" s="76">
        <v>6.4000000000000005E-4</v>
      </c>
      <c r="Z64" s="74">
        <v>9.3795571720000002</v>
      </c>
      <c r="AA64" s="73">
        <v>9496.1625110000004</v>
      </c>
      <c r="AB64" s="77">
        <v>6.4000000000000005E-4</v>
      </c>
      <c r="AC64" s="35">
        <f t="shared" si="20"/>
        <v>4.3559512096585147</v>
      </c>
      <c r="AD64" s="15">
        <f t="shared" si="27"/>
        <v>1.4853676978776369</v>
      </c>
      <c r="AE64" s="15">
        <f t="shared" si="28"/>
        <v>6.6497548396672457</v>
      </c>
      <c r="AF64" s="15">
        <f t="shared" si="29"/>
        <v>6.3016305654485931</v>
      </c>
      <c r="AG64" s="15">
        <f t="shared" si="30"/>
        <v>12.105582886690755</v>
      </c>
      <c r="AH64" s="15">
        <f t="shared" si="31"/>
        <v>5.6182794630894124</v>
      </c>
      <c r="AI64" s="15">
        <f t="shared" si="32"/>
        <v>19.990155644139019</v>
      </c>
      <c r="AJ64" s="16">
        <f t="shared" si="33"/>
        <v>8.4364048097953788</v>
      </c>
      <c r="AK64" s="32">
        <f t="shared" si="34"/>
        <v>2.2898317609370786</v>
      </c>
      <c r="AL64" s="15">
        <f t="shared" si="35"/>
        <v>6.6294644012548712E-2</v>
      </c>
      <c r="AM64" s="15">
        <f t="shared" si="36"/>
        <v>1.6081969057465106</v>
      </c>
      <c r="AN64" s="16">
        <f t="shared" si="37"/>
        <v>0.17145765799555282</v>
      </c>
    </row>
    <row r="65" spans="1:40" x14ac:dyDescent="0.45">
      <c r="A65" s="19">
        <v>53</v>
      </c>
      <c r="B65" s="57" t="s">
        <v>69</v>
      </c>
      <c r="C65" s="58" t="s">
        <v>173</v>
      </c>
      <c r="D65" s="59">
        <v>2619</v>
      </c>
      <c r="E65" s="60">
        <v>1.818125</v>
      </c>
      <c r="F65" s="61">
        <v>8.6999999999999993</v>
      </c>
      <c r="G65" s="61">
        <v>716</v>
      </c>
      <c r="H65" s="61">
        <v>1016</v>
      </c>
      <c r="I65" s="61">
        <v>875.96588199999997</v>
      </c>
      <c r="J65" s="62">
        <v>33.491084999999998</v>
      </c>
      <c r="K65" s="28">
        <f t="shared" si="16"/>
        <v>54.909692155830705</v>
      </c>
      <c r="L65" s="69">
        <v>73.690264999999997</v>
      </c>
      <c r="M65" s="29">
        <f t="shared" si="17"/>
        <v>86.690909709835836</v>
      </c>
      <c r="N65" s="71">
        <v>79.490898000000001</v>
      </c>
      <c r="O65" s="35">
        <f t="shared" si="18"/>
        <v>0.34253593859887271</v>
      </c>
      <c r="P65" s="16">
        <f t="shared" si="26"/>
        <v>0.34274158354900203</v>
      </c>
      <c r="Q65" s="57" t="s">
        <v>69</v>
      </c>
      <c r="R65" s="58" t="s">
        <v>311</v>
      </c>
      <c r="S65" s="58">
        <v>2619</v>
      </c>
      <c r="T65" s="58">
        <f t="shared" si="19"/>
        <v>1</v>
      </c>
      <c r="U65" s="58"/>
      <c r="V65" s="73">
        <v>735</v>
      </c>
      <c r="W65" s="74">
        <v>1.5485281369999999</v>
      </c>
      <c r="X65" s="75">
        <v>1</v>
      </c>
      <c r="Y65" s="76">
        <v>5.6182000000000003E-2</v>
      </c>
      <c r="Z65" s="74">
        <v>1.5485281369999999</v>
      </c>
      <c r="AA65" s="73">
        <v>2381.1868669999999</v>
      </c>
      <c r="AB65" s="77">
        <v>5.6182000000000003E-2</v>
      </c>
      <c r="AC65" s="35">
        <f t="shared" si="20"/>
        <v>0.57089323099812117</v>
      </c>
      <c r="AD65" s="15">
        <f t="shared" si="27"/>
        <v>0.95382919866643379</v>
      </c>
      <c r="AE65" s="15">
        <f t="shared" si="28"/>
        <v>0.72283022519805029</v>
      </c>
      <c r="AF65" s="15">
        <f t="shared" si="29"/>
        <v>0.28112186061951649</v>
      </c>
      <c r="AG65" s="15">
        <f t="shared" si="30"/>
        <v>1.0340244765829365</v>
      </c>
      <c r="AH65" s="15">
        <f t="shared" si="31"/>
        <v>1.2490744290727873</v>
      </c>
      <c r="AI65" s="15">
        <f t="shared" si="32"/>
        <v>0.78975987452591634</v>
      </c>
      <c r="AJ65" s="16">
        <f t="shared" si="33"/>
        <v>1.1213627246839866</v>
      </c>
      <c r="AK65" s="32">
        <f t="shared" si="34"/>
        <v>1.8066141800236035</v>
      </c>
      <c r="AL65" s="15">
        <f t="shared" si="35"/>
        <v>0.7582030666674261</v>
      </c>
      <c r="AM65" s="15">
        <f t="shared" si="36"/>
        <v>0.85171709150910957</v>
      </c>
      <c r="AN65" s="16">
        <f t="shared" si="37"/>
        <v>0.55001718803712618</v>
      </c>
    </row>
    <row r="66" spans="1:40" x14ac:dyDescent="0.45">
      <c r="A66" s="19">
        <v>54</v>
      </c>
      <c r="B66" s="57" t="s">
        <v>69</v>
      </c>
      <c r="C66" s="58" t="s">
        <v>174</v>
      </c>
      <c r="D66" s="59">
        <v>2620</v>
      </c>
      <c r="E66" s="60">
        <v>5.1285937500000003</v>
      </c>
      <c r="F66" s="61">
        <v>18.274999999999999</v>
      </c>
      <c r="G66" s="61">
        <v>100</v>
      </c>
      <c r="H66" s="61">
        <v>144</v>
      </c>
      <c r="I66" s="61">
        <v>118.96843699999999</v>
      </c>
      <c r="J66" s="62">
        <v>7.3009620000000002</v>
      </c>
      <c r="K66" s="28">
        <f t="shared" ref="K66:K125" si="38">L66/(2.3-0.013*L66)</f>
        <v>42.19425158280356</v>
      </c>
      <c r="L66" s="69">
        <v>62.670451999999997</v>
      </c>
      <c r="M66" s="29">
        <f t="shared" ref="M66:M125" si="39">L66/(0.43+0.0057*L66)</f>
        <v>79.6096726497193</v>
      </c>
      <c r="N66" s="71">
        <v>75.750193999999993</v>
      </c>
      <c r="O66" s="35">
        <f t="shared" si="18"/>
        <v>2.0241154323239634</v>
      </c>
      <c r="P66" s="16">
        <f t="shared" si="26"/>
        <v>2.0253306307023848</v>
      </c>
      <c r="Q66" s="57" t="s">
        <v>69</v>
      </c>
      <c r="R66" s="58" t="s">
        <v>312</v>
      </c>
      <c r="S66" s="58">
        <v>2620</v>
      </c>
      <c r="T66" s="58">
        <f t="shared" si="19"/>
        <v>1</v>
      </c>
      <c r="U66" s="58"/>
      <c r="V66" s="73">
        <v>109</v>
      </c>
      <c r="W66" s="74">
        <v>1.5509329889999999</v>
      </c>
      <c r="X66" s="75">
        <v>1</v>
      </c>
      <c r="Y66" s="76">
        <v>3.2239999999999999E-3</v>
      </c>
      <c r="Z66" s="74">
        <v>1.5509329889999999</v>
      </c>
      <c r="AA66" s="73">
        <v>5862.7101329999996</v>
      </c>
      <c r="AB66" s="77">
        <v>3.2239999999999999E-3</v>
      </c>
      <c r="AC66" s="35">
        <f t="shared" si="20"/>
        <v>3.3735257205399392</v>
      </c>
      <c r="AD66" s="15">
        <f t="shared" si="27"/>
        <v>1.414532550964049</v>
      </c>
      <c r="AE66" s="15">
        <f t="shared" ref="AE66:AE125" si="40" xml:space="preserve"> 0.3 * ( Z66/ ( AB66^0.25 ) ) ^ 0.76</f>
        <v>1.2455951370836134</v>
      </c>
      <c r="AF66" s="15">
        <f t="shared" ref="AF66:AF125" si="41">0.00013*(((Z66*1000)/0.3048)^0.77)/(AB66^0.385)</f>
        <v>0.84581694060533974</v>
      </c>
      <c r="AG66" s="15">
        <f t="shared" si="30"/>
        <v>6.3638057586115213</v>
      </c>
      <c r="AH66" s="15">
        <f t="shared" si="31"/>
        <v>4.0072273164785575</v>
      </c>
      <c r="AI66" s="15">
        <f t="shared" si="32"/>
        <v>2.5408668237702412</v>
      </c>
      <c r="AJ66" s="16">
        <f t="shared" si="33"/>
        <v>4.8398808581496464</v>
      </c>
      <c r="AK66" s="32">
        <f t="shared" si="34"/>
        <v>2.2595204046315822</v>
      </c>
      <c r="AL66" s="15">
        <f t="shared" si="35"/>
        <v>2.1321228835560997</v>
      </c>
      <c r="AM66" s="15">
        <f t="shared" si="36"/>
        <v>0.30240901592176211</v>
      </c>
      <c r="AN66" s="16">
        <f t="shared" si="37"/>
        <v>0.19498522377601071</v>
      </c>
    </row>
    <row r="67" spans="1:40" x14ac:dyDescent="0.45">
      <c r="A67" s="19">
        <v>55</v>
      </c>
      <c r="B67" s="57" t="s">
        <v>69</v>
      </c>
      <c r="C67" s="58" t="s">
        <v>175</v>
      </c>
      <c r="D67" s="59">
        <v>2621</v>
      </c>
      <c r="E67" s="60">
        <v>7.0692187500000001</v>
      </c>
      <c r="F67" s="61">
        <v>16.675000000000001</v>
      </c>
      <c r="G67" s="61">
        <v>48</v>
      </c>
      <c r="H67" s="61">
        <v>92</v>
      </c>
      <c r="I67" s="61">
        <v>70.357094000000004</v>
      </c>
      <c r="J67" s="62">
        <v>8.8888540000000003</v>
      </c>
      <c r="K67" s="28">
        <f t="shared" si="38"/>
        <v>56.466638387061096</v>
      </c>
      <c r="L67" s="69">
        <v>74.895214999999993</v>
      </c>
      <c r="M67" s="29">
        <f t="shared" si="39"/>
        <v>87.402236883187513</v>
      </c>
      <c r="N67" s="71">
        <v>80.190946999999994</v>
      </c>
      <c r="O67" s="35">
        <f t="shared" si="18"/>
        <v>1.2502933918518222</v>
      </c>
      <c r="P67" s="16">
        <f t="shared" si="26"/>
        <v>1.25104401826278</v>
      </c>
      <c r="Q67" s="57" t="s">
        <v>69</v>
      </c>
      <c r="R67" s="58" t="s">
        <v>313</v>
      </c>
      <c r="S67" s="58">
        <v>2621</v>
      </c>
      <c r="T67" s="58">
        <f t="shared" si="19"/>
        <v>1</v>
      </c>
      <c r="U67" s="58"/>
      <c r="V67" s="73">
        <v>76</v>
      </c>
      <c r="W67" s="74">
        <v>4.660229073</v>
      </c>
      <c r="X67" s="75">
        <v>1</v>
      </c>
      <c r="Y67" s="76">
        <v>1.5020000000000001E-3</v>
      </c>
      <c r="Z67" s="74">
        <v>4.660229073</v>
      </c>
      <c r="AA67" s="73">
        <v>5472.9892639999998</v>
      </c>
      <c r="AB67" s="77">
        <v>1.5020000000000001E-3</v>
      </c>
      <c r="AC67" s="35">
        <f t="shared" si="20"/>
        <v>2.083822319753037</v>
      </c>
      <c r="AD67" s="15">
        <f t="shared" si="27"/>
        <v>1.5979924833340107</v>
      </c>
      <c r="AE67" s="15">
        <f t="shared" si="40"/>
        <v>3.3231005999798775</v>
      </c>
      <c r="AF67" s="15">
        <f t="shared" si="41"/>
        <v>2.6479361027793926</v>
      </c>
      <c r="AG67" s="15">
        <f t="shared" si="30"/>
        <v>8.3269014500632235</v>
      </c>
      <c r="AH67" s="15">
        <f t="shared" si="31"/>
        <v>4.9942509023623698</v>
      </c>
      <c r="AI67" s="15">
        <f t="shared" si="32"/>
        <v>8.0826268908374601</v>
      </c>
      <c r="AJ67" s="16">
        <f t="shared" si="33"/>
        <v>7.3424234005867035</v>
      </c>
      <c r="AK67" s="32">
        <f t="shared" si="34"/>
        <v>1.7560552006141004</v>
      </c>
      <c r="AL67" s="15">
        <f t="shared" si="35"/>
        <v>0.32550442050344264</v>
      </c>
      <c r="AM67" s="15">
        <f t="shared" si="36"/>
        <v>0.65922830199588889</v>
      </c>
      <c r="AN67" s="16">
        <f t="shared" si="37"/>
        <v>0.14145834714762504</v>
      </c>
    </row>
    <row r="68" spans="1:40" x14ac:dyDescent="0.45">
      <c r="A68" s="19">
        <v>56</v>
      </c>
      <c r="B68" s="57" t="s">
        <v>69</v>
      </c>
      <c r="C68" s="58" t="s">
        <v>176</v>
      </c>
      <c r="D68" s="59">
        <v>2622</v>
      </c>
      <c r="E68" s="60">
        <v>0.20499999999999999</v>
      </c>
      <c r="F68" s="61">
        <v>2.4500000000000002</v>
      </c>
      <c r="G68" s="61">
        <v>69</v>
      </c>
      <c r="H68" s="61">
        <v>86</v>
      </c>
      <c r="I68" s="61">
        <v>76.075457</v>
      </c>
      <c r="J68" s="62">
        <v>8.7051759999999998</v>
      </c>
      <c r="K68" s="28">
        <f t="shared" si="38"/>
        <v>57.299494860785863</v>
      </c>
      <c r="L68" s="69">
        <v>75.528301999999996</v>
      </c>
      <c r="M68" s="29">
        <f t="shared" si="39"/>
        <v>87.771421620717334</v>
      </c>
      <c r="N68" s="71">
        <v>81.305453</v>
      </c>
      <c r="O68" s="35">
        <f t="shared" si="18"/>
        <v>0.35547724712776557</v>
      </c>
      <c r="P68" s="16">
        <f t="shared" si="26"/>
        <v>0.35569066152468037</v>
      </c>
      <c r="Q68" s="57" t="s">
        <v>69</v>
      </c>
      <c r="R68" s="58" t="s">
        <v>314</v>
      </c>
      <c r="S68" s="58">
        <v>2622</v>
      </c>
      <c r="T68" s="58">
        <f t="shared" si="19"/>
        <v>1</v>
      </c>
      <c r="U68" s="58"/>
      <c r="V68" s="73">
        <v>81</v>
      </c>
      <c r="W68" s="74">
        <v>1.048007755</v>
      </c>
      <c r="X68" s="75">
        <v>1</v>
      </c>
      <c r="Y68" s="76">
        <v>1E-3</v>
      </c>
      <c r="Z68" s="74">
        <v>1.048007755</v>
      </c>
      <c r="AA68" s="73">
        <v>1147.3795990000001</v>
      </c>
      <c r="AB68" s="77">
        <v>1E-3</v>
      </c>
      <c r="AC68" s="35">
        <f t="shared" si="20"/>
        <v>0.59246207854627597</v>
      </c>
      <c r="AD68" s="15">
        <f t="shared" si="27"/>
        <v>0.41617890143404634</v>
      </c>
      <c r="AE68" s="15">
        <f t="shared" si="40"/>
        <v>1.1550433177292287</v>
      </c>
      <c r="AF68" s="15">
        <f t="shared" si="41"/>
        <v>0.98159535189532432</v>
      </c>
      <c r="AG68" s="15">
        <f t="shared" si="30"/>
        <v>4.1305759312573906</v>
      </c>
      <c r="AH68" s="15">
        <f t="shared" si="31"/>
        <v>2.0520646362525854</v>
      </c>
      <c r="AI68" s="15">
        <f t="shared" si="32"/>
        <v>2.8627875761337238</v>
      </c>
      <c r="AJ68" s="16">
        <f t="shared" si="33"/>
        <v>1.0148803565785078</v>
      </c>
      <c r="AK68" s="32">
        <f t="shared" si="34"/>
        <v>1.515120537746895</v>
      </c>
      <c r="AL68" s="15">
        <f t="shared" si="35"/>
        <v>0.18664865657588389</v>
      </c>
      <c r="AM68" s="15">
        <f t="shared" si="36"/>
        <v>5.1122329512195126</v>
      </c>
      <c r="AN68" s="16">
        <f t="shared" si="37"/>
        <v>4.8780487804878048</v>
      </c>
    </row>
    <row r="69" spans="1:40" x14ac:dyDescent="0.45">
      <c r="A69" s="19">
        <v>57</v>
      </c>
      <c r="B69" s="57" t="s">
        <v>69</v>
      </c>
      <c r="C69" s="58" t="s">
        <v>177</v>
      </c>
      <c r="D69" s="59">
        <v>2623</v>
      </c>
      <c r="E69" s="60">
        <v>0.41609374999999998</v>
      </c>
      <c r="F69" s="61">
        <v>4.4249999999999998</v>
      </c>
      <c r="G69" s="61">
        <v>62</v>
      </c>
      <c r="H69" s="61">
        <v>83</v>
      </c>
      <c r="I69" s="61">
        <v>71.559144000000003</v>
      </c>
      <c r="J69" s="62">
        <v>7.7613640000000004</v>
      </c>
      <c r="K69" s="28">
        <f t="shared" si="38"/>
        <v>63.153337044597023</v>
      </c>
      <c r="L69" s="69">
        <v>79.765625</v>
      </c>
      <c r="M69" s="29">
        <f t="shared" si="39"/>
        <v>90.164875438240159</v>
      </c>
      <c r="N69" s="71">
        <v>79.621925000000005</v>
      </c>
      <c r="O69" s="35">
        <f t="shared" si="18"/>
        <v>0.50532197109123134</v>
      </c>
      <c r="P69" s="16">
        <f t="shared" si="26"/>
        <v>0.50562534629901079</v>
      </c>
      <c r="Q69" s="57" t="s">
        <v>69</v>
      </c>
      <c r="R69" s="58" t="s">
        <v>315</v>
      </c>
      <c r="S69" s="58">
        <v>2623</v>
      </c>
      <c r="T69" s="58">
        <f t="shared" si="19"/>
        <v>1</v>
      </c>
      <c r="U69" s="58"/>
      <c r="V69" s="73">
        <v>71</v>
      </c>
      <c r="W69" s="74">
        <v>1.8460155110000001</v>
      </c>
      <c r="X69" s="75">
        <v>1</v>
      </c>
      <c r="Y69" s="76">
        <v>3.2499999999999999E-3</v>
      </c>
      <c r="Z69" s="74">
        <v>1.8460155110000001</v>
      </c>
      <c r="AA69" s="73">
        <v>1942.7985189999999</v>
      </c>
      <c r="AB69" s="77">
        <v>3.2499999999999999E-3</v>
      </c>
      <c r="AC69" s="35">
        <f t="shared" si="20"/>
        <v>0.84220328515205234</v>
      </c>
      <c r="AD69" s="15">
        <f t="shared" si="27"/>
        <v>0.54463587577963046</v>
      </c>
      <c r="AE69" s="15">
        <f t="shared" si="40"/>
        <v>1.4197186222939036</v>
      </c>
      <c r="AF69" s="15">
        <f t="shared" si="41"/>
        <v>0.96422403615589714</v>
      </c>
      <c r="AG69" s="15">
        <f t="shared" si="30"/>
        <v>2.7296811426054313</v>
      </c>
      <c r="AH69" s="15">
        <f t="shared" si="31"/>
        <v>1.7380344986084069</v>
      </c>
      <c r="AI69" s="15">
        <f t="shared" si="32"/>
        <v>2.8397228715949279</v>
      </c>
      <c r="AJ69" s="16">
        <f t="shared" si="33"/>
        <v>1.0888091644193398</v>
      </c>
      <c r="AK69" s="32">
        <f t="shared" si="34"/>
        <v>1.9207715310526763</v>
      </c>
      <c r="AL69" s="15">
        <f t="shared" si="35"/>
        <v>0.12210135986667413</v>
      </c>
      <c r="AM69" s="15">
        <f t="shared" si="36"/>
        <v>4.4365374654149461</v>
      </c>
      <c r="AN69" s="16">
        <f t="shared" si="37"/>
        <v>2.403304543747653</v>
      </c>
    </row>
    <row r="70" spans="1:40" x14ac:dyDescent="0.45">
      <c r="A70" s="19">
        <v>58</v>
      </c>
      <c r="B70" s="57" t="s">
        <v>69</v>
      </c>
      <c r="C70" s="58" t="s">
        <v>178</v>
      </c>
      <c r="D70" s="59">
        <v>2624</v>
      </c>
      <c r="E70" s="60">
        <v>11.20890625</v>
      </c>
      <c r="F70" s="61">
        <v>45.55</v>
      </c>
      <c r="G70" s="61">
        <v>50</v>
      </c>
      <c r="H70" s="61">
        <v>96</v>
      </c>
      <c r="I70" s="61">
        <v>74.135676000000004</v>
      </c>
      <c r="J70" s="62">
        <v>7.975034</v>
      </c>
      <c r="K70" s="28">
        <f t="shared" si="38"/>
        <v>46.107266395141089</v>
      </c>
      <c r="L70" s="69">
        <v>66.304288999999997</v>
      </c>
      <c r="M70" s="29">
        <f t="shared" si="39"/>
        <v>82.066421628115179</v>
      </c>
      <c r="N70" s="71">
        <v>80.312168999999997</v>
      </c>
      <c r="O70" s="35">
        <f t="shared" si="18"/>
        <v>3.7532893131435912</v>
      </c>
      <c r="P70" s="16">
        <f t="shared" si="26"/>
        <v>3.7555426387268271</v>
      </c>
      <c r="Q70" s="57" t="s">
        <v>69</v>
      </c>
      <c r="R70" s="58" t="s">
        <v>316</v>
      </c>
      <c r="S70" s="58">
        <v>2624</v>
      </c>
      <c r="T70" s="58">
        <f t="shared" si="19"/>
        <v>1</v>
      </c>
      <c r="U70" s="58"/>
      <c r="V70" s="73">
        <v>66</v>
      </c>
      <c r="W70" s="74">
        <v>8.9766319380000006</v>
      </c>
      <c r="X70" s="75">
        <v>1</v>
      </c>
      <c r="Y70" s="76">
        <v>6.6799999999999997E-4</v>
      </c>
      <c r="Z70" s="74">
        <v>8.9766319380000006</v>
      </c>
      <c r="AA70" s="73">
        <v>15077.914402</v>
      </c>
      <c r="AB70" s="77">
        <v>6.6799999999999997E-4</v>
      </c>
      <c r="AC70" s="35">
        <f t="shared" si="20"/>
        <v>6.2554821885726524</v>
      </c>
      <c r="AD70" s="15">
        <f t="shared" si="27"/>
        <v>1.9039152928119123</v>
      </c>
      <c r="AE70" s="15">
        <f t="shared" si="40"/>
        <v>6.3794013345368485</v>
      </c>
      <c r="AF70" s="15">
        <f t="shared" si="41"/>
        <v>5.9925301153048816</v>
      </c>
      <c r="AG70" s="15">
        <f t="shared" si="30"/>
        <v>13.708479434977113</v>
      </c>
      <c r="AH70" s="15">
        <f t="shared" si="31"/>
        <v>6.8904885058138694</v>
      </c>
      <c r="AI70" s="15">
        <f t="shared" si="32"/>
        <v>18.868910995884722</v>
      </c>
      <c r="AJ70" s="16">
        <f t="shared" si="33"/>
        <v>12.271272076886019</v>
      </c>
      <c r="AK70" s="32">
        <f t="shared" si="34"/>
        <v>3.8094720740580685</v>
      </c>
      <c r="AL70" s="15">
        <f t="shared" si="35"/>
        <v>0.13910296904994987</v>
      </c>
      <c r="AM70" s="15">
        <f t="shared" si="36"/>
        <v>0.80084815929297304</v>
      </c>
      <c r="AN70" s="16">
        <f t="shared" si="37"/>
        <v>8.9214770620460848E-2</v>
      </c>
    </row>
    <row r="71" spans="1:40" x14ac:dyDescent="0.45">
      <c r="A71" s="19">
        <v>59</v>
      </c>
      <c r="B71" s="57" t="s">
        <v>69</v>
      </c>
      <c r="C71" s="58" t="s">
        <v>179</v>
      </c>
      <c r="D71" s="59">
        <v>2625</v>
      </c>
      <c r="E71" s="60">
        <v>5.5473437499999996</v>
      </c>
      <c r="F71" s="61">
        <v>19.725000000000001</v>
      </c>
      <c r="G71" s="61">
        <v>46</v>
      </c>
      <c r="H71" s="61">
        <v>73</v>
      </c>
      <c r="I71" s="61">
        <v>57.585472000000003</v>
      </c>
      <c r="J71" s="62">
        <v>6.976337</v>
      </c>
      <c r="K71" s="28">
        <f t="shared" si="38"/>
        <v>46.596983802186159</v>
      </c>
      <c r="L71" s="69">
        <v>66.742857000000001</v>
      </c>
      <c r="M71" s="29">
        <f t="shared" si="39"/>
        <v>82.354434213300152</v>
      </c>
      <c r="N71" s="71">
        <v>79.901780000000002</v>
      </c>
      <c r="O71" s="35">
        <f t="shared" si="18"/>
        <v>2.0754160257560539</v>
      </c>
      <c r="P71" s="16">
        <f t="shared" si="26"/>
        <v>2.0766620229698356</v>
      </c>
      <c r="Q71" s="57" t="s">
        <v>69</v>
      </c>
      <c r="R71" s="58" t="s">
        <v>317</v>
      </c>
      <c r="S71" s="58">
        <v>2625</v>
      </c>
      <c r="T71" s="58">
        <f t="shared" si="19"/>
        <v>1</v>
      </c>
      <c r="U71" s="58"/>
      <c r="V71" s="73">
        <v>65</v>
      </c>
      <c r="W71" s="74">
        <v>6.573033906</v>
      </c>
      <c r="X71" s="75">
        <v>1</v>
      </c>
      <c r="Y71" s="76">
        <v>1.065E-3</v>
      </c>
      <c r="Z71" s="74">
        <v>6.573033906</v>
      </c>
      <c r="AA71" s="73">
        <v>6708.6494359999997</v>
      </c>
      <c r="AB71" s="77">
        <v>1.065E-3</v>
      </c>
      <c r="AC71" s="35">
        <f t="shared" si="20"/>
        <v>3.4590267095934233</v>
      </c>
      <c r="AD71" s="15">
        <f t="shared" si="27"/>
        <v>1.4573569019489281</v>
      </c>
      <c r="AE71" s="15">
        <f t="shared" si="40"/>
        <v>4.6070920796246853</v>
      </c>
      <c r="AF71" s="15">
        <f t="shared" si="41"/>
        <v>3.9391448767828519</v>
      </c>
      <c r="AG71" s="15">
        <f t="shared" si="30"/>
        <v>9.108437382737721</v>
      </c>
      <c r="AH71" s="15">
        <f t="shared" si="31"/>
        <v>4.9342001643696589</v>
      </c>
      <c r="AI71" s="15">
        <f t="shared" si="32"/>
        <v>12.233535636140854</v>
      </c>
      <c r="AJ71" s="16">
        <f t="shared" si="33"/>
        <v>7.0417094225291663</v>
      </c>
      <c r="AK71" s="32">
        <f t="shared" si="34"/>
        <v>2.3449441526775021</v>
      </c>
      <c r="AL71" s="15">
        <f t="shared" si="35"/>
        <v>0.12839654377880258</v>
      </c>
      <c r="AM71" s="15">
        <f t="shared" si="36"/>
        <v>1.1848975297411488</v>
      </c>
      <c r="AN71" s="16">
        <f t="shared" si="37"/>
        <v>0.18026645635580094</v>
      </c>
    </row>
    <row r="72" spans="1:40" x14ac:dyDescent="0.45">
      <c r="A72" s="19">
        <v>60</v>
      </c>
      <c r="B72" s="57" t="s">
        <v>69</v>
      </c>
      <c r="C72" s="58" t="s">
        <v>180</v>
      </c>
      <c r="D72" s="59">
        <v>2626</v>
      </c>
      <c r="E72" s="60">
        <v>5.1029687499999996</v>
      </c>
      <c r="F72" s="61">
        <v>13.25</v>
      </c>
      <c r="G72" s="61">
        <v>150</v>
      </c>
      <c r="H72" s="61">
        <v>414</v>
      </c>
      <c r="I72" s="61">
        <v>259.73560099999997</v>
      </c>
      <c r="J72" s="62">
        <v>26.438801000000002</v>
      </c>
      <c r="K72" s="28">
        <f t="shared" si="38"/>
        <v>57.066828033389001</v>
      </c>
      <c r="L72" s="69">
        <v>75.352234999999993</v>
      </c>
      <c r="M72" s="29">
        <f t="shared" si="39"/>
        <v>87.669059319738679</v>
      </c>
      <c r="N72" s="71">
        <v>74.907161000000002</v>
      </c>
      <c r="O72" s="35">
        <f t="shared" si="18"/>
        <v>0.68023577094560328</v>
      </c>
      <c r="P72" s="16">
        <f t="shared" si="26"/>
        <v>0.68064415744006723</v>
      </c>
      <c r="Q72" s="57" t="s">
        <v>69</v>
      </c>
      <c r="R72" s="58" t="s">
        <v>318</v>
      </c>
      <c r="S72" s="58">
        <v>2626</v>
      </c>
      <c r="T72" s="58">
        <f t="shared" si="19"/>
        <v>1</v>
      </c>
      <c r="U72" s="58"/>
      <c r="V72" s="73">
        <v>195</v>
      </c>
      <c r="W72" s="74">
        <v>4.0522339440000001</v>
      </c>
      <c r="X72" s="75">
        <v>1</v>
      </c>
      <c r="Y72" s="76">
        <v>1.3820000000000001E-2</v>
      </c>
      <c r="Z72" s="74">
        <v>4.0522339440000001</v>
      </c>
      <c r="AA72" s="73">
        <v>5138.0018909999999</v>
      </c>
      <c r="AB72" s="77">
        <v>1.3820000000000001E-2</v>
      </c>
      <c r="AC72" s="35">
        <f t="shared" si="20"/>
        <v>1.1337262849093388</v>
      </c>
      <c r="AD72" s="15">
        <f t="shared" si="27"/>
        <v>1.4118426511793714</v>
      </c>
      <c r="AE72" s="15">
        <f t="shared" si="40"/>
        <v>1.9600743898299748</v>
      </c>
      <c r="AF72" s="15">
        <f t="shared" si="41"/>
        <v>1.0117681579230844</v>
      </c>
      <c r="AG72" s="15">
        <f t="shared" si="30"/>
        <v>2.5244388073195472</v>
      </c>
      <c r="AH72" s="15">
        <f t="shared" si="31"/>
        <v>2.3921172498941803</v>
      </c>
      <c r="AI72" s="15">
        <f t="shared" si="32"/>
        <v>3.0778545022712325</v>
      </c>
      <c r="AJ72" s="16">
        <f t="shared" si="33"/>
        <v>3.1341743871013303</v>
      </c>
      <c r="AK72" s="32">
        <f t="shared" si="34"/>
        <v>1.6423376733994257</v>
      </c>
      <c r="AL72" s="15">
        <f t="shared" si="35"/>
        <v>0.31076627952739555</v>
      </c>
      <c r="AM72" s="15">
        <f t="shared" si="36"/>
        <v>0.79409342728191323</v>
      </c>
      <c r="AN72" s="16">
        <f t="shared" si="37"/>
        <v>0.19596435898221012</v>
      </c>
    </row>
    <row r="73" spans="1:40" x14ac:dyDescent="0.45">
      <c r="A73" s="19">
        <v>61</v>
      </c>
      <c r="B73" s="57" t="s">
        <v>69</v>
      </c>
      <c r="C73" s="58" t="s">
        <v>181</v>
      </c>
      <c r="D73" s="59">
        <v>2627</v>
      </c>
      <c r="E73" s="60">
        <v>5.10546875</v>
      </c>
      <c r="F73" s="61">
        <v>21.024999999999999</v>
      </c>
      <c r="G73" s="61">
        <v>120</v>
      </c>
      <c r="H73" s="61">
        <v>208</v>
      </c>
      <c r="I73" s="61">
        <v>148.526794</v>
      </c>
      <c r="J73" s="62">
        <v>9.3246760000000002</v>
      </c>
      <c r="K73" s="28">
        <f t="shared" si="38"/>
        <v>48.252355724659544</v>
      </c>
      <c r="L73" s="69">
        <v>68.199926000000005</v>
      </c>
      <c r="M73" s="29">
        <f t="shared" si="39"/>
        <v>83.298679843885921</v>
      </c>
      <c r="N73" s="71">
        <v>73.259491999999995</v>
      </c>
      <c r="O73" s="35">
        <f t="shared" si="18"/>
        <v>1.6449188889626694</v>
      </c>
      <c r="P73" s="16">
        <f t="shared" si="26"/>
        <v>1.6459064328223629</v>
      </c>
      <c r="Q73" s="57" t="s">
        <v>69</v>
      </c>
      <c r="R73" s="58" t="s">
        <v>319</v>
      </c>
      <c r="S73" s="58">
        <v>2627</v>
      </c>
      <c r="T73" s="58">
        <f t="shared" si="19"/>
        <v>1</v>
      </c>
      <c r="U73" s="58"/>
      <c r="V73" s="73">
        <v>131</v>
      </c>
      <c r="W73" s="74">
        <v>4.6955844120000005</v>
      </c>
      <c r="X73" s="75">
        <v>1</v>
      </c>
      <c r="Y73" s="76">
        <v>6.3889999999999997E-3</v>
      </c>
      <c r="Z73" s="74">
        <v>4.6955844120000005</v>
      </c>
      <c r="AA73" s="73">
        <v>6310.794097</v>
      </c>
      <c r="AB73" s="77">
        <v>6.3889999999999997E-3</v>
      </c>
      <c r="AC73" s="35">
        <f t="shared" si="20"/>
        <v>2.7415314816044489</v>
      </c>
      <c r="AD73" s="15">
        <f t="shared" si="27"/>
        <v>1.4121054485703188</v>
      </c>
      <c r="AE73" s="15">
        <f t="shared" si="40"/>
        <v>2.5384764672127087</v>
      </c>
      <c r="AF73" s="15">
        <f t="shared" si="41"/>
        <v>1.525320830843895</v>
      </c>
      <c r="AG73" s="15">
        <f t="shared" si="30"/>
        <v>3.6698178044883787</v>
      </c>
      <c r="AH73" s="15">
        <f t="shared" si="31"/>
        <v>2.9503929118122891</v>
      </c>
      <c r="AI73" s="15">
        <f t="shared" si="32"/>
        <v>4.7676457521196864</v>
      </c>
      <c r="AJ73" s="16">
        <f t="shared" si="33"/>
        <v>3.9409332563041062</v>
      </c>
      <c r="AK73" s="32">
        <f t="shared" si="34"/>
        <v>2.6054108937016305</v>
      </c>
      <c r="AL73" s="15">
        <f t="shared" si="35"/>
        <v>0.23155614879317921</v>
      </c>
      <c r="AM73" s="15">
        <f t="shared" si="36"/>
        <v>0.91971661015455253</v>
      </c>
      <c r="AN73" s="16">
        <f t="shared" si="37"/>
        <v>0.19586840091813312</v>
      </c>
    </row>
    <row r="74" spans="1:40" x14ac:dyDescent="0.45">
      <c r="A74" s="19">
        <v>62</v>
      </c>
      <c r="B74" s="57" t="s">
        <v>69</v>
      </c>
      <c r="C74" s="58" t="s">
        <v>182</v>
      </c>
      <c r="D74" s="59">
        <v>2628</v>
      </c>
      <c r="E74" s="60">
        <v>3.4207812500000001</v>
      </c>
      <c r="F74" s="61">
        <v>15.65</v>
      </c>
      <c r="G74" s="61">
        <v>51</v>
      </c>
      <c r="H74" s="61">
        <v>75</v>
      </c>
      <c r="I74" s="61">
        <v>61.576211999999998</v>
      </c>
      <c r="J74" s="62">
        <v>6.8251169999999997</v>
      </c>
      <c r="K74" s="28">
        <f t="shared" si="38"/>
        <v>34.274383023088433</v>
      </c>
      <c r="L74" s="69">
        <v>54.532983999999999</v>
      </c>
      <c r="M74" s="29">
        <f t="shared" si="39"/>
        <v>73.609862550561942</v>
      </c>
      <c r="N74" s="71">
        <v>79.932312999999994</v>
      </c>
      <c r="O74" s="35">
        <f t="shared" si="18"/>
        <v>2.4458895644866776</v>
      </c>
      <c r="P74" s="16">
        <f t="shared" si="26"/>
        <v>2.4473579792742419</v>
      </c>
      <c r="Q74" s="57" t="s">
        <v>69</v>
      </c>
      <c r="R74" s="58" t="s">
        <v>320</v>
      </c>
      <c r="S74" s="58">
        <v>2628</v>
      </c>
      <c r="T74" s="58">
        <f t="shared" si="19"/>
        <v>1</v>
      </c>
      <c r="U74" s="58"/>
      <c r="V74" s="73">
        <v>65</v>
      </c>
      <c r="W74" s="74">
        <v>5.4526911929999997</v>
      </c>
      <c r="X74" s="75">
        <v>1</v>
      </c>
      <c r="Y74" s="76">
        <v>1.284E-3</v>
      </c>
      <c r="Z74" s="74">
        <v>5.4526911929999997</v>
      </c>
      <c r="AA74" s="73">
        <v>5504.2076980000002</v>
      </c>
      <c r="AB74" s="77">
        <v>1.284E-3</v>
      </c>
      <c r="AC74" s="35">
        <f t="shared" si="20"/>
        <v>4.0764826074777964</v>
      </c>
      <c r="AD74" s="15">
        <f t="shared" si="27"/>
        <v>1.2127777131163366</v>
      </c>
      <c r="AE74" s="15">
        <f t="shared" si="40"/>
        <v>3.8576088216876285</v>
      </c>
      <c r="AF74" s="15">
        <f t="shared" si="41"/>
        <v>3.1742760468366553</v>
      </c>
      <c r="AG74" s="15">
        <f t="shared" si="30"/>
        <v>7.3583477895970839</v>
      </c>
      <c r="AH74" s="15">
        <f t="shared" si="31"/>
        <v>4.0664762755564539</v>
      </c>
      <c r="AI74" s="15">
        <f t="shared" si="32"/>
        <v>9.7736973378532763</v>
      </c>
      <c r="AJ74" s="16">
        <f t="shared" si="33"/>
        <v>5.001399913120431</v>
      </c>
      <c r="AK74" s="32">
        <f t="shared" si="34"/>
        <v>2.3692436302214674</v>
      </c>
      <c r="AL74" s="15">
        <f t="shared" si="35"/>
        <v>0.11505447044706435</v>
      </c>
      <c r="AM74" s="15">
        <f t="shared" si="36"/>
        <v>1.593990025816471</v>
      </c>
      <c r="AN74" s="16">
        <f t="shared" si="37"/>
        <v>0.29233088201708307</v>
      </c>
    </row>
    <row r="75" spans="1:40" x14ac:dyDescent="0.45">
      <c r="A75" s="19">
        <v>63</v>
      </c>
      <c r="B75" s="57" t="s">
        <v>69</v>
      </c>
      <c r="C75" s="58" t="s">
        <v>183</v>
      </c>
      <c r="D75" s="59">
        <v>2629</v>
      </c>
      <c r="E75" s="60">
        <v>36.631875000000001</v>
      </c>
      <c r="F75" s="61">
        <v>49.424999999999997</v>
      </c>
      <c r="G75" s="61">
        <v>205</v>
      </c>
      <c r="H75" s="61">
        <v>1697</v>
      </c>
      <c r="I75" s="61">
        <v>664.58922800000005</v>
      </c>
      <c r="J75" s="62">
        <v>30.126864999999999</v>
      </c>
      <c r="K75" s="28">
        <f t="shared" si="38"/>
        <v>54.791369285703276</v>
      </c>
      <c r="L75" s="69">
        <v>73.597527999999997</v>
      </c>
      <c r="M75" s="29">
        <f t="shared" si="39"/>
        <v>86.635686895520564</v>
      </c>
      <c r="N75" s="71">
        <v>77.939561999999995</v>
      </c>
      <c r="O75" s="35">
        <f t="shared" si="18"/>
        <v>1.7151883552245355</v>
      </c>
      <c r="P75" s="16">
        <f t="shared" si="26"/>
        <v>1.7162180860761818</v>
      </c>
      <c r="Q75" s="57" t="s">
        <v>69</v>
      </c>
      <c r="R75" s="58" t="s">
        <v>321</v>
      </c>
      <c r="S75" s="58">
        <v>2629</v>
      </c>
      <c r="T75" s="58">
        <f t="shared" si="19"/>
        <v>1</v>
      </c>
      <c r="U75" s="58"/>
      <c r="V75" s="73">
        <v>411</v>
      </c>
      <c r="W75" s="74">
        <v>12.618618318000001</v>
      </c>
      <c r="X75" s="75">
        <v>1</v>
      </c>
      <c r="Y75" s="76">
        <v>3.7801000000000001E-2</v>
      </c>
      <c r="Z75" s="74">
        <v>12.618618318000001</v>
      </c>
      <c r="AA75" s="73">
        <v>16639.754679000001</v>
      </c>
      <c r="AB75" s="77">
        <v>3.7801000000000001E-2</v>
      </c>
      <c r="AC75" s="35">
        <f t="shared" si="20"/>
        <v>2.8586472587075593</v>
      </c>
      <c r="AD75" s="15">
        <f t="shared" si="27"/>
        <v>2.9859330699583078</v>
      </c>
      <c r="AE75" s="15">
        <f t="shared" si="40"/>
        <v>3.8385270111753633</v>
      </c>
      <c r="AF75" s="15">
        <f t="shared" si="41"/>
        <v>1.646994519603999</v>
      </c>
      <c r="AG75" s="15">
        <f t="shared" si="30"/>
        <v>2.4687566140418755</v>
      </c>
      <c r="AH75" s="15">
        <f t="shared" si="31"/>
        <v>3.04023503359904</v>
      </c>
      <c r="AI75" s="15">
        <f t="shared" si="32"/>
        <v>5.005950040681312</v>
      </c>
      <c r="AJ75" s="16">
        <f t="shared" si="33"/>
        <v>7.4848578531711913</v>
      </c>
      <c r="AK75" s="32">
        <f t="shared" si="34"/>
        <v>2.2865206874581587</v>
      </c>
      <c r="AL75" s="15">
        <f t="shared" si="35"/>
        <v>0.23005704658781279</v>
      </c>
      <c r="AM75" s="15">
        <f t="shared" si="36"/>
        <v>0.34447099194349184</v>
      </c>
      <c r="AN75" s="16">
        <f t="shared" si="37"/>
        <v>2.7298629950009385E-2</v>
      </c>
    </row>
    <row r="76" spans="1:40" x14ac:dyDescent="0.45">
      <c r="A76" s="19">
        <v>64</v>
      </c>
      <c r="B76" s="57" t="s">
        <v>69</v>
      </c>
      <c r="C76" s="58" t="s">
        <v>184</v>
      </c>
      <c r="D76" s="59">
        <v>2630</v>
      </c>
      <c r="E76" s="60">
        <v>2.8151562499999998</v>
      </c>
      <c r="F76" s="61">
        <v>15.525</v>
      </c>
      <c r="G76" s="61">
        <v>49</v>
      </c>
      <c r="H76" s="61">
        <v>79</v>
      </c>
      <c r="I76" s="61">
        <v>65.897597000000005</v>
      </c>
      <c r="J76" s="62">
        <v>7.1285540000000003</v>
      </c>
      <c r="K76" s="28">
        <f t="shared" si="38"/>
        <v>47.582224673439292</v>
      </c>
      <c r="L76" s="69">
        <v>67.614739999999998</v>
      </c>
      <c r="M76" s="29">
        <f t="shared" si="39"/>
        <v>82.921764557701749</v>
      </c>
      <c r="N76" s="71">
        <v>79.756471000000005</v>
      </c>
      <c r="O76" s="35">
        <f t="shared" si="18"/>
        <v>1.9635545944823862</v>
      </c>
      <c r="P76" s="16">
        <f t="shared" si="26"/>
        <v>1.9647334345431118</v>
      </c>
      <c r="Q76" s="57" t="s">
        <v>69</v>
      </c>
      <c r="R76" s="58" t="s">
        <v>322</v>
      </c>
      <c r="S76" s="58">
        <v>2630</v>
      </c>
      <c r="T76" s="58">
        <f t="shared" si="19"/>
        <v>1</v>
      </c>
      <c r="U76" s="58"/>
      <c r="V76" s="73">
        <v>70</v>
      </c>
      <c r="W76" s="74">
        <v>6.3578688629999993</v>
      </c>
      <c r="X76" s="75">
        <v>1</v>
      </c>
      <c r="Y76" s="76">
        <v>4.7199999999999998E-4</v>
      </c>
      <c r="Z76" s="74">
        <v>6.3578688629999993</v>
      </c>
      <c r="AA76" s="73">
        <v>6529.6518720000004</v>
      </c>
      <c r="AB76" s="77">
        <v>4.7199999999999998E-4</v>
      </c>
      <c r="AC76" s="35">
        <f t="shared" si="20"/>
        <v>3.2725909908039772</v>
      </c>
      <c r="AD76" s="15">
        <f t="shared" si="27"/>
        <v>1.1262233932658114</v>
      </c>
      <c r="AE76" s="15">
        <f t="shared" si="40"/>
        <v>5.243111156851187</v>
      </c>
      <c r="AF76" s="15">
        <f t="shared" si="41"/>
        <v>5.252113071642194</v>
      </c>
      <c r="AG76" s="15">
        <f t="shared" si="30"/>
        <v>11.723499365091552</v>
      </c>
      <c r="AH76" s="15">
        <f t="shared" si="31"/>
        <v>5.0275135177762946</v>
      </c>
      <c r="AI76" s="15">
        <f t="shared" si="32"/>
        <v>16.509991598465913</v>
      </c>
      <c r="AJ76" s="16">
        <f t="shared" si="33"/>
        <v>5.994817820537059</v>
      </c>
      <c r="AK76" s="32">
        <f t="shared" si="34"/>
        <v>2.5908268422417864</v>
      </c>
      <c r="AL76" s="15">
        <f t="shared" si="35"/>
        <v>6.9643304971408762E-2</v>
      </c>
      <c r="AM76" s="15">
        <f t="shared" si="36"/>
        <v>2.258442622145751</v>
      </c>
      <c r="AN76" s="16">
        <f t="shared" si="37"/>
        <v>0.35522006993395128</v>
      </c>
    </row>
    <row r="77" spans="1:40" x14ac:dyDescent="0.45">
      <c r="A77" s="19">
        <v>65</v>
      </c>
      <c r="B77" s="57" t="s">
        <v>69</v>
      </c>
      <c r="C77" s="58" t="s">
        <v>185</v>
      </c>
      <c r="D77" s="59">
        <v>2631</v>
      </c>
      <c r="E77" s="60">
        <v>7.9042187500000001</v>
      </c>
      <c r="F77" s="61">
        <v>19.850000000000001</v>
      </c>
      <c r="G77" s="61">
        <v>798</v>
      </c>
      <c r="H77" s="61">
        <v>2270</v>
      </c>
      <c r="I77" s="61">
        <v>1402.256449</v>
      </c>
      <c r="J77" s="62">
        <v>52.710590000000003</v>
      </c>
      <c r="K77" s="28">
        <f t="shared" si="38"/>
        <v>61.230414955240533</v>
      </c>
      <c r="L77" s="69">
        <v>78.413315999999995</v>
      </c>
      <c r="M77" s="29">
        <f t="shared" si="39"/>
        <v>89.415346761110314</v>
      </c>
      <c r="N77" s="71">
        <v>79.596563000000003</v>
      </c>
      <c r="O77" s="35">
        <f t="shared" si="18"/>
        <v>0.57934222993862561</v>
      </c>
      <c r="P77" s="16">
        <f t="shared" ref="P77:P108" si="42">((AA77/0.3048)^0.8*(((1000/L77)-10)+1)^0.7)/(1900*J77^0.5)</f>
        <v>0.57969004396500456</v>
      </c>
      <c r="Q77" s="57" t="s">
        <v>69</v>
      </c>
      <c r="R77" s="58" t="s">
        <v>323</v>
      </c>
      <c r="S77" s="58">
        <v>2631</v>
      </c>
      <c r="T77" s="58">
        <f t="shared" si="19"/>
        <v>1</v>
      </c>
      <c r="U77" s="58"/>
      <c r="V77" s="73">
        <v>954</v>
      </c>
      <c r="W77" s="74">
        <v>3.759892674</v>
      </c>
      <c r="X77" s="75">
        <v>1</v>
      </c>
      <c r="Y77" s="76">
        <v>0.123142</v>
      </c>
      <c r="Z77" s="74">
        <v>3.759892674</v>
      </c>
      <c r="AA77" s="73">
        <v>7245.4135050000004</v>
      </c>
      <c r="AB77" s="77">
        <v>0.123142</v>
      </c>
      <c r="AC77" s="35">
        <f t="shared" si="20"/>
        <v>0.96557038323104272</v>
      </c>
      <c r="AD77" s="15">
        <f t="shared" ref="AD77:AD108" si="43" xml:space="preserve"> 0.76 * (E77 ) ^ 0.38</f>
        <v>1.6672471880496507</v>
      </c>
      <c r="AE77" s="15">
        <f t="shared" si="40"/>
        <v>1.2220174760674996</v>
      </c>
      <c r="AF77" s="15">
        <f t="shared" si="41"/>
        <v>0.41146276297463941</v>
      </c>
      <c r="AG77" s="15">
        <f t="shared" ref="AG77:AG108" si="44" xml:space="preserve"> ( 4 * E77 ^ 0.5 + 1.5 * Z77 ) / ( 25.3 * ( AB77 *Z77 ) ^ 0.5)</f>
        <v>0.98085669742106885</v>
      </c>
      <c r="AH77" s="15">
        <f t="shared" ref="AH77:AH108" si="45" xml:space="preserve"> 1.7694 * E77 ^ 0.325 * Z77 ^ -0.096 *( AB77*100) ^ -0.29</f>
        <v>1.4729755570917256</v>
      </c>
      <c r="AI77" s="15">
        <f t="shared" ref="AI77:AI108" si="46" xml:space="preserve"> (0.007*(0.035^0.8) * ((Z77*1000)/0.3048)^0.8)/((AB77^0.4)*(N77/25.4)^0.5)</f>
        <v>1.1724331339615692</v>
      </c>
      <c r="AJ77" s="16">
        <f t="shared" ref="AJ77:AJ108" si="47">0.335 * (E77 / AB77 ^ 0.5) ^ 0.593</f>
        <v>2.1240744051063221</v>
      </c>
      <c r="AK77" s="32">
        <f t="shared" ref="AK77:AK108" si="48" xml:space="preserve"> 0.28 * F77 /E77^0.5</f>
        <v>1.9769198721736596</v>
      </c>
      <c r="AL77" s="15">
        <f t="shared" ref="AL77:AL108" si="49" xml:space="preserve"> E77 / Z77 ^ 2</f>
        <v>0.55912389710527299</v>
      </c>
      <c r="AM77" s="15">
        <f t="shared" ref="AM77:AM108" si="50">W77/E77</f>
        <v>0.47568175842805466</v>
      </c>
      <c r="AN77" s="16">
        <f t="shared" ref="AN77:AN108" si="51">X77/E77</f>
        <v>0.12651471721983909</v>
      </c>
    </row>
    <row r="78" spans="1:40" x14ac:dyDescent="0.45">
      <c r="A78" s="19">
        <v>66</v>
      </c>
      <c r="B78" s="57" t="s">
        <v>69</v>
      </c>
      <c r="C78" s="58" t="s">
        <v>186</v>
      </c>
      <c r="D78" s="59">
        <v>2632</v>
      </c>
      <c r="E78" s="60">
        <v>19.107343749999998</v>
      </c>
      <c r="F78" s="61">
        <v>61.125</v>
      </c>
      <c r="G78" s="61">
        <v>62</v>
      </c>
      <c r="H78" s="61">
        <v>170</v>
      </c>
      <c r="I78" s="61">
        <v>99.802857000000003</v>
      </c>
      <c r="J78" s="62">
        <v>7.73095</v>
      </c>
      <c r="K78" s="28">
        <f t="shared" si="38"/>
        <v>34.764129087625577</v>
      </c>
      <c r="L78" s="69">
        <v>55.069662000000001</v>
      </c>
      <c r="M78" s="29">
        <f t="shared" si="39"/>
        <v>74.028604183509884</v>
      </c>
      <c r="N78" s="71">
        <v>80.368600000000001</v>
      </c>
      <c r="O78" s="35">
        <f t="shared" ref="O78:O141" si="52">0.6*AC78</f>
        <v>6.7756566915799148</v>
      </c>
      <c r="P78" s="16">
        <f t="shared" si="42"/>
        <v>6.7797245262956922</v>
      </c>
      <c r="Q78" s="57" t="s">
        <v>69</v>
      </c>
      <c r="R78" s="58" t="s">
        <v>324</v>
      </c>
      <c r="S78" s="58">
        <v>2632</v>
      </c>
      <c r="T78" s="58">
        <f t="shared" ref="T78:T141" si="53">IF(D78=S78,1,0)</f>
        <v>1</v>
      </c>
      <c r="U78" s="58"/>
      <c r="V78" s="73">
        <v>95</v>
      </c>
      <c r="W78" s="74">
        <v>15.791683790999999</v>
      </c>
      <c r="X78" s="75">
        <v>1</v>
      </c>
      <c r="Y78" s="76">
        <v>2.5959999999999998E-3</v>
      </c>
      <c r="Z78" s="74">
        <v>15.791683790999999</v>
      </c>
      <c r="AA78" s="73">
        <v>21627.585662000001</v>
      </c>
      <c r="AB78" s="77">
        <v>2.5959999999999998E-3</v>
      </c>
      <c r="AC78" s="35">
        <f t="shared" ref="AC78:AC141" si="54">(0.0526*(AA78/0.3048)^0.8*((1000/L78)-9)^0.7*J78^-0.5)/60</f>
        <v>11.292761152633192</v>
      </c>
      <c r="AD78" s="15">
        <f t="shared" si="43"/>
        <v>2.3316841078525048</v>
      </c>
      <c r="AE78" s="15">
        <f t="shared" si="40"/>
        <v>7.5719716238936909</v>
      </c>
      <c r="AF78" s="15">
        <f t="shared" si="41"/>
        <v>5.4895206651262081</v>
      </c>
      <c r="AG78" s="15">
        <f t="shared" si="44"/>
        <v>8.0374464823810268</v>
      </c>
      <c r="AH78" s="15">
        <f t="shared" si="45"/>
        <v>5.2362290549822506</v>
      </c>
      <c r="AI78" s="15">
        <f t="shared" si="46"/>
        <v>17.220074983789178</v>
      </c>
      <c r="AJ78" s="16">
        <f t="shared" si="47"/>
        <v>11.257844739948554</v>
      </c>
      <c r="AK78" s="32">
        <f t="shared" si="48"/>
        <v>3.9154054865745085</v>
      </c>
      <c r="AL78" s="15">
        <f t="shared" si="49"/>
        <v>7.6620227726093559E-2</v>
      </c>
      <c r="AM78" s="15">
        <f t="shared" si="50"/>
        <v>0.8264719574639986</v>
      </c>
      <c r="AN78" s="16">
        <f t="shared" si="51"/>
        <v>5.2335898337517485E-2</v>
      </c>
    </row>
    <row r="79" spans="1:40" x14ac:dyDescent="0.45">
      <c r="A79" s="19">
        <v>67</v>
      </c>
      <c r="B79" s="57" t="s">
        <v>69</v>
      </c>
      <c r="C79" s="58" t="s">
        <v>187</v>
      </c>
      <c r="D79" s="59">
        <v>2633</v>
      </c>
      <c r="E79" s="60">
        <v>5.9989062500000001</v>
      </c>
      <c r="F79" s="61">
        <v>26.1</v>
      </c>
      <c r="G79" s="61">
        <v>56</v>
      </c>
      <c r="H79" s="61">
        <v>88</v>
      </c>
      <c r="I79" s="61">
        <v>69.283254999999997</v>
      </c>
      <c r="J79" s="62">
        <v>5.2095789999999997</v>
      </c>
      <c r="K79" s="28">
        <f t="shared" si="38"/>
        <v>35.072499368524511</v>
      </c>
      <c r="L79" s="69">
        <v>55.405175</v>
      </c>
      <c r="M79" s="29">
        <f t="shared" si="39"/>
        <v>74.288642321828306</v>
      </c>
      <c r="N79" s="71">
        <v>79.858288999999999</v>
      </c>
      <c r="O79" s="35">
        <f t="shared" si="52"/>
        <v>3.5091167750103485</v>
      </c>
      <c r="P79" s="16">
        <f t="shared" si="42"/>
        <v>3.5112235091158177</v>
      </c>
      <c r="Q79" s="57" t="s">
        <v>69</v>
      </c>
      <c r="R79" s="58" t="s">
        <v>325</v>
      </c>
      <c r="S79" s="58">
        <v>2633</v>
      </c>
      <c r="T79" s="58">
        <f t="shared" si="53"/>
        <v>1</v>
      </c>
      <c r="U79" s="58"/>
      <c r="V79" s="73">
        <v>63</v>
      </c>
      <c r="W79" s="74">
        <v>3.7279383090000002</v>
      </c>
      <c r="X79" s="75">
        <v>1</v>
      </c>
      <c r="Y79" s="76">
        <v>1E-3</v>
      </c>
      <c r="Z79" s="74">
        <v>3.7279383090000002</v>
      </c>
      <c r="AA79" s="73">
        <v>7503.4717659999997</v>
      </c>
      <c r="AB79" s="77">
        <v>1E-3</v>
      </c>
      <c r="AC79" s="35">
        <f t="shared" si="54"/>
        <v>5.8485279583505809</v>
      </c>
      <c r="AD79" s="15">
        <f t="shared" si="43"/>
        <v>1.5013466551551466</v>
      </c>
      <c r="AE79" s="15">
        <f t="shared" si="40"/>
        <v>3.0299640769864156</v>
      </c>
      <c r="AF79" s="15">
        <f t="shared" si="41"/>
        <v>2.6078508126071558</v>
      </c>
      <c r="AG79" s="15">
        <f t="shared" si="44"/>
        <v>9.9621887970925229</v>
      </c>
      <c r="AH79" s="15">
        <f t="shared" si="45"/>
        <v>5.4430014555551853</v>
      </c>
      <c r="AI79" s="15">
        <f t="shared" si="46"/>
        <v>7.9720926382569486</v>
      </c>
      <c r="AJ79" s="16">
        <f t="shared" si="47"/>
        <v>7.5152173842594721</v>
      </c>
      <c r="AK79" s="32">
        <f t="shared" si="48"/>
        <v>2.9837504755284394</v>
      </c>
      <c r="AL79" s="15">
        <f t="shared" si="49"/>
        <v>0.43165287820951204</v>
      </c>
      <c r="AM79" s="15">
        <f t="shared" si="50"/>
        <v>0.62143633416508215</v>
      </c>
      <c r="AN79" s="16">
        <f t="shared" si="51"/>
        <v>0.16669705415049618</v>
      </c>
    </row>
    <row r="80" spans="1:40" x14ac:dyDescent="0.45">
      <c r="A80" s="19">
        <v>68</v>
      </c>
      <c r="B80" s="57" t="s">
        <v>69</v>
      </c>
      <c r="C80" s="58" t="s">
        <v>188</v>
      </c>
      <c r="D80" s="59">
        <v>2634</v>
      </c>
      <c r="E80" s="60">
        <v>1.150625</v>
      </c>
      <c r="F80" s="61">
        <v>8.4</v>
      </c>
      <c r="G80" s="61">
        <v>44</v>
      </c>
      <c r="H80" s="61">
        <v>69</v>
      </c>
      <c r="I80" s="61">
        <v>56.976779000000001</v>
      </c>
      <c r="J80" s="62">
        <v>6.5790009999999999</v>
      </c>
      <c r="K80" s="28">
        <f t="shared" si="38"/>
        <v>43.750732632012472</v>
      </c>
      <c r="L80" s="69">
        <v>64.144110999999995</v>
      </c>
      <c r="M80" s="29">
        <f t="shared" si="39"/>
        <v>80.621396513065548</v>
      </c>
      <c r="N80" s="71">
        <v>81.104675999999998</v>
      </c>
      <c r="O80" s="35">
        <f t="shared" si="52"/>
        <v>1.3603788285469325</v>
      </c>
      <c r="P80" s="16">
        <f t="shared" si="42"/>
        <v>1.3611955458744571</v>
      </c>
      <c r="Q80" s="57" t="s">
        <v>69</v>
      </c>
      <c r="R80" s="58" t="s">
        <v>326</v>
      </c>
      <c r="S80" s="58">
        <v>2634</v>
      </c>
      <c r="T80" s="58">
        <f t="shared" si="53"/>
        <v>1</v>
      </c>
      <c r="U80" s="58"/>
      <c r="V80" s="73">
        <v>59</v>
      </c>
      <c r="W80" s="74">
        <v>3.4207999620000002</v>
      </c>
      <c r="X80" s="75">
        <v>1</v>
      </c>
      <c r="Y80" s="76">
        <v>8.7699999999999996E-4</v>
      </c>
      <c r="Z80" s="74">
        <v>3.4207999620000002</v>
      </c>
      <c r="AA80" s="73">
        <v>3505.006762</v>
      </c>
      <c r="AB80" s="77">
        <v>8.7699999999999996E-4</v>
      </c>
      <c r="AC80" s="35">
        <f t="shared" si="54"/>
        <v>2.2672980475782207</v>
      </c>
      <c r="AD80" s="15">
        <f t="shared" si="43"/>
        <v>0.80161980512876885</v>
      </c>
      <c r="AE80" s="15">
        <f t="shared" si="40"/>
        <v>2.9099690357731895</v>
      </c>
      <c r="AF80" s="15">
        <f t="shared" si="41"/>
        <v>2.5672921933950095</v>
      </c>
      <c r="AG80" s="15">
        <f t="shared" si="44"/>
        <v>6.7991364761958373</v>
      </c>
      <c r="AH80" s="15">
        <f t="shared" si="45"/>
        <v>3.3333688341957672</v>
      </c>
      <c r="AI80" s="15">
        <f t="shared" si="46"/>
        <v>7.7828152721271397</v>
      </c>
      <c r="AJ80" s="16">
        <f t="shared" si="47"/>
        <v>2.9348044875338224</v>
      </c>
      <c r="AK80" s="32">
        <f t="shared" si="48"/>
        <v>2.192655559599324</v>
      </c>
      <c r="AL80" s="15">
        <f t="shared" si="49"/>
        <v>9.8328281375267557E-2</v>
      </c>
      <c r="AM80" s="15">
        <f t="shared" si="50"/>
        <v>2.9729929055947855</v>
      </c>
      <c r="AN80" s="16">
        <f t="shared" si="51"/>
        <v>0.86909288430200982</v>
      </c>
    </row>
    <row r="81" spans="1:40" x14ac:dyDescent="0.45">
      <c r="A81" s="19">
        <v>69</v>
      </c>
      <c r="B81" s="57" t="s">
        <v>69</v>
      </c>
      <c r="C81" s="58" t="s">
        <v>189</v>
      </c>
      <c r="D81" s="59">
        <v>2635</v>
      </c>
      <c r="E81" s="60">
        <v>0.94609374999999996</v>
      </c>
      <c r="F81" s="61">
        <v>7.4</v>
      </c>
      <c r="G81" s="61">
        <v>48</v>
      </c>
      <c r="H81" s="61">
        <v>66</v>
      </c>
      <c r="I81" s="61">
        <v>55.736911999999997</v>
      </c>
      <c r="J81" s="62">
        <v>5.4957010000000004</v>
      </c>
      <c r="K81" s="28">
        <f t="shared" si="38"/>
        <v>39.760820636532507</v>
      </c>
      <c r="L81" s="69">
        <v>60.287725000000002</v>
      </c>
      <c r="M81" s="29">
        <f t="shared" si="39"/>
        <v>77.927359582442492</v>
      </c>
      <c r="N81" s="71">
        <v>80.891887999999994</v>
      </c>
      <c r="O81" s="35">
        <f t="shared" si="52"/>
        <v>1.1008058258948046</v>
      </c>
      <c r="P81" s="16">
        <f t="shared" si="42"/>
        <v>1.1014667059183556</v>
      </c>
      <c r="Q81" s="57" t="s">
        <v>69</v>
      </c>
      <c r="R81" s="58" t="s">
        <v>327</v>
      </c>
      <c r="S81" s="58">
        <v>2635</v>
      </c>
      <c r="T81" s="58">
        <f t="shared" si="53"/>
        <v>1</v>
      </c>
      <c r="U81" s="58"/>
      <c r="V81" s="73">
        <v>55</v>
      </c>
      <c r="W81" s="74">
        <v>1.3742640690000001</v>
      </c>
      <c r="X81" s="75">
        <v>1</v>
      </c>
      <c r="Y81" s="76">
        <v>2.911E-3</v>
      </c>
      <c r="Z81" s="74">
        <v>1.3742640690000001</v>
      </c>
      <c r="AA81" s="73">
        <v>2125.0446419999998</v>
      </c>
      <c r="AB81" s="77">
        <v>2.911E-3</v>
      </c>
      <c r="AC81" s="35">
        <f t="shared" si="54"/>
        <v>1.8346763764913412</v>
      </c>
      <c r="AD81" s="15">
        <f t="shared" si="43"/>
        <v>0.74416386571851145</v>
      </c>
      <c r="AE81" s="15">
        <f t="shared" si="40"/>
        <v>1.1584747740599388</v>
      </c>
      <c r="AF81" s="15">
        <f t="shared" si="41"/>
        <v>0.80151126313261745</v>
      </c>
      <c r="AG81" s="15">
        <f t="shared" si="44"/>
        <v>3.7195703666774911</v>
      </c>
      <c r="AH81" s="15">
        <f t="shared" si="45"/>
        <v>2.4108914197929399</v>
      </c>
      <c r="AI81" s="15">
        <f t="shared" si="46"/>
        <v>2.3251134528751027</v>
      </c>
      <c r="AJ81" s="16">
        <f t="shared" si="47"/>
        <v>1.8309869881245056</v>
      </c>
      <c r="AK81" s="32">
        <f t="shared" si="48"/>
        <v>2.1302112028590332</v>
      </c>
      <c r="AL81" s="15">
        <f t="shared" si="49"/>
        <v>0.50094931837561385</v>
      </c>
      <c r="AM81" s="15">
        <f t="shared" si="50"/>
        <v>1.4525664808587946</v>
      </c>
      <c r="AN81" s="16">
        <f t="shared" si="51"/>
        <v>1.0569777043765483</v>
      </c>
    </row>
    <row r="82" spans="1:40" x14ac:dyDescent="0.45">
      <c r="A82" s="19">
        <v>70</v>
      </c>
      <c r="B82" s="57" t="s">
        <v>69</v>
      </c>
      <c r="C82" s="58" t="s">
        <v>190</v>
      </c>
      <c r="D82" s="59">
        <v>2636</v>
      </c>
      <c r="E82" s="60">
        <v>20.60953125</v>
      </c>
      <c r="F82" s="61">
        <v>34.774999999999999</v>
      </c>
      <c r="G82" s="61">
        <v>47</v>
      </c>
      <c r="H82" s="61">
        <v>97</v>
      </c>
      <c r="I82" s="61">
        <v>67.669009000000003</v>
      </c>
      <c r="J82" s="62">
        <v>6.2387139999999999</v>
      </c>
      <c r="K82" s="28">
        <f t="shared" si="38"/>
        <v>27.503395808144496</v>
      </c>
      <c r="L82" s="69">
        <v>46.597239999999999</v>
      </c>
      <c r="M82" s="29">
        <f t="shared" si="39"/>
        <v>66.988145621901211</v>
      </c>
      <c r="N82" s="71">
        <v>80.191632999999996</v>
      </c>
      <c r="O82" s="35">
        <f t="shared" si="52"/>
        <v>5.9299358471247068</v>
      </c>
      <c r="P82" s="16">
        <f t="shared" si="42"/>
        <v>5.9334959446915221</v>
      </c>
      <c r="Q82" s="57" t="s">
        <v>69</v>
      </c>
      <c r="R82" s="58" t="s">
        <v>328</v>
      </c>
      <c r="S82" s="58">
        <v>2636</v>
      </c>
      <c r="T82" s="58">
        <f t="shared" si="53"/>
        <v>1</v>
      </c>
      <c r="U82" s="58"/>
      <c r="V82" s="73">
        <v>62</v>
      </c>
      <c r="W82" s="74">
        <v>8.8728629980000004</v>
      </c>
      <c r="X82" s="75">
        <v>1</v>
      </c>
      <c r="Y82" s="76">
        <v>4.5100000000000001E-4</v>
      </c>
      <c r="Z82" s="74">
        <v>8.8728629980000004</v>
      </c>
      <c r="AA82" s="73">
        <v>12230.274611999999</v>
      </c>
      <c r="AB82" s="77">
        <v>4.5100000000000001E-4</v>
      </c>
      <c r="AC82" s="35">
        <f t="shared" si="54"/>
        <v>9.8832264118745119</v>
      </c>
      <c r="AD82" s="15">
        <f t="shared" si="43"/>
        <v>2.3997139472718847</v>
      </c>
      <c r="AE82" s="15">
        <f t="shared" si="40"/>
        <v>6.8132791249351969</v>
      </c>
      <c r="AF82" s="15">
        <f t="shared" si="41"/>
        <v>6.9088055544203968</v>
      </c>
      <c r="AG82" s="15">
        <f t="shared" si="44"/>
        <v>19.662274237320847</v>
      </c>
      <c r="AH82" s="15">
        <f t="shared" si="45"/>
        <v>9.4226452411717361</v>
      </c>
      <c r="AI82" s="15">
        <f t="shared" si="46"/>
        <v>21.891384998210391</v>
      </c>
      <c r="AJ82" s="16">
        <f t="shared" si="47"/>
        <v>19.784444192186857</v>
      </c>
      <c r="AK82" s="32">
        <f t="shared" si="48"/>
        <v>2.1448212950570475</v>
      </c>
      <c r="AL82" s="15">
        <f t="shared" si="49"/>
        <v>0.26178247085616174</v>
      </c>
      <c r="AM82" s="15">
        <f t="shared" si="50"/>
        <v>0.4305223098172114</v>
      </c>
      <c r="AN82" s="16">
        <f t="shared" si="51"/>
        <v>4.8521239414409292E-2</v>
      </c>
    </row>
    <row r="83" spans="1:40" x14ac:dyDescent="0.45">
      <c r="A83" s="19">
        <v>71</v>
      </c>
      <c r="B83" s="57" t="s">
        <v>69</v>
      </c>
      <c r="C83" s="58" t="s">
        <v>191</v>
      </c>
      <c r="D83" s="59">
        <v>2637</v>
      </c>
      <c r="E83" s="60">
        <v>10.35296875</v>
      </c>
      <c r="F83" s="61">
        <v>28.274999999999999</v>
      </c>
      <c r="G83" s="61">
        <v>124</v>
      </c>
      <c r="H83" s="61">
        <v>504</v>
      </c>
      <c r="I83" s="61">
        <v>265.04180600000001</v>
      </c>
      <c r="J83" s="62">
        <v>21.954350999999999</v>
      </c>
      <c r="K83" s="28">
        <f t="shared" si="38"/>
        <v>43.976590246226401</v>
      </c>
      <c r="L83" s="69">
        <v>64.354798000000002</v>
      </c>
      <c r="M83" s="29">
        <f t="shared" si="39"/>
        <v>80.764298482679379</v>
      </c>
      <c r="N83" s="71">
        <v>74.829712000000001</v>
      </c>
      <c r="O83" s="35">
        <f t="shared" si="52"/>
        <v>1.6914087004362424</v>
      </c>
      <c r="P83" s="16">
        <f t="shared" si="42"/>
        <v>1.6924241549291996</v>
      </c>
      <c r="Q83" s="57" t="s">
        <v>69</v>
      </c>
      <c r="R83" s="58" t="s">
        <v>329</v>
      </c>
      <c r="S83" s="58">
        <v>2637</v>
      </c>
      <c r="T83" s="58">
        <f t="shared" si="53"/>
        <v>1</v>
      </c>
      <c r="U83" s="58"/>
      <c r="V83" s="73">
        <v>164</v>
      </c>
      <c r="W83" s="74">
        <v>5.6872659599999995</v>
      </c>
      <c r="X83" s="75">
        <v>1</v>
      </c>
      <c r="Y83" s="76">
        <v>1.7935E-2</v>
      </c>
      <c r="Z83" s="74">
        <v>5.6872659599999995</v>
      </c>
      <c r="AA83" s="73">
        <v>9839.6523199999992</v>
      </c>
      <c r="AB83" s="77">
        <v>1.7935E-2</v>
      </c>
      <c r="AC83" s="35">
        <f t="shared" si="54"/>
        <v>2.8190145007270706</v>
      </c>
      <c r="AD83" s="15">
        <f t="shared" si="43"/>
        <v>1.8473035101715565</v>
      </c>
      <c r="AE83" s="15">
        <f t="shared" si="40"/>
        <v>2.4134854296620958</v>
      </c>
      <c r="AF83" s="15">
        <f t="shared" si="41"/>
        <v>1.188098708311784</v>
      </c>
      <c r="AG83" s="15">
        <f t="shared" si="44"/>
        <v>2.6486062052747554</v>
      </c>
      <c r="AH83" s="15">
        <f t="shared" si="45"/>
        <v>2.7019541573100629</v>
      </c>
      <c r="AI83" s="15">
        <f t="shared" si="46"/>
        <v>3.638837024242362</v>
      </c>
      <c r="AJ83" s="16">
        <f t="shared" si="47"/>
        <v>4.4132226161561476</v>
      </c>
      <c r="AK83" s="32">
        <f t="shared" si="48"/>
        <v>2.4605273306478126</v>
      </c>
      <c r="AL83" s="15">
        <f t="shared" si="49"/>
        <v>0.32007947560800787</v>
      </c>
      <c r="AM83" s="15">
        <f t="shared" si="50"/>
        <v>0.54933672624096341</v>
      </c>
      <c r="AN83" s="16">
        <f t="shared" si="51"/>
        <v>9.6590651835976996E-2</v>
      </c>
    </row>
    <row r="84" spans="1:40" x14ac:dyDescent="0.45">
      <c r="A84" s="19">
        <v>72</v>
      </c>
      <c r="B84" s="57" t="s">
        <v>69</v>
      </c>
      <c r="C84" s="58" t="s">
        <v>192</v>
      </c>
      <c r="D84" s="59">
        <v>2638</v>
      </c>
      <c r="E84" s="60">
        <v>2.274375</v>
      </c>
      <c r="F84" s="61">
        <v>13.824999999999999</v>
      </c>
      <c r="G84" s="61">
        <v>47</v>
      </c>
      <c r="H84" s="61">
        <v>85</v>
      </c>
      <c r="I84" s="61">
        <v>71.036068</v>
      </c>
      <c r="J84" s="62">
        <v>7.8600960000000004</v>
      </c>
      <c r="K84" s="28">
        <f t="shared" si="38"/>
        <v>47.264397154731668</v>
      </c>
      <c r="L84" s="69">
        <v>67.334992</v>
      </c>
      <c r="M84" s="29">
        <f t="shared" si="39"/>
        <v>82.740488742102769</v>
      </c>
      <c r="N84" s="71">
        <v>79.830658999999997</v>
      </c>
      <c r="O84" s="35">
        <f t="shared" si="52"/>
        <v>2.0095751935288471</v>
      </c>
      <c r="P84" s="16">
        <f t="shared" si="42"/>
        <v>2.0107816625263633</v>
      </c>
      <c r="Q84" s="57" t="s">
        <v>69</v>
      </c>
      <c r="R84" s="58" t="s">
        <v>330</v>
      </c>
      <c r="S84" s="58">
        <v>2638</v>
      </c>
      <c r="T84" s="58">
        <f t="shared" si="53"/>
        <v>1</v>
      </c>
      <c r="U84" s="58"/>
      <c r="V84" s="73">
        <v>70</v>
      </c>
      <c r="W84" s="74">
        <v>6.8067649659999994</v>
      </c>
      <c r="X84" s="75">
        <v>1</v>
      </c>
      <c r="Y84" s="76">
        <v>1E-3</v>
      </c>
      <c r="Z84" s="74">
        <v>6.8067649659999994</v>
      </c>
      <c r="AA84" s="73">
        <v>7078.9921480000003</v>
      </c>
      <c r="AB84" s="77">
        <v>1E-3</v>
      </c>
      <c r="AC84" s="35">
        <f t="shared" si="54"/>
        <v>3.3492919892147452</v>
      </c>
      <c r="AD84" s="15">
        <f t="shared" si="43"/>
        <v>1.0385351018207694</v>
      </c>
      <c r="AE84" s="15">
        <f t="shared" si="40"/>
        <v>4.7880230055972719</v>
      </c>
      <c r="AF84" s="15">
        <f t="shared" si="41"/>
        <v>4.1458750816042524</v>
      </c>
      <c r="AG84" s="15">
        <f t="shared" si="44"/>
        <v>7.78150459909057</v>
      </c>
      <c r="AH84" s="15">
        <f t="shared" si="45"/>
        <v>3.7483823492800563</v>
      </c>
      <c r="AI84" s="15">
        <f t="shared" si="46"/>
        <v>12.906994066545883</v>
      </c>
      <c r="AJ84" s="16">
        <f t="shared" si="47"/>
        <v>4.2282827005409356</v>
      </c>
      <c r="AK84" s="32">
        <f t="shared" si="48"/>
        <v>2.5668006160555454</v>
      </c>
      <c r="AL84" s="15">
        <f t="shared" si="49"/>
        <v>4.9088590602961023E-2</v>
      </c>
      <c r="AM84" s="15">
        <f t="shared" si="50"/>
        <v>2.99280680010992</v>
      </c>
      <c r="AN84" s="16">
        <f t="shared" si="51"/>
        <v>0.43968123110744711</v>
      </c>
    </row>
    <row r="85" spans="1:40" x14ac:dyDescent="0.45">
      <c r="A85" s="19">
        <v>73</v>
      </c>
      <c r="B85" s="57" t="s">
        <v>69</v>
      </c>
      <c r="C85" s="58" t="s">
        <v>193</v>
      </c>
      <c r="D85" s="59">
        <v>2639</v>
      </c>
      <c r="E85" s="60">
        <v>13.0115625</v>
      </c>
      <c r="F85" s="61">
        <v>46.375</v>
      </c>
      <c r="G85" s="61">
        <v>54</v>
      </c>
      <c r="H85" s="61">
        <v>98</v>
      </c>
      <c r="I85" s="61">
        <v>74.535521000000003</v>
      </c>
      <c r="J85" s="62">
        <v>8.1720749999999995</v>
      </c>
      <c r="K85" s="28">
        <f t="shared" si="38"/>
        <v>47.875354171992406</v>
      </c>
      <c r="L85" s="69">
        <v>67.871486000000004</v>
      </c>
      <c r="M85" s="29">
        <f t="shared" si="39"/>
        <v>83.087512327284244</v>
      </c>
      <c r="N85" s="71">
        <v>79.579784000000004</v>
      </c>
      <c r="O85" s="35">
        <f t="shared" si="52"/>
        <v>3.6573147559522168</v>
      </c>
      <c r="P85" s="16">
        <f t="shared" si="42"/>
        <v>3.6595104622295547</v>
      </c>
      <c r="Q85" s="57" t="s">
        <v>69</v>
      </c>
      <c r="R85" s="58" t="s">
        <v>331</v>
      </c>
      <c r="S85" s="58">
        <v>2639</v>
      </c>
      <c r="T85" s="58">
        <f t="shared" si="53"/>
        <v>1</v>
      </c>
      <c r="U85" s="58"/>
      <c r="V85" s="73">
        <v>72</v>
      </c>
      <c r="W85" s="74">
        <v>11.095762979</v>
      </c>
      <c r="X85" s="75">
        <v>1</v>
      </c>
      <c r="Y85" s="76">
        <v>7.2099999999999996E-4</v>
      </c>
      <c r="Z85" s="74">
        <v>11.095762979</v>
      </c>
      <c r="AA85" s="73">
        <v>15606.696416999999</v>
      </c>
      <c r="AB85" s="77">
        <v>7.2099999999999996E-4</v>
      </c>
      <c r="AC85" s="35">
        <f t="shared" si="54"/>
        <v>6.0955245932536952</v>
      </c>
      <c r="AD85" s="15">
        <f t="shared" si="43"/>
        <v>2.0149245301713457</v>
      </c>
      <c r="AE85" s="15">
        <f t="shared" si="40"/>
        <v>7.3864030928925306</v>
      </c>
      <c r="AF85" s="15">
        <f t="shared" si="41"/>
        <v>6.8504290994606487</v>
      </c>
      <c r="AG85" s="15">
        <f t="shared" si="44"/>
        <v>13.731125270278506</v>
      </c>
      <c r="AH85" s="15">
        <f t="shared" si="45"/>
        <v>6.9318120661773071</v>
      </c>
      <c r="AI85" s="15">
        <f t="shared" si="46"/>
        <v>21.782494677735475</v>
      </c>
      <c r="AJ85" s="16">
        <f t="shared" si="47"/>
        <v>13.10582504789026</v>
      </c>
      <c r="AK85" s="32">
        <f t="shared" si="48"/>
        <v>3.599790511419934</v>
      </c>
      <c r="AL85" s="15">
        <f t="shared" si="49"/>
        <v>0.10568542789770907</v>
      </c>
      <c r="AM85" s="15">
        <f t="shared" si="50"/>
        <v>0.85276176316257168</v>
      </c>
      <c r="AN85" s="16">
        <f t="shared" si="51"/>
        <v>7.6854720561039452E-2</v>
      </c>
    </row>
    <row r="86" spans="1:40" x14ac:dyDescent="0.45">
      <c r="A86" s="19">
        <v>74</v>
      </c>
      <c r="B86" s="57" t="s">
        <v>69</v>
      </c>
      <c r="C86" s="58" t="s">
        <v>194</v>
      </c>
      <c r="D86" s="59">
        <v>2641</v>
      </c>
      <c r="E86" s="60">
        <v>10.79296875</v>
      </c>
      <c r="F86" s="61">
        <v>24.15</v>
      </c>
      <c r="G86" s="61">
        <v>39</v>
      </c>
      <c r="H86" s="61">
        <v>89</v>
      </c>
      <c r="I86" s="61">
        <v>62.759667</v>
      </c>
      <c r="J86" s="62">
        <v>6.1053860000000002</v>
      </c>
      <c r="K86" s="28">
        <f t="shared" si="38"/>
        <v>38.817360546499422</v>
      </c>
      <c r="L86" s="69">
        <v>59.336970000000001</v>
      </c>
      <c r="M86" s="29">
        <f t="shared" si="39"/>
        <v>77.239480477491767</v>
      </c>
      <c r="N86" s="71">
        <v>81.531037999999995</v>
      </c>
      <c r="O86" s="35">
        <f t="shared" si="52"/>
        <v>2.4601606508722775</v>
      </c>
      <c r="P86" s="16">
        <f t="shared" si="42"/>
        <v>2.4616376334523489</v>
      </c>
      <c r="Q86" s="57" t="s">
        <v>69</v>
      </c>
      <c r="R86" s="58" t="s">
        <v>332</v>
      </c>
      <c r="S86" s="58">
        <v>2641</v>
      </c>
      <c r="T86" s="58">
        <f t="shared" si="53"/>
        <v>1</v>
      </c>
      <c r="U86" s="58"/>
      <c r="V86" s="73">
        <v>50</v>
      </c>
      <c r="W86" s="74">
        <v>2.8242325019999996</v>
      </c>
      <c r="X86" s="75">
        <v>1</v>
      </c>
      <c r="Y86" s="76">
        <v>1E-3</v>
      </c>
      <c r="Z86" s="74">
        <v>2.8242325019999996</v>
      </c>
      <c r="AA86" s="73">
        <v>6017.3674209999999</v>
      </c>
      <c r="AB86" s="77">
        <v>1E-3</v>
      </c>
      <c r="AC86" s="35">
        <f t="shared" si="54"/>
        <v>4.1002677514537957</v>
      </c>
      <c r="AD86" s="15">
        <f t="shared" si="43"/>
        <v>1.8767530992598702</v>
      </c>
      <c r="AE86" s="15">
        <f t="shared" si="40"/>
        <v>2.4536103457892864</v>
      </c>
      <c r="AF86" s="15">
        <f t="shared" si="41"/>
        <v>2.1059360305013066</v>
      </c>
      <c r="AG86" s="15">
        <f t="shared" si="44"/>
        <v>12.924516705938872</v>
      </c>
      <c r="AH86" s="15">
        <f t="shared" si="45"/>
        <v>6.7656632693715828</v>
      </c>
      <c r="AI86" s="15">
        <f t="shared" si="46"/>
        <v>6.3185326687510059</v>
      </c>
      <c r="AJ86" s="16">
        <f t="shared" si="47"/>
        <v>10.646267456576592</v>
      </c>
      <c r="AK86" s="32">
        <f t="shared" si="48"/>
        <v>2.0582811968586849</v>
      </c>
      <c r="AL86" s="15">
        <f t="shared" si="49"/>
        <v>1.3531315684609095</v>
      </c>
      <c r="AM86" s="15">
        <f t="shared" si="50"/>
        <v>0.26167336971118349</v>
      </c>
      <c r="AN86" s="16">
        <f t="shared" si="51"/>
        <v>9.2652913499819037E-2</v>
      </c>
    </row>
    <row r="87" spans="1:40" x14ac:dyDescent="0.45">
      <c r="A87" s="19">
        <v>75</v>
      </c>
      <c r="B87" s="57" t="s">
        <v>69</v>
      </c>
      <c r="C87" s="58" t="s">
        <v>195</v>
      </c>
      <c r="D87" s="59">
        <v>2642</v>
      </c>
      <c r="E87" s="60">
        <v>0.29531249999999998</v>
      </c>
      <c r="F87" s="61">
        <v>3.4249999999999998</v>
      </c>
      <c r="G87" s="61">
        <v>129</v>
      </c>
      <c r="H87" s="61">
        <v>149</v>
      </c>
      <c r="I87" s="61">
        <v>137.71481499999999</v>
      </c>
      <c r="J87" s="62">
        <v>7.6345780000000003</v>
      </c>
      <c r="K87" s="28">
        <f t="shared" si="38"/>
        <v>34.373886379370468</v>
      </c>
      <c r="L87" s="69">
        <v>54.642404999999997</v>
      </c>
      <c r="M87" s="29">
        <f t="shared" si="39"/>
        <v>73.695518424738722</v>
      </c>
      <c r="N87" s="71">
        <v>73.816582999999994</v>
      </c>
      <c r="O87" s="35">
        <f t="shared" si="52"/>
        <v>0.63598930399561626</v>
      </c>
      <c r="P87" s="16">
        <f t="shared" si="42"/>
        <v>0.63637112667161899</v>
      </c>
      <c r="Q87" s="57" t="s">
        <v>69</v>
      </c>
      <c r="R87" s="58" t="s">
        <v>333</v>
      </c>
      <c r="S87" s="58">
        <v>2642</v>
      </c>
      <c r="T87" s="58">
        <f t="shared" si="53"/>
        <v>1</v>
      </c>
      <c r="U87" s="58"/>
      <c r="V87" s="73">
        <v>134</v>
      </c>
      <c r="W87" s="74">
        <v>0.72640872999999995</v>
      </c>
      <c r="X87" s="75">
        <v>1</v>
      </c>
      <c r="Y87" s="76">
        <v>4.13E-3</v>
      </c>
      <c r="Z87" s="74">
        <v>0.72640872999999995</v>
      </c>
      <c r="AA87" s="73">
        <v>1099.9684339999999</v>
      </c>
      <c r="AB87" s="77">
        <v>4.13E-3</v>
      </c>
      <c r="AC87" s="35">
        <f t="shared" si="54"/>
        <v>1.0599821733260271</v>
      </c>
      <c r="AD87" s="15">
        <f t="shared" si="43"/>
        <v>0.47810214015086633</v>
      </c>
      <c r="AE87" s="15">
        <f t="shared" si="40"/>
        <v>0.66771071663198778</v>
      </c>
      <c r="AF87" s="15">
        <f t="shared" si="41"/>
        <v>0.42876613208448866</v>
      </c>
      <c r="AG87" s="15">
        <f t="shared" si="44"/>
        <v>2.3549057811917802</v>
      </c>
      <c r="AH87" s="15">
        <f t="shared" si="45"/>
        <v>1.5862393581563279</v>
      </c>
      <c r="AI87" s="15">
        <f t="shared" si="46"/>
        <v>1.2707064024136132</v>
      </c>
      <c r="AJ87" s="16">
        <f t="shared" si="47"/>
        <v>0.82754713986127137</v>
      </c>
      <c r="AK87" s="32">
        <f t="shared" si="48"/>
        <v>1.764727657091514</v>
      </c>
      <c r="AL87" s="15">
        <f t="shared" si="49"/>
        <v>0.55965413949099929</v>
      </c>
      <c r="AM87" s="15">
        <f t="shared" si="50"/>
        <v>2.4597967576719575</v>
      </c>
      <c r="AN87" s="16">
        <f t="shared" si="51"/>
        <v>3.3862433862433865</v>
      </c>
    </row>
    <row r="88" spans="1:40" x14ac:dyDescent="0.45">
      <c r="A88" s="19">
        <v>76</v>
      </c>
      <c r="B88" s="57" t="s">
        <v>69</v>
      </c>
      <c r="C88" s="58" t="s">
        <v>196</v>
      </c>
      <c r="D88" s="59">
        <v>2644</v>
      </c>
      <c r="E88" s="60">
        <v>4.7009375000000002</v>
      </c>
      <c r="F88" s="61">
        <v>13.625</v>
      </c>
      <c r="G88" s="61">
        <v>690</v>
      </c>
      <c r="H88" s="61">
        <v>1847</v>
      </c>
      <c r="I88" s="61">
        <v>1154.296118</v>
      </c>
      <c r="J88" s="62">
        <v>49.525429000000003</v>
      </c>
      <c r="K88" s="28">
        <f t="shared" si="38"/>
        <v>62.058130400628443</v>
      </c>
      <c r="L88" s="69">
        <v>79</v>
      </c>
      <c r="M88" s="29">
        <f t="shared" si="39"/>
        <v>89.742133363626024</v>
      </c>
      <c r="N88" s="71">
        <v>79.134733999999995</v>
      </c>
      <c r="O88" s="35">
        <f t="shared" si="52"/>
        <v>0.42637498055701106</v>
      </c>
      <c r="P88" s="16">
        <f t="shared" si="42"/>
        <v>0.42663095913249055</v>
      </c>
      <c r="Q88" s="57" t="s">
        <v>69</v>
      </c>
      <c r="R88" s="58" t="s">
        <v>334</v>
      </c>
      <c r="S88" s="58">
        <v>2644</v>
      </c>
      <c r="T88" s="58">
        <f t="shared" si="53"/>
        <v>1</v>
      </c>
      <c r="U88" s="58"/>
      <c r="V88" s="73">
        <v>737</v>
      </c>
      <c r="W88" s="74">
        <v>0.92060290299999992</v>
      </c>
      <c r="X88" s="75">
        <v>1</v>
      </c>
      <c r="Y88" s="76">
        <v>0.120573</v>
      </c>
      <c r="Z88" s="74">
        <v>0.92060290299999992</v>
      </c>
      <c r="AA88" s="73">
        <v>4857.6718049999999</v>
      </c>
      <c r="AB88" s="77">
        <v>0.120573</v>
      </c>
      <c r="AC88" s="35">
        <f t="shared" si="54"/>
        <v>0.71062496759501848</v>
      </c>
      <c r="AD88" s="15">
        <f t="shared" si="43"/>
        <v>1.3684965081746765</v>
      </c>
      <c r="AE88" s="15">
        <f t="shared" si="40"/>
        <v>0.42109367720716068</v>
      </c>
      <c r="AF88" s="15">
        <f t="shared" si="41"/>
        <v>0.14038032940898959</v>
      </c>
      <c r="AG88" s="15">
        <f t="shared" si="44"/>
        <v>1.1927193340877189</v>
      </c>
      <c r="AH88" s="15">
        <f t="shared" si="45"/>
        <v>1.4327569176548149</v>
      </c>
      <c r="AI88" s="15">
        <f t="shared" si="46"/>
        <v>0.3847083702701185</v>
      </c>
      <c r="AJ88" s="16">
        <f t="shared" si="47"/>
        <v>1.5705781716168075</v>
      </c>
      <c r="AK88" s="32">
        <f t="shared" si="48"/>
        <v>1.7595528007513506</v>
      </c>
      <c r="AL88" s="15">
        <f t="shared" si="49"/>
        <v>5.5467653906491696</v>
      </c>
      <c r="AM88" s="15">
        <f t="shared" si="50"/>
        <v>0.19583389547297744</v>
      </c>
      <c r="AN88" s="16">
        <f t="shared" si="51"/>
        <v>0.21272352589244165</v>
      </c>
    </row>
    <row r="89" spans="1:40" x14ac:dyDescent="0.45">
      <c r="A89" s="19">
        <v>77</v>
      </c>
      <c r="B89" s="57" t="s">
        <v>69</v>
      </c>
      <c r="C89" s="58" t="s">
        <v>197</v>
      </c>
      <c r="D89" s="59">
        <v>2645</v>
      </c>
      <c r="E89" s="60">
        <v>4.8021874999999996</v>
      </c>
      <c r="F89" s="61">
        <v>19.149999999999999</v>
      </c>
      <c r="G89" s="61">
        <v>122</v>
      </c>
      <c r="H89" s="61">
        <v>205</v>
      </c>
      <c r="I89" s="61">
        <v>154.872454</v>
      </c>
      <c r="J89" s="62">
        <v>7.5329370000000004</v>
      </c>
      <c r="K89" s="28">
        <f t="shared" si="38"/>
        <v>24.220769206644668</v>
      </c>
      <c r="L89" s="69">
        <v>42.367511</v>
      </c>
      <c r="M89" s="29">
        <f t="shared" si="39"/>
        <v>63.094323587765821</v>
      </c>
      <c r="N89" s="71">
        <v>75.367992999999998</v>
      </c>
      <c r="O89" s="35">
        <f t="shared" si="52"/>
        <v>3.7672602257816248</v>
      </c>
      <c r="P89" s="16">
        <f t="shared" si="42"/>
        <v>3.7695219389449921</v>
      </c>
      <c r="Q89" s="57" t="s">
        <v>69</v>
      </c>
      <c r="R89" s="58" t="s">
        <v>335</v>
      </c>
      <c r="S89" s="58">
        <v>2645</v>
      </c>
      <c r="T89" s="58">
        <f t="shared" si="53"/>
        <v>1</v>
      </c>
      <c r="U89" s="58"/>
      <c r="V89" s="73">
        <v>125</v>
      </c>
      <c r="W89" s="74">
        <v>0.96586940799999998</v>
      </c>
      <c r="X89" s="75">
        <v>1</v>
      </c>
      <c r="Y89" s="76">
        <v>1E-3</v>
      </c>
      <c r="Z89" s="74">
        <v>0.96586940799999998</v>
      </c>
      <c r="AA89" s="73">
        <v>6792.5198369999998</v>
      </c>
      <c r="AB89" s="77">
        <v>1E-3</v>
      </c>
      <c r="AC89" s="35">
        <f t="shared" si="54"/>
        <v>6.2787670429693749</v>
      </c>
      <c r="AD89" s="15">
        <f t="shared" si="43"/>
        <v>1.3796230928477056</v>
      </c>
      <c r="AE89" s="15">
        <f t="shared" si="40"/>
        <v>1.0855735344621404</v>
      </c>
      <c r="AF89" s="15">
        <f t="shared" si="41"/>
        <v>0.92180488952602246</v>
      </c>
      <c r="AG89" s="15">
        <f t="shared" si="44"/>
        <v>12.99066867703751</v>
      </c>
      <c r="AH89" s="15">
        <f t="shared" si="45"/>
        <v>5.7642335281312143</v>
      </c>
      <c r="AI89" s="15">
        <f t="shared" si="46"/>
        <v>2.7854708449955607</v>
      </c>
      <c r="AJ89" s="16">
        <f t="shared" si="47"/>
        <v>6.5862498398053493</v>
      </c>
      <c r="AK89" s="32">
        <f t="shared" si="48"/>
        <v>2.4468494742914952</v>
      </c>
      <c r="AL89" s="15">
        <f t="shared" si="49"/>
        <v>5.1475703563877451</v>
      </c>
      <c r="AM89" s="15">
        <f t="shared" si="50"/>
        <v>0.20113113201015165</v>
      </c>
      <c r="AN89" s="16">
        <f t="shared" si="51"/>
        <v>0.20823843300579165</v>
      </c>
    </row>
    <row r="90" spans="1:40" x14ac:dyDescent="0.45">
      <c r="A90" s="19">
        <v>78</v>
      </c>
      <c r="B90" s="57" t="s">
        <v>69</v>
      </c>
      <c r="C90" s="58" t="s">
        <v>198</v>
      </c>
      <c r="D90" s="59">
        <v>2646</v>
      </c>
      <c r="E90" s="60">
        <v>3.2187500000000001E-2</v>
      </c>
      <c r="F90" s="61">
        <v>0.875</v>
      </c>
      <c r="G90" s="61">
        <v>123</v>
      </c>
      <c r="H90" s="61">
        <v>133</v>
      </c>
      <c r="I90" s="61">
        <v>127.378641</v>
      </c>
      <c r="J90" s="62">
        <v>7.5215329999999998</v>
      </c>
      <c r="K90" s="28">
        <f t="shared" si="38"/>
        <v>58.523306648246702</v>
      </c>
      <c r="L90" s="69">
        <v>76.444444000000004</v>
      </c>
      <c r="M90" s="29">
        <f t="shared" si="39"/>
        <v>88.3002204955651</v>
      </c>
      <c r="N90" s="71">
        <v>74.540339000000003</v>
      </c>
      <c r="O90" s="35">
        <f t="shared" si="52"/>
        <v>0.11630916329188012</v>
      </c>
      <c r="P90" s="16">
        <f t="shared" si="42"/>
        <v>0.11637899068629191</v>
      </c>
      <c r="Q90" s="57" t="s">
        <v>69</v>
      </c>
      <c r="R90" s="58" t="s">
        <v>336</v>
      </c>
      <c r="S90" s="58">
        <v>2646</v>
      </c>
      <c r="T90" s="58">
        <f t="shared" si="53"/>
        <v>1</v>
      </c>
      <c r="U90" s="58"/>
      <c r="V90" s="73">
        <v>124</v>
      </c>
      <c r="W90" s="74">
        <v>0.21642135600000001</v>
      </c>
      <c r="X90" s="75">
        <v>1</v>
      </c>
      <c r="Y90" s="76">
        <v>1E-3</v>
      </c>
      <c r="Z90" s="74">
        <v>0.21642135600000001</v>
      </c>
      <c r="AA90" s="61">
        <v>267.937861</v>
      </c>
      <c r="AB90" s="77">
        <v>1E-3</v>
      </c>
      <c r="AC90" s="35">
        <f t="shared" si="54"/>
        <v>0.19384860548646687</v>
      </c>
      <c r="AD90" s="15">
        <f t="shared" si="43"/>
        <v>0.20593717263612887</v>
      </c>
      <c r="AE90" s="15">
        <f t="shared" si="40"/>
        <v>0.34829668519261203</v>
      </c>
      <c r="AF90" s="15">
        <f t="shared" si="41"/>
        <v>0.29136200609806095</v>
      </c>
      <c r="AG90" s="15">
        <f t="shared" si="44"/>
        <v>2.8003249220871984</v>
      </c>
      <c r="AH90" s="15">
        <f t="shared" si="45"/>
        <v>1.3080837997674786</v>
      </c>
      <c r="AI90" s="15">
        <f t="shared" si="46"/>
        <v>0.8464509036080976</v>
      </c>
      <c r="AJ90" s="16">
        <f t="shared" si="47"/>
        <v>0.33853481958251319</v>
      </c>
      <c r="AK90" s="32">
        <f t="shared" si="48"/>
        <v>1.3655967080115707</v>
      </c>
      <c r="AL90" s="15">
        <f t="shared" si="49"/>
        <v>0.68720612042361429</v>
      </c>
      <c r="AM90" s="15">
        <f t="shared" si="50"/>
        <v>6.7237702834951456</v>
      </c>
      <c r="AN90" s="16">
        <f t="shared" si="51"/>
        <v>31.067961165048544</v>
      </c>
    </row>
    <row r="91" spans="1:40" x14ac:dyDescent="0.45">
      <c r="A91" s="19">
        <v>79</v>
      </c>
      <c r="B91" s="57" t="s">
        <v>69</v>
      </c>
      <c r="C91" s="58" t="s">
        <v>199</v>
      </c>
      <c r="D91" s="59">
        <v>2647</v>
      </c>
      <c r="E91" s="60">
        <v>1.55640625</v>
      </c>
      <c r="F91" s="61">
        <v>9</v>
      </c>
      <c r="G91" s="61">
        <v>117</v>
      </c>
      <c r="H91" s="61">
        <v>186</v>
      </c>
      <c r="I91" s="61">
        <v>137.23521700000001</v>
      </c>
      <c r="J91" s="62">
        <v>9.1624999999999996</v>
      </c>
      <c r="K91" s="28">
        <f t="shared" si="38"/>
        <v>38.099431601571254</v>
      </c>
      <c r="L91" s="69">
        <v>58.60304</v>
      </c>
      <c r="M91" s="29">
        <f t="shared" si="39"/>
        <v>76.701802192575599</v>
      </c>
      <c r="N91" s="71">
        <v>74.260436999999996</v>
      </c>
      <c r="O91" s="35">
        <f t="shared" si="52"/>
        <v>1.1877375282697202</v>
      </c>
      <c r="P91" s="16">
        <f t="shared" si="42"/>
        <v>1.1884505986288976</v>
      </c>
      <c r="Q91" s="57" t="s">
        <v>69</v>
      </c>
      <c r="R91" s="58" t="s">
        <v>337</v>
      </c>
      <c r="S91" s="58">
        <v>2647</v>
      </c>
      <c r="T91" s="58">
        <f t="shared" si="53"/>
        <v>1</v>
      </c>
      <c r="U91" s="58"/>
      <c r="V91" s="73">
        <v>128</v>
      </c>
      <c r="W91" s="74">
        <v>1.2751524159999998</v>
      </c>
      <c r="X91" s="75">
        <v>1</v>
      </c>
      <c r="Y91" s="76">
        <v>5.4900000000000001E-3</v>
      </c>
      <c r="Z91" s="74">
        <v>1.2751524159999998</v>
      </c>
      <c r="AA91" s="61">
        <v>3049.3849190000001</v>
      </c>
      <c r="AB91" s="77">
        <v>5.4900000000000001E-3</v>
      </c>
      <c r="AC91" s="35">
        <f t="shared" si="54"/>
        <v>1.9795625471162004</v>
      </c>
      <c r="AD91" s="15">
        <f t="shared" si="43"/>
        <v>0.8991255094946029</v>
      </c>
      <c r="AE91" s="15">
        <f t="shared" si="40"/>
        <v>0.97012948406747035</v>
      </c>
      <c r="AF91" s="15">
        <f t="shared" si="41"/>
        <v>0.59265137175856009</v>
      </c>
      <c r="AG91" s="15">
        <f t="shared" si="44"/>
        <v>3.2609803875977654</v>
      </c>
      <c r="AH91" s="15">
        <f t="shared" si="45"/>
        <v>2.374958611812287</v>
      </c>
      <c r="AI91" s="15">
        <f t="shared" si="46"/>
        <v>1.7733699869557031</v>
      </c>
      <c r="AJ91" s="16">
        <f t="shared" si="47"/>
        <v>2.0379359279835256</v>
      </c>
      <c r="AK91" s="32">
        <f t="shared" si="48"/>
        <v>2.0199427362589479</v>
      </c>
      <c r="AL91" s="15">
        <f t="shared" si="49"/>
        <v>0.95719136024852469</v>
      </c>
      <c r="AM91" s="15">
        <f t="shared" si="50"/>
        <v>0.81929278811364314</v>
      </c>
      <c r="AN91" s="16">
        <f t="shared" si="51"/>
        <v>0.64250577251279994</v>
      </c>
    </row>
    <row r="92" spans="1:40" x14ac:dyDescent="0.45">
      <c r="A92" s="19">
        <v>80</v>
      </c>
      <c r="B92" s="57" t="s">
        <v>69</v>
      </c>
      <c r="C92" s="58" t="s">
        <v>200</v>
      </c>
      <c r="D92" s="59">
        <v>2648</v>
      </c>
      <c r="E92" s="60">
        <v>5.1801562499999996</v>
      </c>
      <c r="F92" s="61">
        <v>15.45</v>
      </c>
      <c r="G92" s="61">
        <v>47</v>
      </c>
      <c r="H92" s="61">
        <v>89</v>
      </c>
      <c r="I92" s="61">
        <v>59.902602999999999</v>
      </c>
      <c r="J92" s="62">
        <v>6.5240299999999998</v>
      </c>
      <c r="K92" s="28">
        <f t="shared" si="38"/>
        <v>39.283524645140623</v>
      </c>
      <c r="L92" s="69">
        <v>59.808667999999997</v>
      </c>
      <c r="M92" s="29">
        <f t="shared" si="39"/>
        <v>77.581966714087343</v>
      </c>
      <c r="N92" s="71">
        <v>82.524592999999996</v>
      </c>
      <c r="O92" s="35">
        <f t="shared" si="52"/>
        <v>1.9233638744862049</v>
      </c>
      <c r="P92" s="16">
        <f t="shared" si="42"/>
        <v>1.9245185856375875</v>
      </c>
      <c r="Q92" s="57" t="s">
        <v>69</v>
      </c>
      <c r="R92" s="58" t="s">
        <v>338</v>
      </c>
      <c r="S92" s="58">
        <v>2648</v>
      </c>
      <c r="T92" s="58">
        <f t="shared" si="53"/>
        <v>1</v>
      </c>
      <c r="U92" s="58"/>
      <c r="V92" s="73">
        <v>53</v>
      </c>
      <c r="W92" s="74">
        <v>0.139904852</v>
      </c>
      <c r="X92" s="75">
        <v>1</v>
      </c>
      <c r="Y92" s="76">
        <v>1E-3</v>
      </c>
      <c r="Z92" s="74">
        <v>0.139904852</v>
      </c>
      <c r="AA92" s="61">
        <v>4680.2353869999997</v>
      </c>
      <c r="AB92" s="77">
        <v>1E-3</v>
      </c>
      <c r="AC92" s="35">
        <f t="shared" si="54"/>
        <v>3.2056064574770082</v>
      </c>
      <c r="AD92" s="15">
        <f t="shared" si="43"/>
        <v>1.4199200083289023</v>
      </c>
      <c r="AE92" s="15">
        <f t="shared" si="40"/>
        <v>0.25000814904362534</v>
      </c>
      <c r="AF92" s="15">
        <f t="shared" si="41"/>
        <v>0.20822988960513972</v>
      </c>
      <c r="AG92" s="15">
        <f t="shared" si="44"/>
        <v>31.123745833201482</v>
      </c>
      <c r="AH92" s="15">
        <f t="shared" si="45"/>
        <v>7.1119305305362532</v>
      </c>
      <c r="AI92" s="15">
        <f t="shared" si="46"/>
        <v>0.56745560387970506</v>
      </c>
      <c r="AJ92" s="16">
        <f t="shared" si="47"/>
        <v>6.8889038430183627</v>
      </c>
      <c r="AK92" s="32">
        <f t="shared" si="48"/>
        <v>1.9007066110293698</v>
      </c>
      <c r="AL92" s="15">
        <f t="shared" si="49"/>
        <v>264.65329586524251</v>
      </c>
      <c r="AM92" s="15">
        <f t="shared" si="50"/>
        <v>2.7007844020149007E-2</v>
      </c>
      <c r="AN92" s="16">
        <f t="shared" si="51"/>
        <v>0.19304437004192684</v>
      </c>
    </row>
    <row r="93" spans="1:40" x14ac:dyDescent="0.45">
      <c r="A93" s="19">
        <v>81</v>
      </c>
      <c r="B93" s="57" t="s">
        <v>69</v>
      </c>
      <c r="C93" s="58" t="s">
        <v>201</v>
      </c>
      <c r="D93" s="59">
        <v>2649</v>
      </c>
      <c r="E93" s="60">
        <v>12.831250000000001</v>
      </c>
      <c r="F93" s="61">
        <v>21.125</v>
      </c>
      <c r="G93" s="61">
        <v>691</v>
      </c>
      <c r="H93" s="61">
        <v>2211</v>
      </c>
      <c r="I93" s="61">
        <v>1464.6713219999999</v>
      </c>
      <c r="J93" s="62">
        <v>56.722400999999998</v>
      </c>
      <c r="K93" s="28">
        <f t="shared" si="38"/>
        <v>61.985604246780667</v>
      </c>
      <c r="L93" s="69">
        <v>78.948873000000006</v>
      </c>
      <c r="M93" s="29">
        <f t="shared" si="39"/>
        <v>89.713754097583504</v>
      </c>
      <c r="N93" s="71">
        <v>78.473395999999994</v>
      </c>
      <c r="O93" s="35">
        <f t="shared" si="52"/>
        <v>0.51528817418273332</v>
      </c>
      <c r="P93" s="16">
        <f t="shared" si="42"/>
        <v>0.51559753270235464</v>
      </c>
      <c r="Q93" s="57" t="s">
        <v>69</v>
      </c>
      <c r="R93" s="58" t="s">
        <v>339</v>
      </c>
      <c r="S93" s="58">
        <v>2649</v>
      </c>
      <c r="T93" s="58">
        <f t="shared" si="53"/>
        <v>1</v>
      </c>
      <c r="U93" s="58"/>
      <c r="V93" s="73">
        <v>917</v>
      </c>
      <c r="W93" s="74">
        <v>3.543915492</v>
      </c>
      <c r="X93" s="75">
        <v>1</v>
      </c>
      <c r="Y93" s="76">
        <v>0.12274599999999999</v>
      </c>
      <c r="Z93" s="74">
        <v>3.543915492</v>
      </c>
      <c r="AA93" s="61">
        <v>6686.9742020000003</v>
      </c>
      <c r="AB93" s="77">
        <v>0.12274599999999999</v>
      </c>
      <c r="AC93" s="35">
        <f t="shared" si="54"/>
        <v>0.85881362363788882</v>
      </c>
      <c r="AD93" s="15">
        <f t="shared" si="43"/>
        <v>2.0042680323898332</v>
      </c>
      <c r="AE93" s="15">
        <f t="shared" si="40"/>
        <v>1.1690072644865273</v>
      </c>
      <c r="AF93" s="15">
        <f t="shared" si="41"/>
        <v>0.39362818431043695</v>
      </c>
      <c r="AG93" s="15">
        <f t="shared" si="44"/>
        <v>1.1772474052974728</v>
      </c>
      <c r="AH93" s="15">
        <f t="shared" si="45"/>
        <v>1.7356050447603077</v>
      </c>
      <c r="AI93" s="15">
        <f t="shared" si="46"/>
        <v>1.1276644420817312</v>
      </c>
      <c r="AJ93" s="16">
        <f t="shared" si="47"/>
        <v>2.8337245029757323</v>
      </c>
      <c r="AK93" s="32">
        <f t="shared" si="48"/>
        <v>1.651278269119191</v>
      </c>
      <c r="AL93" s="15">
        <f t="shared" si="49"/>
        <v>1.0216502658738928</v>
      </c>
      <c r="AM93" s="15">
        <f t="shared" si="50"/>
        <v>0.27619409582075011</v>
      </c>
      <c r="AN93" s="16">
        <f t="shared" si="51"/>
        <v>7.793472966390648E-2</v>
      </c>
    </row>
    <row r="94" spans="1:40" x14ac:dyDescent="0.45">
      <c r="A94" s="19">
        <v>82</v>
      </c>
      <c r="B94" s="57" t="s">
        <v>69</v>
      </c>
      <c r="C94" s="58" t="s">
        <v>202</v>
      </c>
      <c r="D94" s="59">
        <v>2650</v>
      </c>
      <c r="E94" s="60">
        <v>10.231875</v>
      </c>
      <c r="F94" s="61">
        <v>29.5</v>
      </c>
      <c r="G94" s="61">
        <v>34</v>
      </c>
      <c r="H94" s="61">
        <v>66</v>
      </c>
      <c r="I94" s="61">
        <v>49.034267999999997</v>
      </c>
      <c r="J94" s="62">
        <v>5.6420849999999998</v>
      </c>
      <c r="K94" s="28">
        <f t="shared" si="38"/>
        <v>42.457346407384698</v>
      </c>
      <c r="L94" s="69">
        <v>62.922246000000001</v>
      </c>
      <c r="M94" s="29">
        <f t="shared" si="39"/>
        <v>79.784065545970137</v>
      </c>
      <c r="N94" s="71">
        <v>88.017101999999994</v>
      </c>
      <c r="O94" s="35">
        <f t="shared" si="52"/>
        <v>3.5812666274297706</v>
      </c>
      <c r="P94" s="16">
        <f t="shared" si="42"/>
        <v>3.5834166774362326</v>
      </c>
      <c r="Q94" s="57" t="s">
        <v>69</v>
      </c>
      <c r="R94" s="58" t="s">
        <v>340</v>
      </c>
      <c r="S94" s="58">
        <v>2650</v>
      </c>
      <c r="T94" s="58">
        <f t="shared" si="53"/>
        <v>1</v>
      </c>
      <c r="U94" s="58"/>
      <c r="V94" s="73">
        <v>52</v>
      </c>
      <c r="W94" s="74">
        <v>9.3197222150000005</v>
      </c>
      <c r="X94" s="75">
        <v>1</v>
      </c>
      <c r="Y94" s="76">
        <v>4.2900000000000002E-4</v>
      </c>
      <c r="Z94" s="74">
        <v>9.3197222150000005</v>
      </c>
      <c r="AA94" s="61">
        <v>10265.769292000001</v>
      </c>
      <c r="AB94" s="77">
        <v>4.2900000000000002E-4</v>
      </c>
      <c r="AC94" s="35">
        <f t="shared" si="54"/>
        <v>5.9687777123829511</v>
      </c>
      <c r="AD94" s="15">
        <f t="shared" si="43"/>
        <v>1.8390628779085116</v>
      </c>
      <c r="AE94" s="15">
        <f t="shared" si="40"/>
        <v>7.1400396714943808</v>
      </c>
      <c r="AF94" s="15">
        <f t="shared" si="41"/>
        <v>7.3146922501729374</v>
      </c>
      <c r="AG94" s="15">
        <f t="shared" si="44"/>
        <v>16.736736783662508</v>
      </c>
      <c r="AH94" s="15">
        <f t="shared" si="45"/>
        <v>7.5785508976235745</v>
      </c>
      <c r="AI94" s="15">
        <f t="shared" si="46"/>
        <v>22.172429799815866</v>
      </c>
      <c r="AJ94" s="16">
        <f t="shared" si="47"/>
        <v>13.256371575333912</v>
      </c>
      <c r="AK94" s="32">
        <f t="shared" si="48"/>
        <v>2.5822746652922031</v>
      </c>
      <c r="AL94" s="15">
        <f t="shared" si="49"/>
        <v>0.11780108487225807</v>
      </c>
      <c r="AM94" s="15">
        <f t="shared" si="50"/>
        <v>0.91085184435892741</v>
      </c>
      <c r="AN94" s="16">
        <f t="shared" si="51"/>
        <v>9.773379756887178E-2</v>
      </c>
    </row>
    <row r="95" spans="1:40" x14ac:dyDescent="0.45">
      <c r="A95" s="19">
        <v>83</v>
      </c>
      <c r="B95" s="57" t="s">
        <v>69</v>
      </c>
      <c r="C95" s="58" t="s">
        <v>203</v>
      </c>
      <c r="D95" s="59">
        <v>2651</v>
      </c>
      <c r="E95" s="60">
        <v>4.8862500000000004</v>
      </c>
      <c r="F95" s="61">
        <v>16</v>
      </c>
      <c r="G95" s="61">
        <v>133</v>
      </c>
      <c r="H95" s="61">
        <v>341</v>
      </c>
      <c r="I95" s="61">
        <v>189.478927</v>
      </c>
      <c r="J95" s="62">
        <v>13.603035999999999</v>
      </c>
      <c r="K95" s="28">
        <f t="shared" si="38"/>
        <v>37.973788927080264</v>
      </c>
      <c r="L95" s="69">
        <v>58.473654000000003</v>
      </c>
      <c r="M95" s="29">
        <f t="shared" si="39"/>
        <v>76.606402714034516</v>
      </c>
      <c r="N95" s="71">
        <v>75.408373999999995</v>
      </c>
      <c r="O95" s="35">
        <f t="shared" si="52"/>
        <v>1.7657874159290747</v>
      </c>
      <c r="P95" s="16">
        <f t="shared" si="42"/>
        <v>1.7668475244437412</v>
      </c>
      <c r="Q95" s="57" t="s">
        <v>69</v>
      </c>
      <c r="R95" s="58" t="s">
        <v>341</v>
      </c>
      <c r="S95" s="58">
        <v>2651</v>
      </c>
      <c r="T95" s="58">
        <f t="shared" si="53"/>
        <v>1</v>
      </c>
      <c r="U95" s="58"/>
      <c r="V95" s="73">
        <v>138</v>
      </c>
      <c r="W95" s="74">
        <v>1.9854761889999999</v>
      </c>
      <c r="X95" s="75">
        <v>1</v>
      </c>
      <c r="Y95" s="76">
        <v>4.5329999999999997E-3</v>
      </c>
      <c r="Z95" s="74">
        <v>1.9854761889999999</v>
      </c>
      <c r="AA95" s="61">
        <v>6382.2407059999996</v>
      </c>
      <c r="AB95" s="77">
        <v>4.5329999999999997E-3</v>
      </c>
      <c r="AC95" s="35">
        <f t="shared" si="54"/>
        <v>2.9429790265484579</v>
      </c>
      <c r="AD95" s="15">
        <f t="shared" si="43"/>
        <v>1.3887508954857972</v>
      </c>
      <c r="AE95" s="15">
        <f t="shared" si="40"/>
        <v>1.4085917072779874</v>
      </c>
      <c r="AF95" s="15">
        <f t="shared" si="41"/>
        <v>0.8972203910878892</v>
      </c>
      <c r="AG95" s="15">
        <f t="shared" si="44"/>
        <v>4.9246755639552209</v>
      </c>
      <c r="AH95" s="15">
        <f t="shared" si="45"/>
        <v>3.4897655568389903</v>
      </c>
      <c r="AI95" s="15">
        <f t="shared" si="46"/>
        <v>2.7076032975875708</v>
      </c>
      <c r="AJ95" s="16">
        <f t="shared" si="47"/>
        <v>4.2509796076059869</v>
      </c>
      <c r="AK95" s="32">
        <f t="shared" si="48"/>
        <v>2.0267032889744954</v>
      </c>
      <c r="AL95" s="15">
        <f t="shared" si="49"/>
        <v>1.2394993895313491</v>
      </c>
      <c r="AM95" s="15">
        <f t="shared" si="50"/>
        <v>0.40633946052698894</v>
      </c>
      <c r="AN95" s="16">
        <f t="shared" si="51"/>
        <v>0.20465592223074952</v>
      </c>
    </row>
    <row r="96" spans="1:40" x14ac:dyDescent="0.45">
      <c r="A96" s="19">
        <v>84</v>
      </c>
      <c r="B96" s="57" t="s">
        <v>69</v>
      </c>
      <c r="C96" s="58" t="s">
        <v>204</v>
      </c>
      <c r="D96" s="59">
        <v>2652</v>
      </c>
      <c r="E96" s="60">
        <v>5.0890624999999998</v>
      </c>
      <c r="F96" s="61">
        <v>24.25</v>
      </c>
      <c r="G96" s="61">
        <v>43</v>
      </c>
      <c r="H96" s="61">
        <v>74</v>
      </c>
      <c r="I96" s="61">
        <v>57.254989000000002</v>
      </c>
      <c r="J96" s="62">
        <v>5.9516280000000004</v>
      </c>
      <c r="K96" s="28">
        <f t="shared" si="38"/>
        <v>41.157894468822626</v>
      </c>
      <c r="L96" s="69">
        <v>61.667695000000002</v>
      </c>
      <c r="M96" s="29">
        <f t="shared" si="39"/>
        <v>78.908806751157044</v>
      </c>
      <c r="N96" s="71">
        <v>85.116673000000006</v>
      </c>
      <c r="O96" s="35">
        <f t="shared" si="52"/>
        <v>2.5470159206035663</v>
      </c>
      <c r="P96" s="16">
        <f t="shared" si="42"/>
        <v>2.5485450476321461</v>
      </c>
      <c r="Q96" s="57" t="s">
        <v>69</v>
      </c>
      <c r="R96" s="58" t="s">
        <v>342</v>
      </c>
      <c r="S96" s="58">
        <v>2652</v>
      </c>
      <c r="T96" s="58">
        <f t="shared" si="53"/>
        <v>1</v>
      </c>
      <c r="U96" s="58"/>
      <c r="V96" s="73">
        <v>48</v>
      </c>
      <c r="W96" s="74">
        <v>1.150412607</v>
      </c>
      <c r="X96" s="75">
        <v>1</v>
      </c>
      <c r="Y96" s="76">
        <v>1E-3</v>
      </c>
      <c r="Z96" s="74">
        <v>1.150412607</v>
      </c>
      <c r="AA96" s="61">
        <v>6659.8295410000001</v>
      </c>
      <c r="AB96" s="77">
        <v>1E-3</v>
      </c>
      <c r="AC96" s="35">
        <f t="shared" si="54"/>
        <v>4.245026534339277</v>
      </c>
      <c r="AD96" s="15">
        <f t="shared" si="43"/>
        <v>1.4103793817772363</v>
      </c>
      <c r="AE96" s="15">
        <f t="shared" si="40"/>
        <v>1.2398524807330653</v>
      </c>
      <c r="AF96" s="15">
        <f t="shared" si="41"/>
        <v>1.0546518722593141</v>
      </c>
      <c r="AG96" s="15">
        <f t="shared" si="44"/>
        <v>12.526471971935177</v>
      </c>
      <c r="AH96" s="15">
        <f t="shared" si="45"/>
        <v>5.7761884556989838</v>
      </c>
      <c r="AI96" s="15">
        <f t="shared" si="46"/>
        <v>3.0146225932209796</v>
      </c>
      <c r="AJ96" s="16">
        <f t="shared" si="47"/>
        <v>6.8168072359046308</v>
      </c>
      <c r="AK96" s="32">
        <f t="shared" si="48"/>
        <v>3.0098917874743947</v>
      </c>
      <c r="AL96" s="15">
        <f t="shared" si="49"/>
        <v>3.8453025846518631</v>
      </c>
      <c r="AM96" s="15">
        <f t="shared" si="50"/>
        <v>0.22605590066932763</v>
      </c>
      <c r="AN96" s="16">
        <f t="shared" si="51"/>
        <v>0.19649984648449495</v>
      </c>
    </row>
    <row r="97" spans="1:40" x14ac:dyDescent="0.45">
      <c r="A97" s="19">
        <v>85</v>
      </c>
      <c r="B97" s="57" t="s">
        <v>69</v>
      </c>
      <c r="C97" s="58" t="s">
        <v>205</v>
      </c>
      <c r="D97" s="59">
        <v>2653</v>
      </c>
      <c r="E97" s="60">
        <v>5.2190624999999997</v>
      </c>
      <c r="F97" s="61">
        <v>17.95</v>
      </c>
      <c r="G97" s="61">
        <v>72</v>
      </c>
      <c r="H97" s="61">
        <v>111</v>
      </c>
      <c r="I97" s="61">
        <v>88.487127000000001</v>
      </c>
      <c r="J97" s="62">
        <v>6.987501</v>
      </c>
      <c r="K97" s="28">
        <f t="shared" si="38"/>
        <v>34.587193740220272</v>
      </c>
      <c r="L97" s="69">
        <v>54.876314999999998</v>
      </c>
      <c r="M97" s="29">
        <f t="shared" si="39"/>
        <v>73.878143138351291</v>
      </c>
      <c r="N97" s="71">
        <v>80.511207999999996</v>
      </c>
      <c r="O97" s="35">
        <f t="shared" si="52"/>
        <v>2.5000766948869644</v>
      </c>
      <c r="P97" s="16">
        <f t="shared" si="42"/>
        <v>2.5015776414718469</v>
      </c>
      <c r="Q97" s="57" t="s">
        <v>69</v>
      </c>
      <c r="R97" s="58" t="s">
        <v>343</v>
      </c>
      <c r="S97" s="58">
        <v>2653</v>
      </c>
      <c r="T97" s="58">
        <f t="shared" si="53"/>
        <v>1</v>
      </c>
      <c r="U97" s="58"/>
      <c r="V97" s="73">
        <v>76</v>
      </c>
      <c r="W97" s="74">
        <v>1.124080086</v>
      </c>
      <c r="X97" s="75">
        <v>1</v>
      </c>
      <c r="Y97" s="76">
        <v>5.3379999999999999E-3</v>
      </c>
      <c r="Z97" s="74">
        <v>1.124080086</v>
      </c>
      <c r="AA97" s="61">
        <v>5803.2431420000003</v>
      </c>
      <c r="AB97" s="77">
        <v>5.3379999999999999E-3</v>
      </c>
      <c r="AC97" s="35">
        <f t="shared" si="54"/>
        <v>4.1667944914782744</v>
      </c>
      <c r="AD97" s="15">
        <f t="shared" si="43"/>
        <v>1.4239631199779081</v>
      </c>
      <c r="AE97" s="15">
        <f t="shared" si="40"/>
        <v>0.88618672400479015</v>
      </c>
      <c r="AF97" s="15">
        <f t="shared" si="41"/>
        <v>0.54365697886362119</v>
      </c>
      <c r="AG97" s="15">
        <f t="shared" si="44"/>
        <v>5.5231706866682453</v>
      </c>
      <c r="AH97" s="15">
        <f t="shared" si="45"/>
        <v>3.5910980505208787</v>
      </c>
      <c r="AI97" s="15">
        <f t="shared" si="46"/>
        <v>1.557096640299418</v>
      </c>
      <c r="AJ97" s="16">
        <f t="shared" si="47"/>
        <v>4.2112343721984944</v>
      </c>
      <c r="AK97" s="32">
        <f t="shared" si="48"/>
        <v>2.2000180064691963</v>
      </c>
      <c r="AL97" s="15">
        <f t="shared" si="49"/>
        <v>4.130455900528653</v>
      </c>
      <c r="AM97" s="15">
        <f t="shared" si="50"/>
        <v>0.21537969434165619</v>
      </c>
      <c r="AN97" s="16">
        <f t="shared" si="51"/>
        <v>0.19160529309622179</v>
      </c>
    </row>
    <row r="98" spans="1:40" x14ac:dyDescent="0.45">
      <c r="A98" s="19">
        <v>86</v>
      </c>
      <c r="B98" s="57" t="s">
        <v>69</v>
      </c>
      <c r="C98" s="58" t="s">
        <v>206</v>
      </c>
      <c r="D98" s="59">
        <v>2654</v>
      </c>
      <c r="E98" s="60">
        <v>9.76</v>
      </c>
      <c r="F98" s="61">
        <v>38.200000000000003</v>
      </c>
      <c r="G98" s="61">
        <v>61</v>
      </c>
      <c r="H98" s="61">
        <v>107</v>
      </c>
      <c r="I98" s="61">
        <v>80.936875999999998</v>
      </c>
      <c r="J98" s="62">
        <v>8.1946820000000002</v>
      </c>
      <c r="K98" s="28">
        <f t="shared" si="38"/>
        <v>48.571839068572572</v>
      </c>
      <c r="L98" s="69">
        <v>68.476712000000006</v>
      </c>
      <c r="M98" s="29">
        <f t="shared" si="39"/>
        <v>83.475888503871573</v>
      </c>
      <c r="N98" s="71">
        <v>78.689666000000003</v>
      </c>
      <c r="O98" s="35">
        <f t="shared" si="52"/>
        <v>3.9379729281538527</v>
      </c>
      <c r="P98" s="16">
        <f t="shared" si="42"/>
        <v>3.9403371304321118</v>
      </c>
      <c r="Q98" s="57" t="s">
        <v>69</v>
      </c>
      <c r="R98" s="58" t="s">
        <v>344</v>
      </c>
      <c r="S98" s="58">
        <v>2654</v>
      </c>
      <c r="T98" s="58">
        <f t="shared" si="53"/>
        <v>1</v>
      </c>
      <c r="U98" s="58"/>
      <c r="V98" s="73">
        <v>87</v>
      </c>
      <c r="W98" s="74">
        <v>17.421677476999999</v>
      </c>
      <c r="X98" s="75">
        <v>1</v>
      </c>
      <c r="Y98" s="76">
        <v>1.4350000000000001E-3</v>
      </c>
      <c r="Z98" s="74">
        <v>17.421677476999999</v>
      </c>
      <c r="AA98" s="61">
        <v>17495.605146999998</v>
      </c>
      <c r="AB98" s="77">
        <v>1.4350000000000001E-3</v>
      </c>
      <c r="AC98" s="35">
        <f t="shared" si="54"/>
        <v>6.5632882135897548</v>
      </c>
      <c r="AD98" s="15">
        <f t="shared" si="43"/>
        <v>1.8063608955600281</v>
      </c>
      <c r="AE98" s="15">
        <f t="shared" si="40"/>
        <v>9.1316187324541591</v>
      </c>
      <c r="AF98" s="15">
        <f t="shared" si="41"/>
        <v>7.4388041665702849</v>
      </c>
      <c r="AG98" s="15">
        <f t="shared" si="44"/>
        <v>9.6565292723199043</v>
      </c>
      <c r="AH98" s="15">
        <f t="shared" si="45"/>
        <v>4.9518277045379637</v>
      </c>
      <c r="AI98" s="15">
        <f t="shared" si="46"/>
        <v>23.863257515482498</v>
      </c>
      <c r="AJ98" s="16">
        <f t="shared" si="47"/>
        <v>9.0111861283536481</v>
      </c>
      <c r="AK98" s="32">
        <f t="shared" si="48"/>
        <v>3.423706169405639</v>
      </c>
      <c r="AL98" s="15">
        <f t="shared" si="49"/>
        <v>3.2156581877312441E-2</v>
      </c>
      <c r="AM98" s="15">
        <f t="shared" si="50"/>
        <v>1.785007938217213</v>
      </c>
      <c r="AN98" s="16">
        <f t="shared" si="51"/>
        <v>0.10245901639344263</v>
      </c>
    </row>
    <row r="99" spans="1:40" x14ac:dyDescent="0.45">
      <c r="A99" s="19">
        <v>87</v>
      </c>
      <c r="B99" s="57" t="s">
        <v>69</v>
      </c>
      <c r="C99" s="58" t="s">
        <v>207</v>
      </c>
      <c r="D99" s="59">
        <v>2655</v>
      </c>
      <c r="E99" s="60">
        <v>9.8585937500000007</v>
      </c>
      <c r="F99" s="61">
        <v>29.475000000000001</v>
      </c>
      <c r="G99" s="61">
        <v>64</v>
      </c>
      <c r="H99" s="61">
        <v>94</v>
      </c>
      <c r="I99" s="61">
        <v>76.255201999999997</v>
      </c>
      <c r="J99" s="62">
        <v>6.607011</v>
      </c>
      <c r="K99" s="28">
        <f t="shared" si="38"/>
        <v>40.101529926127952</v>
      </c>
      <c r="L99" s="69">
        <v>60.627301000000003</v>
      </c>
      <c r="M99" s="29">
        <f t="shared" si="39"/>
        <v>78.17071575320287</v>
      </c>
      <c r="N99" s="71">
        <v>79.047848999999999</v>
      </c>
      <c r="O99" s="35">
        <f t="shared" si="52"/>
        <v>2.8505509267616369</v>
      </c>
      <c r="P99" s="16">
        <f t="shared" si="42"/>
        <v>2.8522622841321166</v>
      </c>
      <c r="Q99" s="57" t="s">
        <v>69</v>
      </c>
      <c r="R99" s="58" t="s">
        <v>345</v>
      </c>
      <c r="S99" s="58">
        <v>2655</v>
      </c>
      <c r="T99" s="58">
        <f t="shared" si="53"/>
        <v>1</v>
      </c>
      <c r="U99" s="58"/>
      <c r="V99" s="73">
        <v>72</v>
      </c>
      <c r="W99" s="74">
        <v>2.9342960840000001</v>
      </c>
      <c r="X99" s="75">
        <v>1</v>
      </c>
      <c r="Y99" s="76">
        <v>1E-3</v>
      </c>
      <c r="Z99" s="74">
        <v>2.9342960840000001</v>
      </c>
      <c r="AA99" s="61">
        <v>7917.01253</v>
      </c>
      <c r="AB99" s="77">
        <v>1E-3</v>
      </c>
      <c r="AC99" s="35">
        <f t="shared" si="54"/>
        <v>4.7509182112693953</v>
      </c>
      <c r="AD99" s="15">
        <f t="shared" si="43"/>
        <v>1.8132733602461797</v>
      </c>
      <c r="AE99" s="15">
        <f t="shared" si="40"/>
        <v>2.5259470624466922</v>
      </c>
      <c r="AF99" s="15">
        <f t="shared" si="41"/>
        <v>2.1688517153237954</v>
      </c>
      <c r="AG99" s="15">
        <f t="shared" si="44"/>
        <v>12.37581835492421</v>
      </c>
      <c r="AH99" s="15">
        <f t="shared" si="45"/>
        <v>6.5453897305477478</v>
      </c>
      <c r="AI99" s="15">
        <f t="shared" si="46"/>
        <v>6.6163044719625717</v>
      </c>
      <c r="AJ99" s="16">
        <f t="shared" si="47"/>
        <v>10.089672846962106</v>
      </c>
      <c r="AK99" s="32">
        <f t="shared" si="48"/>
        <v>2.6284780809341037</v>
      </c>
      <c r="AL99" s="15">
        <f t="shared" si="49"/>
        <v>1.1450042604274224</v>
      </c>
      <c r="AM99" s="15">
        <f t="shared" si="50"/>
        <v>0.2976384014200808</v>
      </c>
      <c r="AN99" s="16">
        <f t="shared" si="51"/>
        <v>0.10143434503526427</v>
      </c>
    </row>
    <row r="100" spans="1:40" x14ac:dyDescent="0.45">
      <c r="A100" s="19">
        <v>88</v>
      </c>
      <c r="B100" s="57" t="s">
        <v>69</v>
      </c>
      <c r="C100" s="58" t="s">
        <v>208</v>
      </c>
      <c r="D100" s="59">
        <v>2656</v>
      </c>
      <c r="E100" s="60">
        <v>0.73531250000000004</v>
      </c>
      <c r="F100" s="61">
        <v>6.2750000000000004</v>
      </c>
      <c r="G100" s="61">
        <v>36</v>
      </c>
      <c r="H100" s="61">
        <v>55</v>
      </c>
      <c r="I100" s="61">
        <v>42.859541</v>
      </c>
      <c r="J100" s="62">
        <v>6.4763450000000002</v>
      </c>
      <c r="K100" s="28">
        <f t="shared" si="38"/>
        <v>42.495819962439491</v>
      </c>
      <c r="L100" s="69">
        <v>62.958973999999998</v>
      </c>
      <c r="M100" s="29">
        <f t="shared" si="39"/>
        <v>79.809450381846133</v>
      </c>
      <c r="N100" s="71">
        <v>91.653204000000002</v>
      </c>
      <c r="O100" s="35">
        <f t="shared" si="52"/>
        <v>0.89475961992992592</v>
      </c>
      <c r="P100" s="16">
        <f t="shared" si="42"/>
        <v>0.89529679800873119</v>
      </c>
      <c r="Q100" s="57" t="s">
        <v>69</v>
      </c>
      <c r="R100" s="58" t="s">
        <v>346</v>
      </c>
      <c r="S100" s="58">
        <v>2656</v>
      </c>
      <c r="T100" s="58">
        <f t="shared" si="53"/>
        <v>1</v>
      </c>
      <c r="U100" s="58"/>
      <c r="V100" s="73">
        <v>53</v>
      </c>
      <c r="W100" s="74">
        <v>1.1833630939999999</v>
      </c>
      <c r="X100" s="75">
        <v>1</v>
      </c>
      <c r="Y100" s="76">
        <v>1.6900000000000001E-3</v>
      </c>
      <c r="Z100" s="74">
        <v>1.1833630939999999</v>
      </c>
      <c r="AA100" s="61">
        <v>1978.8897899999999</v>
      </c>
      <c r="AB100" s="77">
        <v>1.6900000000000001E-3</v>
      </c>
      <c r="AC100" s="35">
        <f t="shared" si="54"/>
        <v>1.4912660332165433</v>
      </c>
      <c r="AD100" s="15">
        <f t="shared" si="43"/>
        <v>0.67619652230126548</v>
      </c>
      <c r="AE100" s="15">
        <f t="shared" si="40"/>
        <v>1.1465486215534924</v>
      </c>
      <c r="AF100" s="15">
        <f t="shared" si="41"/>
        <v>0.88067633351867614</v>
      </c>
      <c r="AG100" s="15">
        <f t="shared" si="44"/>
        <v>4.6004762295182662</v>
      </c>
      <c r="AH100" s="15">
        <f t="shared" si="45"/>
        <v>2.6382924338930529</v>
      </c>
      <c r="AI100" s="15">
        <f t="shared" si="46"/>
        <v>2.4089249654184091</v>
      </c>
      <c r="AJ100" s="16">
        <f t="shared" si="47"/>
        <v>1.8526537711212019</v>
      </c>
      <c r="AK100" s="32">
        <f t="shared" si="48"/>
        <v>2.0489708838726646</v>
      </c>
      <c r="AL100" s="15">
        <f t="shared" si="49"/>
        <v>0.52509261166059173</v>
      </c>
      <c r="AM100" s="15">
        <f t="shared" si="50"/>
        <v>1.6093335745006374</v>
      </c>
      <c r="AN100" s="16">
        <f t="shared" si="51"/>
        <v>1.3599660008499788</v>
      </c>
    </row>
    <row r="101" spans="1:40" x14ac:dyDescent="0.45">
      <c r="A101" s="19">
        <v>89</v>
      </c>
      <c r="B101" s="57" t="s">
        <v>69</v>
      </c>
      <c r="C101" s="58" t="s">
        <v>209</v>
      </c>
      <c r="D101" s="59">
        <v>2657</v>
      </c>
      <c r="E101" s="60">
        <v>4.2032812499999999</v>
      </c>
      <c r="F101" s="61">
        <v>19.45</v>
      </c>
      <c r="G101" s="61">
        <v>34</v>
      </c>
      <c r="H101" s="61">
        <v>55</v>
      </c>
      <c r="I101" s="61">
        <v>44.876807999999997</v>
      </c>
      <c r="J101" s="62">
        <v>5.1193</v>
      </c>
      <c r="K101" s="28">
        <f t="shared" si="38"/>
        <v>46.885934219734082</v>
      </c>
      <c r="L101" s="69">
        <v>67</v>
      </c>
      <c r="M101" s="29">
        <f t="shared" si="39"/>
        <v>82.522478137701682</v>
      </c>
      <c r="N101" s="71">
        <v>89.751062000000005</v>
      </c>
      <c r="O101" s="35">
        <f t="shared" si="52"/>
        <v>1.8740478529026332</v>
      </c>
      <c r="P101" s="16">
        <f t="shared" si="42"/>
        <v>1.8751729566766391</v>
      </c>
      <c r="Q101" s="57" t="s">
        <v>69</v>
      </c>
      <c r="R101" s="58" t="s">
        <v>347</v>
      </c>
      <c r="S101" s="58">
        <v>2657</v>
      </c>
      <c r="T101" s="58">
        <f t="shared" si="53"/>
        <v>1</v>
      </c>
      <c r="U101" s="58"/>
      <c r="V101" s="73">
        <v>42</v>
      </c>
      <c r="W101" s="74">
        <v>6.9194173999999997E-2</v>
      </c>
      <c r="X101" s="75">
        <v>1</v>
      </c>
      <c r="Y101" s="76">
        <v>1E-3</v>
      </c>
      <c r="Z101" s="74">
        <v>6.9194173999999997E-2</v>
      </c>
      <c r="AA101" s="61">
        <v>4907.8242209999999</v>
      </c>
      <c r="AB101" s="77">
        <v>1E-3</v>
      </c>
      <c r="AC101" s="35">
        <f t="shared" si="54"/>
        <v>3.1234130881710556</v>
      </c>
      <c r="AD101" s="15">
        <f t="shared" si="43"/>
        <v>1.3115269026517524</v>
      </c>
      <c r="AE101" s="15">
        <f t="shared" si="40"/>
        <v>0.14641113151359297</v>
      </c>
      <c r="AF101" s="15">
        <f t="shared" si="41"/>
        <v>0.12108918848277851</v>
      </c>
      <c r="AG101" s="15">
        <f t="shared" si="44"/>
        <v>39.460355842728724</v>
      </c>
      <c r="AH101" s="15">
        <f t="shared" si="45"/>
        <v>7.1096069962381989</v>
      </c>
      <c r="AI101" s="15">
        <f t="shared" si="46"/>
        <v>0.30980840015432171</v>
      </c>
      <c r="AJ101" s="16">
        <f t="shared" si="47"/>
        <v>6.0860113531872662</v>
      </c>
      <c r="AK101" s="32">
        <f t="shared" si="48"/>
        <v>2.6563384690078151</v>
      </c>
      <c r="AL101" s="15">
        <f t="shared" si="49"/>
        <v>877.90877873542263</v>
      </c>
      <c r="AM101" s="15">
        <f t="shared" si="50"/>
        <v>1.6461942440801458E-2</v>
      </c>
      <c r="AN101" s="16">
        <f t="shared" si="51"/>
        <v>0.23790937139883275</v>
      </c>
    </row>
    <row r="102" spans="1:40" x14ac:dyDescent="0.45">
      <c r="A102" s="19">
        <v>90</v>
      </c>
      <c r="B102" s="57" t="s">
        <v>69</v>
      </c>
      <c r="C102" s="58" t="s">
        <v>210</v>
      </c>
      <c r="D102" s="59">
        <v>2658</v>
      </c>
      <c r="E102" s="60">
        <v>0.71875</v>
      </c>
      <c r="F102" s="61">
        <v>6.7</v>
      </c>
      <c r="G102" s="61">
        <v>71</v>
      </c>
      <c r="H102" s="61">
        <v>91</v>
      </c>
      <c r="I102" s="61">
        <v>78.990217000000001</v>
      </c>
      <c r="J102" s="62">
        <v>6.3954680000000002</v>
      </c>
      <c r="K102" s="28">
        <f t="shared" si="38"/>
        <v>53.265027239591568</v>
      </c>
      <c r="L102" s="69">
        <v>72.386126000000004</v>
      </c>
      <c r="M102" s="29">
        <f t="shared" si="39"/>
        <v>85.907960027665681</v>
      </c>
      <c r="N102" s="71">
        <v>79.901764999999997</v>
      </c>
      <c r="O102" s="35">
        <f t="shared" si="52"/>
        <v>0.88150079699671569</v>
      </c>
      <c r="P102" s="16">
        <f t="shared" si="42"/>
        <v>0.8820300150057192</v>
      </c>
      <c r="Q102" s="57" t="s">
        <v>69</v>
      </c>
      <c r="R102" s="58" t="s">
        <v>348</v>
      </c>
      <c r="S102" s="58">
        <v>2658</v>
      </c>
      <c r="T102" s="58">
        <f t="shared" si="53"/>
        <v>1</v>
      </c>
      <c r="U102" s="58"/>
      <c r="V102" s="73">
        <v>82</v>
      </c>
      <c r="W102" s="74">
        <v>0.80961940799999998</v>
      </c>
      <c r="X102" s="75">
        <v>1</v>
      </c>
      <c r="Y102" s="76">
        <v>1E-3</v>
      </c>
      <c r="Z102" s="74">
        <v>0.80961940799999998</v>
      </c>
      <c r="AA102" s="61">
        <v>2634.664049</v>
      </c>
      <c r="AB102" s="77">
        <v>1E-3</v>
      </c>
      <c r="AC102" s="35">
        <f t="shared" si="54"/>
        <v>1.4691679949945262</v>
      </c>
      <c r="AD102" s="15">
        <f t="shared" si="43"/>
        <v>0.67036785046627123</v>
      </c>
      <c r="AE102" s="15">
        <f t="shared" si="40"/>
        <v>0.94932462552955654</v>
      </c>
      <c r="AF102" s="15">
        <f t="shared" si="41"/>
        <v>0.80468912499965795</v>
      </c>
      <c r="AG102" s="15">
        <f t="shared" si="44"/>
        <v>6.3977119719491213</v>
      </c>
      <c r="AH102" s="15">
        <f t="shared" si="45"/>
        <v>3.1624149854124597</v>
      </c>
      <c r="AI102" s="15">
        <f t="shared" si="46"/>
        <v>2.3491129855884245</v>
      </c>
      <c r="AJ102" s="16">
        <f t="shared" si="47"/>
        <v>2.1354798440662512</v>
      </c>
      <c r="AK102" s="32">
        <f t="shared" si="48"/>
        <v>2.2128088779726967</v>
      </c>
      <c r="AL102" s="15">
        <f t="shared" si="49"/>
        <v>1.0965186856838274</v>
      </c>
      <c r="AM102" s="15">
        <f t="shared" si="50"/>
        <v>1.1264270024347827</v>
      </c>
      <c r="AN102" s="16">
        <f t="shared" si="51"/>
        <v>1.3913043478260869</v>
      </c>
    </row>
    <row r="103" spans="1:40" x14ac:dyDescent="0.45">
      <c r="A103" s="19">
        <v>91</v>
      </c>
      <c r="B103" s="57" t="s">
        <v>69</v>
      </c>
      <c r="C103" s="58" t="s">
        <v>211</v>
      </c>
      <c r="D103" s="59">
        <v>2659</v>
      </c>
      <c r="E103" s="60">
        <v>0.25156250000000002</v>
      </c>
      <c r="F103" s="61">
        <v>3.625</v>
      </c>
      <c r="G103" s="61">
        <v>37</v>
      </c>
      <c r="H103" s="61">
        <v>51</v>
      </c>
      <c r="I103" s="61">
        <v>44.088199000000003</v>
      </c>
      <c r="J103" s="62">
        <v>6.7186029999999999</v>
      </c>
      <c r="K103" s="28">
        <f t="shared" si="38"/>
        <v>46.885934219734082</v>
      </c>
      <c r="L103" s="69">
        <v>67</v>
      </c>
      <c r="M103" s="29">
        <f t="shared" si="39"/>
        <v>82.522478137701682</v>
      </c>
      <c r="N103" s="71">
        <v>93.147015999999994</v>
      </c>
      <c r="O103" s="35">
        <f t="shared" si="52"/>
        <v>0.6838144817779751</v>
      </c>
      <c r="P103" s="16">
        <f t="shared" si="42"/>
        <v>0.68422501678804803</v>
      </c>
      <c r="Q103" s="57" t="s">
        <v>69</v>
      </c>
      <c r="R103" s="58" t="s">
        <v>349</v>
      </c>
      <c r="S103" s="58">
        <v>2659</v>
      </c>
      <c r="T103" s="58">
        <f t="shared" si="53"/>
        <v>1</v>
      </c>
      <c r="U103" s="58"/>
      <c r="V103" s="73">
        <v>47</v>
      </c>
      <c r="W103" s="74">
        <v>1.4204951289999999</v>
      </c>
      <c r="X103" s="75">
        <v>1</v>
      </c>
      <c r="Y103" s="76">
        <v>1E-3</v>
      </c>
      <c r="Z103" s="74">
        <v>1.4204951289999999</v>
      </c>
      <c r="AA103" s="61">
        <v>1649.6004680000001</v>
      </c>
      <c r="AB103" s="77">
        <v>1E-3</v>
      </c>
      <c r="AC103" s="35">
        <f t="shared" si="54"/>
        <v>1.1396908029632919</v>
      </c>
      <c r="AD103" s="15">
        <f t="shared" si="43"/>
        <v>0.44984099908500447</v>
      </c>
      <c r="AE103" s="15">
        <f t="shared" si="40"/>
        <v>1.4553768543845769</v>
      </c>
      <c r="AF103" s="15">
        <f t="shared" si="41"/>
        <v>1.2405961745265124</v>
      </c>
      <c r="AG103" s="15">
        <f t="shared" si="44"/>
        <v>4.3385373069956659</v>
      </c>
      <c r="AH103" s="15">
        <f t="shared" si="45"/>
        <v>2.1301084991458712</v>
      </c>
      <c r="AI103" s="15">
        <f t="shared" si="46"/>
        <v>3.4113375080766795</v>
      </c>
      <c r="AJ103" s="16">
        <f t="shared" si="47"/>
        <v>1.1458501526797376</v>
      </c>
      <c r="AK103" s="32">
        <f t="shared" si="48"/>
        <v>2.0236858322936611</v>
      </c>
      <c r="AL103" s="15">
        <f t="shared" si="49"/>
        <v>0.12467127597805902</v>
      </c>
      <c r="AM103" s="15">
        <f t="shared" si="50"/>
        <v>5.6466887115527937</v>
      </c>
      <c r="AN103" s="16">
        <f t="shared" si="51"/>
        <v>3.9751552795031051</v>
      </c>
    </row>
    <row r="104" spans="1:40" x14ac:dyDescent="0.45">
      <c r="A104" s="19">
        <v>92</v>
      </c>
      <c r="B104" s="57" t="s">
        <v>69</v>
      </c>
      <c r="C104" s="58" t="s">
        <v>212</v>
      </c>
      <c r="D104" s="59">
        <v>2660</v>
      </c>
      <c r="E104" s="60">
        <v>31.942499999999999</v>
      </c>
      <c r="F104" s="61">
        <v>55.174999999999997</v>
      </c>
      <c r="G104" s="61">
        <v>131</v>
      </c>
      <c r="H104" s="61">
        <v>1366</v>
      </c>
      <c r="I104" s="61">
        <v>482.17410699999999</v>
      </c>
      <c r="J104" s="62">
        <v>25.405556000000001</v>
      </c>
      <c r="K104" s="28">
        <f t="shared" si="38"/>
        <v>53.269889380068776</v>
      </c>
      <c r="L104" s="69">
        <v>72.390029999999996</v>
      </c>
      <c r="M104" s="29">
        <f t="shared" si="39"/>
        <v>85.910324438490889</v>
      </c>
      <c r="N104" s="71">
        <v>76.826407000000003</v>
      </c>
      <c r="O104" s="35">
        <f t="shared" si="52"/>
        <v>2.4615399965820304</v>
      </c>
      <c r="P104" s="16">
        <f t="shared" si="42"/>
        <v>2.4630178072663904</v>
      </c>
      <c r="Q104" s="57" t="s">
        <v>69</v>
      </c>
      <c r="R104" s="58" t="s">
        <v>350</v>
      </c>
      <c r="S104" s="58">
        <v>2660</v>
      </c>
      <c r="T104" s="58">
        <f t="shared" si="53"/>
        <v>1</v>
      </c>
      <c r="U104" s="58"/>
      <c r="V104" s="73">
        <v>274</v>
      </c>
      <c r="W104" s="74">
        <v>17.836874087000002</v>
      </c>
      <c r="X104" s="75">
        <v>1</v>
      </c>
      <c r="Y104" s="76">
        <v>2.9545999999999999E-2</v>
      </c>
      <c r="Z104" s="74">
        <v>17.836874087000002</v>
      </c>
      <c r="AA104" s="61">
        <v>22525.504133999999</v>
      </c>
      <c r="AB104" s="77">
        <v>2.9545999999999999E-2</v>
      </c>
      <c r="AC104" s="35">
        <f t="shared" si="54"/>
        <v>4.1025666609700506</v>
      </c>
      <c r="AD104" s="15">
        <f t="shared" si="43"/>
        <v>2.8344824711651766</v>
      </c>
      <c r="AE104" s="15">
        <f t="shared" si="40"/>
        <v>5.2327351074813402</v>
      </c>
      <c r="AF104" s="15">
        <f t="shared" si="41"/>
        <v>2.3638791437095885</v>
      </c>
      <c r="AG104" s="15">
        <f t="shared" si="44"/>
        <v>2.6876142483106809</v>
      </c>
      <c r="AH104" s="15">
        <f t="shared" si="45"/>
        <v>3.0211667460560774</v>
      </c>
      <c r="AI104" s="15">
        <f t="shared" si="46"/>
        <v>7.3393503938853284</v>
      </c>
      <c r="AJ104" s="16">
        <f t="shared" si="47"/>
        <v>7.4239101004713977</v>
      </c>
      <c r="AK104" s="32">
        <f t="shared" si="48"/>
        <v>2.7334801309039736</v>
      </c>
      <c r="AL104" s="15">
        <f t="shared" si="49"/>
        <v>0.10039946770939129</v>
      </c>
      <c r="AM104" s="15">
        <f t="shared" si="50"/>
        <v>0.5584057004617673</v>
      </c>
      <c r="AN104" s="16">
        <f t="shared" si="51"/>
        <v>3.1306253424121466E-2</v>
      </c>
    </row>
    <row r="105" spans="1:40" x14ac:dyDescent="0.45">
      <c r="A105" s="19">
        <v>93</v>
      </c>
      <c r="B105" s="57" t="s">
        <v>69</v>
      </c>
      <c r="C105" s="58" t="s">
        <v>213</v>
      </c>
      <c r="D105" s="59">
        <v>2662</v>
      </c>
      <c r="E105" s="60">
        <v>4.9484374999999998</v>
      </c>
      <c r="F105" s="61">
        <v>19.425000000000001</v>
      </c>
      <c r="G105" s="61">
        <v>32</v>
      </c>
      <c r="H105" s="61">
        <v>52</v>
      </c>
      <c r="I105" s="61">
        <v>40.159267</v>
      </c>
      <c r="J105" s="62">
        <v>5.5637160000000003</v>
      </c>
      <c r="K105" s="28">
        <f t="shared" si="38"/>
        <v>44.896265129097372</v>
      </c>
      <c r="L105" s="69">
        <v>65.204632000000004</v>
      </c>
      <c r="M105" s="29">
        <f t="shared" si="39"/>
        <v>81.336366105393381</v>
      </c>
      <c r="N105" s="71">
        <v>94.027590000000004</v>
      </c>
      <c r="O105" s="35">
        <f t="shared" si="52"/>
        <v>2.8846922589340713</v>
      </c>
      <c r="P105" s="16">
        <f t="shared" si="42"/>
        <v>2.8864241134021125</v>
      </c>
      <c r="Q105" s="57" t="s">
        <v>69</v>
      </c>
      <c r="R105" s="58" t="s">
        <v>351</v>
      </c>
      <c r="S105" s="58">
        <v>2662</v>
      </c>
      <c r="T105" s="58">
        <f t="shared" si="53"/>
        <v>1</v>
      </c>
      <c r="U105" s="58"/>
      <c r="V105" s="73">
        <v>42</v>
      </c>
      <c r="W105" s="74">
        <v>8.2074377639999998</v>
      </c>
      <c r="X105" s="75">
        <v>1</v>
      </c>
      <c r="Y105" s="76">
        <v>4.8700000000000002E-4</v>
      </c>
      <c r="Z105" s="74">
        <v>8.2074377639999998</v>
      </c>
      <c r="AA105" s="61">
        <v>8358.9542689999998</v>
      </c>
      <c r="AB105" s="77">
        <v>4.8700000000000002E-4</v>
      </c>
      <c r="AC105" s="35">
        <f t="shared" si="54"/>
        <v>4.8078204315567854</v>
      </c>
      <c r="AD105" s="15">
        <f t="shared" si="43"/>
        <v>1.3954409590035866</v>
      </c>
      <c r="AE105" s="15">
        <f t="shared" si="40"/>
        <v>6.3283213843094774</v>
      </c>
      <c r="AF105" s="15">
        <f t="shared" si="41"/>
        <v>6.3167404379718182</v>
      </c>
      <c r="AG105" s="15">
        <f t="shared" si="44"/>
        <v>13.259748432773447</v>
      </c>
      <c r="AH105" s="15">
        <f t="shared" si="45"/>
        <v>5.8395693953699164</v>
      </c>
      <c r="AI105" s="15">
        <f t="shared" si="46"/>
        <v>18.419770095011216</v>
      </c>
      <c r="AJ105" s="16">
        <f t="shared" si="47"/>
        <v>8.2987378734917563</v>
      </c>
      <c r="AK105" s="32">
        <f t="shared" si="48"/>
        <v>2.4450346273658377</v>
      </c>
      <c r="AL105" s="15">
        <f t="shared" si="49"/>
        <v>7.3460333045401824E-2</v>
      </c>
      <c r="AM105" s="15">
        <f t="shared" si="50"/>
        <v>1.6585917805367856</v>
      </c>
      <c r="AN105" s="16">
        <f t="shared" si="51"/>
        <v>0.20208399115882539</v>
      </c>
    </row>
    <row r="106" spans="1:40" x14ac:dyDescent="0.45">
      <c r="A106" s="19">
        <v>94</v>
      </c>
      <c r="B106" s="57" t="s">
        <v>69</v>
      </c>
      <c r="C106" s="58" t="s">
        <v>214</v>
      </c>
      <c r="D106" s="59">
        <v>2663</v>
      </c>
      <c r="E106" s="60">
        <v>9.5432812499999997</v>
      </c>
      <c r="F106" s="61">
        <v>24</v>
      </c>
      <c r="G106" s="61">
        <v>31</v>
      </c>
      <c r="H106" s="61">
        <v>60</v>
      </c>
      <c r="I106" s="61">
        <v>42.255563000000002</v>
      </c>
      <c r="J106" s="62">
        <v>6.1271139999999997</v>
      </c>
      <c r="K106" s="28">
        <f t="shared" si="38"/>
        <v>44.696940296852794</v>
      </c>
      <c r="L106" s="69">
        <v>65.021535</v>
      </c>
      <c r="M106" s="29">
        <f t="shared" si="39"/>
        <v>81.213699011933954</v>
      </c>
      <c r="N106" s="71">
        <v>95.882819999999995</v>
      </c>
      <c r="O106" s="35">
        <f t="shared" si="52"/>
        <v>2.1882558216733767</v>
      </c>
      <c r="P106" s="16">
        <f t="shared" si="42"/>
        <v>2.1895695634114229</v>
      </c>
      <c r="Q106" s="57" t="s">
        <v>69</v>
      </c>
      <c r="R106" s="58" t="s">
        <v>352</v>
      </c>
      <c r="S106" s="58">
        <v>2663</v>
      </c>
      <c r="T106" s="58">
        <f t="shared" si="53"/>
        <v>1</v>
      </c>
      <c r="U106" s="58"/>
      <c r="V106" s="73">
        <v>38</v>
      </c>
      <c r="W106" s="74">
        <v>1.21202426</v>
      </c>
      <c r="X106" s="75">
        <v>1</v>
      </c>
      <c r="Y106" s="76">
        <v>1E-3</v>
      </c>
      <c r="Z106" s="74">
        <v>1.21202426</v>
      </c>
      <c r="AA106" s="61">
        <v>6248.1416810000001</v>
      </c>
      <c r="AB106" s="77">
        <v>1E-3</v>
      </c>
      <c r="AC106" s="35">
        <f t="shared" si="54"/>
        <v>3.6470930361222949</v>
      </c>
      <c r="AD106" s="15">
        <f t="shared" si="43"/>
        <v>1.7910129541857458</v>
      </c>
      <c r="AE106" s="15">
        <f t="shared" si="40"/>
        <v>1.2900004222272701</v>
      </c>
      <c r="AF106" s="15">
        <f t="shared" si="41"/>
        <v>1.0978816893524024</v>
      </c>
      <c r="AG106" s="15">
        <f t="shared" si="44"/>
        <v>16.093271904859087</v>
      </c>
      <c r="AH106" s="15">
        <f t="shared" si="45"/>
        <v>7.0503503204775217</v>
      </c>
      <c r="AI106" s="15">
        <f t="shared" si="46"/>
        <v>2.9613927896590257</v>
      </c>
      <c r="AJ106" s="16">
        <f t="shared" si="47"/>
        <v>9.897045271510601</v>
      </c>
      <c r="AK106" s="32">
        <f t="shared" si="48"/>
        <v>2.1753062693085292</v>
      </c>
      <c r="AL106" s="15">
        <f t="shared" si="49"/>
        <v>6.496435000422589</v>
      </c>
      <c r="AM106" s="15">
        <f t="shared" si="50"/>
        <v>0.12700288593087414</v>
      </c>
      <c r="AN106" s="16">
        <f t="shared" si="51"/>
        <v>0.10478576223455638</v>
      </c>
    </row>
    <row r="107" spans="1:40" x14ac:dyDescent="0.45">
      <c r="A107" s="19">
        <v>95</v>
      </c>
      <c r="B107" s="57" t="s">
        <v>69</v>
      </c>
      <c r="C107" s="58" t="s">
        <v>215</v>
      </c>
      <c r="D107" s="59">
        <v>2664</v>
      </c>
      <c r="E107" s="60">
        <v>7.1725000000000003</v>
      </c>
      <c r="F107" s="61">
        <v>20.149999999999999</v>
      </c>
      <c r="G107" s="61">
        <v>65</v>
      </c>
      <c r="H107" s="61">
        <v>114</v>
      </c>
      <c r="I107" s="61">
        <v>90.541281999999995</v>
      </c>
      <c r="J107" s="62">
        <v>8.0448789999999999</v>
      </c>
      <c r="K107" s="28">
        <f t="shared" si="38"/>
        <v>32.423268465236539</v>
      </c>
      <c r="L107" s="69">
        <v>52.461053</v>
      </c>
      <c r="M107" s="29">
        <f t="shared" si="39"/>
        <v>71.960271551824391</v>
      </c>
      <c r="N107" s="71">
        <v>78.442937999999998</v>
      </c>
      <c r="O107" s="35">
        <f t="shared" si="52"/>
        <v>3.0260258098025576</v>
      </c>
      <c r="P107" s="16">
        <f t="shared" si="42"/>
        <v>3.0278425153117445</v>
      </c>
      <c r="Q107" s="57" t="s">
        <v>69</v>
      </c>
      <c r="R107" s="58" t="s">
        <v>353</v>
      </c>
      <c r="S107" s="58">
        <v>2664</v>
      </c>
      <c r="T107" s="58">
        <f t="shared" si="53"/>
        <v>1</v>
      </c>
      <c r="U107" s="58"/>
      <c r="V107" s="73">
        <v>79</v>
      </c>
      <c r="W107" s="74">
        <v>1.4486359119999999</v>
      </c>
      <c r="X107" s="75">
        <v>1</v>
      </c>
      <c r="Y107" s="76">
        <v>2.0709999999999999E-3</v>
      </c>
      <c r="Z107" s="74">
        <v>1.4486359119999999</v>
      </c>
      <c r="AA107" s="61">
        <v>7455.6164269999999</v>
      </c>
      <c r="AB107" s="77">
        <v>2.0709999999999999E-3</v>
      </c>
      <c r="AC107" s="35">
        <f t="shared" si="54"/>
        <v>5.0433763496709298</v>
      </c>
      <c r="AD107" s="15">
        <f t="shared" si="43"/>
        <v>1.6068243479720643</v>
      </c>
      <c r="AE107" s="15">
        <f t="shared" si="40"/>
        <v>1.2864000960823003</v>
      </c>
      <c r="AF107" s="15">
        <f t="shared" si="41"/>
        <v>0.95161463692414583</v>
      </c>
      <c r="AG107" s="15">
        <f t="shared" si="44"/>
        <v>9.2985068034221019</v>
      </c>
      <c r="AH107" s="15">
        <f t="shared" si="45"/>
        <v>5.1141638437965282</v>
      </c>
      <c r="AI107" s="15">
        <f t="shared" si="46"/>
        <v>2.8221220774209996</v>
      </c>
      <c r="AJ107" s="16">
        <f t="shared" si="47"/>
        <v>6.7330222240155004</v>
      </c>
      <c r="AK107" s="32">
        <f t="shared" si="48"/>
        <v>2.1066762702497321</v>
      </c>
      <c r="AL107" s="15">
        <f t="shared" si="49"/>
        <v>3.4178426306016543</v>
      </c>
      <c r="AM107" s="15">
        <f t="shared" si="50"/>
        <v>0.201970848658069</v>
      </c>
      <c r="AN107" s="16">
        <f t="shared" si="51"/>
        <v>0.13942140118508189</v>
      </c>
    </row>
    <row r="108" spans="1:40" x14ac:dyDescent="0.45">
      <c r="A108" s="19">
        <v>96</v>
      </c>
      <c r="B108" s="57" t="s">
        <v>69</v>
      </c>
      <c r="C108" s="58" t="s">
        <v>216</v>
      </c>
      <c r="D108" s="59">
        <v>2665</v>
      </c>
      <c r="E108" s="60">
        <v>5.2620312499999997</v>
      </c>
      <c r="F108" s="61">
        <v>27.824999999999999</v>
      </c>
      <c r="G108" s="61">
        <v>131</v>
      </c>
      <c r="H108" s="61">
        <v>449</v>
      </c>
      <c r="I108" s="61">
        <v>231.69076799999999</v>
      </c>
      <c r="J108" s="62">
        <v>17.142901999999999</v>
      </c>
      <c r="K108" s="28">
        <f t="shared" si="38"/>
        <v>35.181043529504841</v>
      </c>
      <c r="L108" s="69">
        <v>55.522834000000003</v>
      </c>
      <c r="M108" s="29">
        <f t="shared" si="39"/>
        <v>74.379517951492517</v>
      </c>
      <c r="N108" s="71">
        <v>76.194827000000004</v>
      </c>
      <c r="O108" s="35">
        <f t="shared" si="52"/>
        <v>2.6017002459953149</v>
      </c>
      <c r="P108" s="16">
        <f t="shared" si="42"/>
        <v>2.6032622033173052</v>
      </c>
      <c r="Q108" s="57" t="s">
        <v>69</v>
      </c>
      <c r="R108" s="58" t="s">
        <v>354</v>
      </c>
      <c r="S108" s="58">
        <v>2665</v>
      </c>
      <c r="T108" s="58">
        <f t="shared" si="53"/>
        <v>1</v>
      </c>
      <c r="U108" s="58"/>
      <c r="V108" s="73">
        <v>142</v>
      </c>
      <c r="W108" s="74">
        <v>1.7482679459999999</v>
      </c>
      <c r="X108" s="75">
        <v>1</v>
      </c>
      <c r="Y108" s="76">
        <v>1.0867999999999999E-2</v>
      </c>
      <c r="Z108" s="74">
        <v>1.7482679459999999</v>
      </c>
      <c r="AA108" s="61">
        <v>10908.052846</v>
      </c>
      <c r="AB108" s="77">
        <v>1.0867999999999999E-2</v>
      </c>
      <c r="AC108" s="35">
        <f t="shared" si="54"/>
        <v>4.3361670766588585</v>
      </c>
      <c r="AD108" s="15">
        <f t="shared" si="43"/>
        <v>1.4284067473415096</v>
      </c>
      <c r="AE108" s="15">
        <f t="shared" si="40"/>
        <v>1.0830160710756345</v>
      </c>
      <c r="AF108" s="15">
        <f t="shared" si="41"/>
        <v>0.58095484738242698</v>
      </c>
      <c r="AG108" s="15">
        <f t="shared" si="44"/>
        <v>3.3830690600443467</v>
      </c>
      <c r="AH108" s="15">
        <f t="shared" si="45"/>
        <v>2.808194117344565</v>
      </c>
      <c r="AI108" s="15">
        <f t="shared" si="46"/>
        <v>1.7148303610613742</v>
      </c>
      <c r="AJ108" s="16">
        <f t="shared" si="47"/>
        <v>3.4274444254313998</v>
      </c>
      <c r="AK108" s="32">
        <f t="shared" si="48"/>
        <v>3.3963817053479675</v>
      </c>
      <c r="AL108" s="15">
        <f t="shared" si="49"/>
        <v>1.721620530338142</v>
      </c>
      <c r="AM108" s="15">
        <f t="shared" si="50"/>
        <v>0.33224203029961102</v>
      </c>
      <c r="AN108" s="16">
        <f t="shared" si="51"/>
        <v>0.19004068058318735</v>
      </c>
    </row>
    <row r="109" spans="1:40" x14ac:dyDescent="0.45">
      <c r="A109" s="19">
        <v>97</v>
      </c>
      <c r="B109" s="57" t="s">
        <v>69</v>
      </c>
      <c r="C109" s="58" t="s">
        <v>217</v>
      </c>
      <c r="D109" s="59">
        <v>2666</v>
      </c>
      <c r="E109" s="60">
        <v>5.2589062499999999</v>
      </c>
      <c r="F109" s="61">
        <v>18.350000000000001</v>
      </c>
      <c r="G109" s="61">
        <v>126</v>
      </c>
      <c r="H109" s="61">
        <v>234</v>
      </c>
      <c r="I109" s="61">
        <v>173.156936</v>
      </c>
      <c r="J109" s="62">
        <v>9.7511019999999995</v>
      </c>
      <c r="K109" s="28">
        <f t="shared" si="38"/>
        <v>29.897666686222362</v>
      </c>
      <c r="L109" s="69">
        <v>49.518352</v>
      </c>
      <c r="M109" s="29">
        <f t="shared" si="39"/>
        <v>69.523386096839999</v>
      </c>
      <c r="N109" s="71">
        <v>76.426888000000005</v>
      </c>
      <c r="O109" s="35">
        <f t="shared" si="52"/>
        <v>2.7329506398072883</v>
      </c>
      <c r="P109" s="16">
        <f t="shared" ref="P109:P140" si="55">((AA109/0.3048)^0.8*(((1000/L109)-10)+1)^0.7)/(1900*J109^0.5)</f>
        <v>2.7345913946440743</v>
      </c>
      <c r="Q109" s="57" t="s">
        <v>69</v>
      </c>
      <c r="R109" s="58" t="s">
        <v>355</v>
      </c>
      <c r="S109" s="58">
        <v>2666</v>
      </c>
      <c r="T109" s="58">
        <f t="shared" si="53"/>
        <v>1</v>
      </c>
      <c r="U109" s="58"/>
      <c r="V109" s="73">
        <v>137</v>
      </c>
      <c r="W109" s="74">
        <v>0.97533639900000002</v>
      </c>
      <c r="X109" s="75">
        <v>1</v>
      </c>
      <c r="Y109" s="76">
        <v>6.1520000000000004E-3</v>
      </c>
      <c r="Z109" s="74">
        <v>0.97533639900000002</v>
      </c>
      <c r="AA109" s="61">
        <v>6742.964011</v>
      </c>
      <c r="AB109" s="77">
        <v>6.1520000000000004E-3</v>
      </c>
      <c r="AC109" s="35">
        <f t="shared" si="54"/>
        <v>4.5549177330121475</v>
      </c>
      <c r="AD109" s="15">
        <f t="shared" ref="AD109:AD140" si="56" xml:space="preserve"> 0.76 * (E109 ) ^ 0.38</f>
        <v>1.4280843347004997</v>
      </c>
      <c r="AE109" s="15">
        <f t="shared" si="40"/>
        <v>0.77440031517767716</v>
      </c>
      <c r="AF109" s="15">
        <f t="shared" si="41"/>
        <v>0.46145510830464048</v>
      </c>
      <c r="AG109" s="15">
        <f t="shared" ref="AG109:AG140" si="57" xml:space="preserve"> ( 4 * E109 ^ 0.5 + 1.5 * Z109 ) / ( 25.3 * ( AB109 *Z109 ) ^ 0.5)</f>
        <v>5.4271201350037819</v>
      </c>
      <c r="AH109" s="15">
        <f t="shared" ref="AH109:AH140" si="58" xml:space="preserve"> 1.7694 * E109 ^ 0.325 * Z109 ^ -0.096 *( AB109*100) ^ -0.29</f>
        <v>3.5022204291386121</v>
      </c>
      <c r="AI109" s="15">
        <f t="shared" ref="AI109:AI140" si="59" xml:space="preserve"> (0.007*(0.035^0.8) * ((Z109*1000)/0.3048)^0.8)/((AB109^0.4)*(N109/25.4)^0.5)</f>
        <v>1.3478801905258935</v>
      </c>
      <c r="AJ109" s="16">
        <f t="shared" ref="AJ109:AJ140" si="60">0.335 * (E109 / AB109 ^ 0.5) ^ 0.593</f>
        <v>4.0559487189699501</v>
      </c>
      <c r="AK109" s="32">
        <f t="shared" ref="AK109:AK140" si="61" xml:space="preserve"> 0.28 * F109 /E109^0.5</f>
        <v>2.2405074149716113</v>
      </c>
      <c r="AL109" s="15">
        <f t="shared" ref="AL109:AL140" si="62" xml:space="preserve"> E109 / Z109 ^ 2</f>
        <v>5.5282358690501603</v>
      </c>
      <c r="AM109" s="15">
        <f t="shared" ref="AM109:AM140" si="63">W109/E109</f>
        <v>0.18546373573402264</v>
      </c>
      <c r="AN109" s="16">
        <f t="shared" ref="AN109:AN140" si="64">X109/E109</f>
        <v>0.19015360846183557</v>
      </c>
    </row>
    <row r="110" spans="1:40" x14ac:dyDescent="0.45">
      <c r="A110" s="19">
        <v>98</v>
      </c>
      <c r="B110" s="57" t="s">
        <v>69</v>
      </c>
      <c r="C110" s="58" t="s">
        <v>218</v>
      </c>
      <c r="D110" s="59">
        <v>2667</v>
      </c>
      <c r="E110" s="60">
        <v>6.97265625</v>
      </c>
      <c r="F110" s="61">
        <v>24.35</v>
      </c>
      <c r="G110" s="61">
        <v>37</v>
      </c>
      <c r="H110" s="61">
        <v>67</v>
      </c>
      <c r="I110" s="61">
        <v>48.803629999999998</v>
      </c>
      <c r="J110" s="62">
        <v>6.383076</v>
      </c>
      <c r="K110" s="28">
        <f t="shared" si="38"/>
        <v>43.404946965342653</v>
      </c>
      <c r="L110" s="69">
        <v>63.820019000000002</v>
      </c>
      <c r="M110" s="29">
        <f t="shared" si="39"/>
        <v>80.40073155910973</v>
      </c>
      <c r="N110" s="71">
        <v>90.524017000000001</v>
      </c>
      <c r="O110" s="35">
        <f t="shared" si="52"/>
        <v>2.7155811279365518</v>
      </c>
      <c r="P110" s="16">
        <f t="shared" si="55"/>
        <v>2.7172114548094375</v>
      </c>
      <c r="Q110" s="57" t="s">
        <v>69</v>
      </c>
      <c r="R110" s="58" t="s">
        <v>356</v>
      </c>
      <c r="S110" s="58">
        <v>2667</v>
      </c>
      <c r="T110" s="58">
        <f t="shared" si="53"/>
        <v>1</v>
      </c>
      <c r="U110" s="58"/>
      <c r="V110" s="73">
        <v>41</v>
      </c>
      <c r="W110" s="74">
        <v>2.431707249</v>
      </c>
      <c r="X110" s="75">
        <v>1</v>
      </c>
      <c r="Y110" s="76">
        <v>1E-3</v>
      </c>
      <c r="Z110" s="74">
        <v>2.431707249</v>
      </c>
      <c r="AA110" s="61">
        <v>8076.0353480000003</v>
      </c>
      <c r="AB110" s="77">
        <v>1E-3</v>
      </c>
      <c r="AC110" s="35">
        <f t="shared" si="54"/>
        <v>4.5259685465609198</v>
      </c>
      <c r="AD110" s="15">
        <f t="shared" si="56"/>
        <v>1.5896624994392519</v>
      </c>
      <c r="AE110" s="15">
        <f t="shared" si="40"/>
        <v>2.189847312778749</v>
      </c>
      <c r="AF110" s="15">
        <f t="shared" si="41"/>
        <v>1.8767374653653239</v>
      </c>
      <c r="AG110" s="15">
        <f t="shared" si="57"/>
        <v>11.389748149559876</v>
      </c>
      <c r="AH110" s="15">
        <f t="shared" si="58"/>
        <v>5.9550165399991055</v>
      </c>
      <c r="AI110" s="15">
        <f t="shared" si="59"/>
        <v>5.3199124660284349</v>
      </c>
      <c r="AJ110" s="16">
        <f t="shared" si="60"/>
        <v>8.2163696997853659</v>
      </c>
      <c r="AK110" s="32">
        <f t="shared" si="61"/>
        <v>2.5820096991054298</v>
      </c>
      <c r="AL110" s="15">
        <f t="shared" si="62"/>
        <v>1.1791679765964815</v>
      </c>
      <c r="AM110" s="15">
        <f t="shared" si="63"/>
        <v>0.34874905083697477</v>
      </c>
      <c r="AN110" s="16">
        <f t="shared" si="64"/>
        <v>0.1434173669467787</v>
      </c>
    </row>
    <row r="111" spans="1:40" x14ac:dyDescent="0.45">
      <c r="A111" s="19">
        <v>99</v>
      </c>
      <c r="B111" s="57" t="s">
        <v>69</v>
      </c>
      <c r="C111" s="58" t="s">
        <v>219</v>
      </c>
      <c r="D111" s="59">
        <v>2668</v>
      </c>
      <c r="E111" s="60">
        <v>2.1562499999999998E-2</v>
      </c>
      <c r="F111" s="61">
        <v>0.85</v>
      </c>
      <c r="G111" s="61">
        <v>36</v>
      </c>
      <c r="H111" s="61">
        <v>45</v>
      </c>
      <c r="I111" s="61">
        <v>40.463768000000002</v>
      </c>
      <c r="J111" s="62">
        <v>5.1482609999999998</v>
      </c>
      <c r="K111" s="28">
        <f t="shared" si="38"/>
        <v>46.885934219734082</v>
      </c>
      <c r="L111" s="69">
        <v>67</v>
      </c>
      <c r="M111" s="29">
        <f t="shared" si="39"/>
        <v>82.522478137701682</v>
      </c>
      <c r="N111" s="71">
        <v>94.663064000000006</v>
      </c>
      <c r="O111" s="35">
        <f t="shared" si="52"/>
        <v>0.13338716661697667</v>
      </c>
      <c r="P111" s="16">
        <f t="shared" si="55"/>
        <v>0.13346724696515574</v>
      </c>
      <c r="Q111" s="57" t="s">
        <v>69</v>
      </c>
      <c r="R111" s="58" t="s">
        <v>357</v>
      </c>
      <c r="S111" s="58">
        <v>2668</v>
      </c>
      <c r="T111" s="58">
        <f t="shared" si="53"/>
        <v>1</v>
      </c>
      <c r="U111" s="58"/>
      <c r="V111" s="73">
        <v>39</v>
      </c>
      <c r="W111" s="74">
        <v>0.12178300900000001</v>
      </c>
      <c r="X111" s="75">
        <v>1</v>
      </c>
      <c r="Y111" s="76">
        <v>1E-3</v>
      </c>
      <c r="Z111" s="74">
        <v>0.12178300900000001</v>
      </c>
      <c r="AA111" s="61">
        <v>181.06601699999999</v>
      </c>
      <c r="AB111" s="77">
        <v>1E-3</v>
      </c>
      <c r="AC111" s="35">
        <f t="shared" si="54"/>
        <v>0.22231194436162777</v>
      </c>
      <c r="AD111" s="15">
        <f t="shared" si="56"/>
        <v>0.17685577878072276</v>
      </c>
      <c r="AE111" s="15">
        <f t="shared" si="40"/>
        <v>0.22499203664168613</v>
      </c>
      <c r="AF111" s="15">
        <f t="shared" si="41"/>
        <v>0.18713438330478369</v>
      </c>
      <c r="AG111" s="15">
        <f t="shared" si="57"/>
        <v>2.7580381622283374</v>
      </c>
      <c r="AH111" s="15">
        <f t="shared" si="58"/>
        <v>1.2135618385262332</v>
      </c>
      <c r="AI111" s="15">
        <f t="shared" si="59"/>
        <v>0.47417258968395359</v>
      </c>
      <c r="AJ111" s="16">
        <f t="shared" si="60"/>
        <v>0.26694905063994817</v>
      </c>
      <c r="AK111" s="32">
        <f t="shared" si="61"/>
        <v>1.6207924345646574</v>
      </c>
      <c r="AL111" s="15">
        <f t="shared" si="62"/>
        <v>1.45387045717817</v>
      </c>
      <c r="AM111" s="15">
        <f t="shared" si="63"/>
        <v>5.6479076637681169</v>
      </c>
      <c r="AN111" s="16">
        <f t="shared" si="64"/>
        <v>46.376811594202906</v>
      </c>
    </row>
    <row r="112" spans="1:40" x14ac:dyDescent="0.45">
      <c r="A112" s="19">
        <v>100</v>
      </c>
      <c r="B112" s="57" t="s">
        <v>69</v>
      </c>
      <c r="C112" s="58" t="s">
        <v>220</v>
      </c>
      <c r="D112" s="59">
        <v>2669</v>
      </c>
      <c r="E112" s="60">
        <v>4.1478124999999997</v>
      </c>
      <c r="F112" s="61">
        <v>19.024999999999999</v>
      </c>
      <c r="G112" s="61">
        <v>30</v>
      </c>
      <c r="H112" s="61">
        <v>53</v>
      </c>
      <c r="I112" s="61">
        <v>38.625442999999997</v>
      </c>
      <c r="J112" s="62">
        <v>5.5428980000000001</v>
      </c>
      <c r="K112" s="28">
        <f t="shared" si="38"/>
        <v>48.745418049701335</v>
      </c>
      <c r="L112" s="69">
        <v>68.626503</v>
      </c>
      <c r="M112" s="29">
        <f t="shared" si="39"/>
        <v>83.571506290835799</v>
      </c>
      <c r="N112" s="71">
        <v>96.971715000000003</v>
      </c>
      <c r="O112" s="35">
        <f t="shared" si="52"/>
        <v>1.6768049480434957</v>
      </c>
      <c r="P112" s="16">
        <f t="shared" si="55"/>
        <v>1.6778116350245103</v>
      </c>
      <c r="Q112" s="57" t="s">
        <v>69</v>
      </c>
      <c r="R112" s="58" t="s">
        <v>358</v>
      </c>
      <c r="S112" s="58">
        <v>2669</v>
      </c>
      <c r="T112" s="58">
        <f t="shared" si="53"/>
        <v>1</v>
      </c>
      <c r="U112" s="58"/>
      <c r="V112" s="73">
        <v>36</v>
      </c>
      <c r="W112" s="74">
        <v>0.154549513</v>
      </c>
      <c r="X112" s="75">
        <v>1</v>
      </c>
      <c r="Y112" s="76">
        <v>1E-3</v>
      </c>
      <c r="Z112" s="74">
        <v>0.154549513</v>
      </c>
      <c r="AA112" s="61">
        <v>4736.8217860000004</v>
      </c>
      <c r="AB112" s="77">
        <v>1E-3</v>
      </c>
      <c r="AC112" s="35">
        <f t="shared" si="54"/>
        <v>2.7946749134058262</v>
      </c>
      <c r="AD112" s="15">
        <f t="shared" si="56"/>
        <v>1.3049229113883993</v>
      </c>
      <c r="AE112" s="15">
        <f t="shared" si="40"/>
        <v>0.26965759807421291</v>
      </c>
      <c r="AF112" s="15">
        <f t="shared" si="41"/>
        <v>0.22481946735604341</v>
      </c>
      <c r="AG112" s="15">
        <f t="shared" si="57"/>
        <v>26.637983940585219</v>
      </c>
      <c r="AH112" s="15">
        <f t="shared" si="58"/>
        <v>6.5534009857759727</v>
      </c>
      <c r="AI112" s="15">
        <f t="shared" si="59"/>
        <v>0.56687713253271743</v>
      </c>
      <c r="AJ112" s="16">
        <f t="shared" si="60"/>
        <v>6.0382562960275772</v>
      </c>
      <c r="AK112" s="32">
        <f t="shared" si="61"/>
        <v>2.6156109013483477</v>
      </c>
      <c r="AL112" s="15">
        <f t="shared" si="62"/>
        <v>173.65361727724081</v>
      </c>
      <c r="AM112" s="15">
        <f t="shared" si="63"/>
        <v>3.7260486822873508E-2</v>
      </c>
      <c r="AN112" s="16">
        <f t="shared" si="64"/>
        <v>0.24109093648760643</v>
      </c>
    </row>
    <row r="113" spans="1:40" x14ac:dyDescent="0.45">
      <c r="A113" s="19">
        <v>101</v>
      </c>
      <c r="B113" s="57" t="s">
        <v>69</v>
      </c>
      <c r="C113" s="58" t="s">
        <v>221</v>
      </c>
      <c r="D113" s="59">
        <v>2670</v>
      </c>
      <c r="E113" s="60">
        <v>21.356562499999999</v>
      </c>
      <c r="F113" s="61">
        <v>28.625</v>
      </c>
      <c r="G113" s="61">
        <v>470</v>
      </c>
      <c r="H113" s="61">
        <v>2293</v>
      </c>
      <c r="I113" s="61">
        <v>1238.00496</v>
      </c>
      <c r="J113" s="62">
        <v>47.746265000000001</v>
      </c>
      <c r="K113" s="28">
        <f t="shared" si="38"/>
        <v>58.813528644160662</v>
      </c>
      <c r="L113" s="69">
        <v>76.659279999999995</v>
      </c>
      <c r="M113" s="29">
        <f t="shared" si="39"/>
        <v>88.42330216230016</v>
      </c>
      <c r="N113" s="71">
        <v>77.714821999999998</v>
      </c>
      <c r="O113" s="35">
        <f t="shared" si="52"/>
        <v>0.8690345900471782</v>
      </c>
      <c r="P113" s="16">
        <f t="shared" si="55"/>
        <v>0.86955632384148296</v>
      </c>
      <c r="Q113" s="57" t="s">
        <v>69</v>
      </c>
      <c r="R113" s="58" t="s">
        <v>359</v>
      </c>
      <c r="S113" s="58">
        <v>2670</v>
      </c>
      <c r="T113" s="58">
        <f t="shared" si="53"/>
        <v>1</v>
      </c>
      <c r="U113" s="58"/>
      <c r="V113" s="73">
        <v>824</v>
      </c>
      <c r="W113" s="74">
        <v>7.6837125689999999</v>
      </c>
      <c r="X113" s="75">
        <v>1</v>
      </c>
      <c r="Y113" s="76">
        <v>9.2012999999999998E-2</v>
      </c>
      <c r="Z113" s="74">
        <v>7.6837125689999999</v>
      </c>
      <c r="AA113" s="61">
        <v>10589.791660999999</v>
      </c>
      <c r="AB113" s="77">
        <v>9.2012999999999998E-2</v>
      </c>
      <c r="AC113" s="35">
        <f t="shared" si="54"/>
        <v>1.4483909834119637</v>
      </c>
      <c r="AD113" s="15">
        <f t="shared" si="56"/>
        <v>2.4324028615787796</v>
      </c>
      <c r="AE113" s="15">
        <f t="shared" si="40"/>
        <v>2.2234325152518912</v>
      </c>
      <c r="AF113" s="15">
        <f t="shared" si="41"/>
        <v>0.79810429450050591</v>
      </c>
      <c r="AG113" s="15">
        <f t="shared" si="57"/>
        <v>1.41074130455683</v>
      </c>
      <c r="AH113" s="15">
        <f t="shared" si="58"/>
        <v>2.0672481888081085</v>
      </c>
      <c r="AI113" s="15">
        <f t="shared" si="59"/>
        <v>2.3616886773405077</v>
      </c>
      <c r="AJ113" s="16">
        <f t="shared" si="60"/>
        <v>4.1751839382417506</v>
      </c>
      <c r="AK113" s="32">
        <f t="shared" si="61"/>
        <v>1.7343544189223026</v>
      </c>
      <c r="AL113" s="15">
        <f t="shared" si="62"/>
        <v>0.36173383281621474</v>
      </c>
      <c r="AM113" s="15">
        <f t="shared" si="63"/>
        <v>0.35978227156172721</v>
      </c>
      <c r="AN113" s="16">
        <f t="shared" si="64"/>
        <v>4.6824014866624721E-2</v>
      </c>
    </row>
    <row r="114" spans="1:40" x14ac:dyDescent="0.45">
      <c r="A114" s="19">
        <v>102</v>
      </c>
      <c r="B114" s="57" t="s">
        <v>69</v>
      </c>
      <c r="C114" s="58" t="s">
        <v>7</v>
      </c>
      <c r="D114" s="59">
        <v>2671</v>
      </c>
      <c r="E114" s="60">
        <v>7.7873437499999998</v>
      </c>
      <c r="F114" s="61">
        <v>17.925000000000001</v>
      </c>
      <c r="G114" s="61">
        <v>257</v>
      </c>
      <c r="H114" s="61">
        <v>802</v>
      </c>
      <c r="I114" s="61">
        <v>446.10541899999998</v>
      </c>
      <c r="J114" s="62">
        <v>26.488610999999999</v>
      </c>
      <c r="K114" s="28">
        <f t="shared" si="38"/>
        <v>54.034048852701702</v>
      </c>
      <c r="L114" s="69">
        <v>73</v>
      </c>
      <c r="M114" s="29">
        <f t="shared" si="39"/>
        <v>86.278217704763023</v>
      </c>
      <c r="N114" s="71">
        <v>77.119973999999999</v>
      </c>
      <c r="O114" s="35">
        <f t="shared" si="52"/>
        <v>1.012731180319236</v>
      </c>
      <c r="P114" s="16">
        <f t="shared" si="55"/>
        <v>1.013339183829534</v>
      </c>
      <c r="Q114" s="57" t="s">
        <v>69</v>
      </c>
      <c r="R114" s="58" t="s">
        <v>360</v>
      </c>
      <c r="S114" s="58">
        <v>2671</v>
      </c>
      <c r="T114" s="58">
        <f t="shared" si="53"/>
        <v>1</v>
      </c>
      <c r="U114" s="58"/>
      <c r="V114" s="73">
        <v>320</v>
      </c>
      <c r="W114" s="74">
        <v>6.5374368670000003</v>
      </c>
      <c r="X114" s="75">
        <v>1</v>
      </c>
      <c r="Y114" s="76">
        <v>1.8509000000000001E-2</v>
      </c>
      <c r="Z114" s="74">
        <v>6.5374368670000003</v>
      </c>
      <c r="AA114" s="61">
        <v>7781.9358739999998</v>
      </c>
      <c r="AB114" s="77">
        <v>1.8509000000000001E-2</v>
      </c>
      <c r="AC114" s="35">
        <f t="shared" si="54"/>
        <v>1.6878853005320602</v>
      </c>
      <c r="AD114" s="15">
        <f t="shared" si="56"/>
        <v>1.6578359143242343</v>
      </c>
      <c r="AE114" s="15">
        <f t="shared" si="40"/>
        <v>2.6670318318170416</v>
      </c>
      <c r="AF114" s="15">
        <f t="shared" si="41"/>
        <v>1.3066918256241442</v>
      </c>
      <c r="AG114" s="15">
        <f t="shared" si="57"/>
        <v>2.3826003632952708</v>
      </c>
      <c r="AH114" s="15">
        <f t="shared" si="58"/>
        <v>2.4082822374480513</v>
      </c>
      <c r="AI114" s="15">
        <f t="shared" si="59"/>
        <v>3.9568241577590126</v>
      </c>
      <c r="AJ114" s="16">
        <f t="shared" si="60"/>
        <v>3.6928327849135876</v>
      </c>
      <c r="AK114" s="32">
        <f t="shared" si="61"/>
        <v>1.7985500289693341</v>
      </c>
      <c r="AL114" s="15">
        <f t="shared" si="62"/>
        <v>0.18221089028920889</v>
      </c>
      <c r="AM114" s="15">
        <f t="shared" si="63"/>
        <v>0.83949509317602689</v>
      </c>
      <c r="AN114" s="16">
        <f t="shared" si="64"/>
        <v>0.12841349144244468</v>
      </c>
    </row>
    <row r="115" spans="1:40" x14ac:dyDescent="0.45">
      <c r="A115" s="19">
        <v>103</v>
      </c>
      <c r="B115" s="57" t="s">
        <v>69</v>
      </c>
      <c r="C115" s="58" t="s">
        <v>8</v>
      </c>
      <c r="D115" s="59">
        <v>2672</v>
      </c>
      <c r="E115" s="60">
        <v>6.58890625</v>
      </c>
      <c r="F115" s="61">
        <v>18.7</v>
      </c>
      <c r="G115" s="61">
        <v>90</v>
      </c>
      <c r="H115" s="61">
        <v>160</v>
      </c>
      <c r="I115" s="61">
        <v>110.727952</v>
      </c>
      <c r="J115" s="62">
        <v>7.9282810000000001</v>
      </c>
      <c r="K115" s="28">
        <f t="shared" si="38"/>
        <v>26.773129363903074</v>
      </c>
      <c r="L115" s="69">
        <v>45.679437999999998</v>
      </c>
      <c r="M115" s="29">
        <f t="shared" si="39"/>
        <v>66.166335384252591</v>
      </c>
      <c r="N115" s="71">
        <v>78.296144999999996</v>
      </c>
      <c r="O115" s="35">
        <f t="shared" si="52"/>
        <v>2.9948190899583009</v>
      </c>
      <c r="P115" s="16">
        <f t="shared" si="55"/>
        <v>2.996617060194418</v>
      </c>
      <c r="Q115" s="57" t="s">
        <v>69</v>
      </c>
      <c r="R115" s="58" t="s">
        <v>361</v>
      </c>
      <c r="S115" s="58">
        <v>2672</v>
      </c>
      <c r="T115" s="58">
        <f t="shared" si="53"/>
        <v>1</v>
      </c>
      <c r="U115" s="58"/>
      <c r="V115" s="73">
        <v>102</v>
      </c>
      <c r="W115" s="74">
        <v>1.687176676</v>
      </c>
      <c r="X115" s="75">
        <v>1</v>
      </c>
      <c r="Y115" s="76">
        <v>1E-3</v>
      </c>
      <c r="Z115" s="74">
        <v>1.687176676</v>
      </c>
      <c r="AA115" s="61">
        <v>5870.9970199999998</v>
      </c>
      <c r="AB115" s="77">
        <v>1E-3</v>
      </c>
      <c r="AC115" s="35">
        <f t="shared" si="54"/>
        <v>4.9913651499305018</v>
      </c>
      <c r="AD115" s="15">
        <f t="shared" si="56"/>
        <v>1.5558318470304042</v>
      </c>
      <c r="AE115" s="15">
        <f t="shared" si="40"/>
        <v>1.6586825761289588</v>
      </c>
      <c r="AF115" s="15">
        <f t="shared" si="41"/>
        <v>1.4163332947403096</v>
      </c>
      <c r="AG115" s="15">
        <f t="shared" si="57"/>
        <v>12.315494532212536</v>
      </c>
      <c r="AH115" s="15">
        <f t="shared" si="58"/>
        <v>6.0552620218377093</v>
      </c>
      <c r="AI115" s="15">
        <f t="shared" si="59"/>
        <v>4.2698795515343484</v>
      </c>
      <c r="AJ115" s="16">
        <f t="shared" si="60"/>
        <v>7.9451318854743569</v>
      </c>
      <c r="AK115" s="32">
        <f t="shared" si="61"/>
        <v>2.0398252986290117</v>
      </c>
      <c r="AL115" s="15">
        <f t="shared" si="62"/>
        <v>2.3146866258503542</v>
      </c>
      <c r="AM115" s="15">
        <f t="shared" si="63"/>
        <v>0.25606323902392752</v>
      </c>
      <c r="AN115" s="16">
        <f t="shared" si="64"/>
        <v>0.15177025777229719</v>
      </c>
    </row>
    <row r="116" spans="1:40" x14ac:dyDescent="0.45">
      <c r="A116" s="19">
        <v>104</v>
      </c>
      <c r="B116" s="57" t="s">
        <v>69</v>
      </c>
      <c r="C116" s="58" t="s">
        <v>9</v>
      </c>
      <c r="D116" s="59">
        <v>2674</v>
      </c>
      <c r="E116" s="60">
        <v>3.7210937500000001</v>
      </c>
      <c r="F116" s="61">
        <v>15.775</v>
      </c>
      <c r="G116" s="61">
        <v>198</v>
      </c>
      <c r="H116" s="61">
        <v>450</v>
      </c>
      <c r="I116" s="61">
        <v>270.65366399999999</v>
      </c>
      <c r="J116" s="62">
        <v>18.436236999999998</v>
      </c>
      <c r="K116" s="28">
        <f t="shared" si="38"/>
        <v>45.997475648164702</v>
      </c>
      <c r="L116" s="69">
        <v>66.205485999999993</v>
      </c>
      <c r="M116" s="29">
        <f t="shared" si="39"/>
        <v>82.00129041450748</v>
      </c>
      <c r="N116" s="71">
        <v>76.636733000000007</v>
      </c>
      <c r="O116" s="35">
        <f t="shared" si="52"/>
        <v>1.0874899572954053</v>
      </c>
      <c r="P116" s="16">
        <f t="shared" si="55"/>
        <v>1.0881428430012059</v>
      </c>
      <c r="Q116" s="57" t="s">
        <v>69</v>
      </c>
      <c r="R116" s="58" t="s">
        <v>362</v>
      </c>
      <c r="S116" s="58">
        <v>2674</v>
      </c>
      <c r="T116" s="58">
        <f t="shared" si="53"/>
        <v>1</v>
      </c>
      <c r="U116" s="58"/>
      <c r="V116" s="73">
        <v>227</v>
      </c>
      <c r="W116" s="74">
        <v>4.4173989869999994</v>
      </c>
      <c r="X116" s="75">
        <v>1</v>
      </c>
      <c r="Y116" s="76">
        <v>1.5394E-2</v>
      </c>
      <c r="Z116" s="74">
        <v>4.4173989869999994</v>
      </c>
      <c r="AA116" s="61">
        <v>5394.067908</v>
      </c>
      <c r="AB116" s="77">
        <v>1.5394E-2</v>
      </c>
      <c r="AC116" s="35">
        <f t="shared" si="54"/>
        <v>1.8124832621590088</v>
      </c>
      <c r="AD116" s="15">
        <f t="shared" si="56"/>
        <v>1.2521847916804545</v>
      </c>
      <c r="AE116" s="15">
        <f t="shared" si="40"/>
        <v>2.050459094616373</v>
      </c>
      <c r="AF116" s="15">
        <f t="shared" si="41"/>
        <v>1.0372890978351501</v>
      </c>
      <c r="AG116" s="15">
        <f t="shared" si="57"/>
        <v>2.1738760630502356</v>
      </c>
      <c r="AH116" s="15">
        <f t="shared" si="58"/>
        <v>2.0750379589602406</v>
      </c>
      <c r="AI116" s="15">
        <f t="shared" si="59"/>
        <v>3.1227094768748573</v>
      </c>
      <c r="AJ116" s="16">
        <f t="shared" si="60"/>
        <v>2.5171133057590782</v>
      </c>
      <c r="AK116" s="32">
        <f t="shared" si="61"/>
        <v>2.2897712246379398</v>
      </c>
      <c r="AL116" s="15">
        <f t="shared" si="62"/>
        <v>0.19069414435451468</v>
      </c>
      <c r="AM116" s="15">
        <f t="shared" si="63"/>
        <v>1.1871238092294771</v>
      </c>
      <c r="AN116" s="16">
        <f t="shared" si="64"/>
        <v>0.26873819021625028</v>
      </c>
    </row>
    <row r="117" spans="1:40" x14ac:dyDescent="0.45">
      <c r="A117" s="19">
        <v>105</v>
      </c>
      <c r="B117" s="57" t="s">
        <v>69</v>
      </c>
      <c r="C117" s="58" t="s">
        <v>10</v>
      </c>
      <c r="D117" s="59">
        <v>2675</v>
      </c>
      <c r="E117" s="60">
        <v>1.3457812499999999</v>
      </c>
      <c r="F117" s="61">
        <v>9.6</v>
      </c>
      <c r="G117" s="61">
        <v>95</v>
      </c>
      <c r="H117" s="61">
        <v>175</v>
      </c>
      <c r="I117" s="61">
        <v>114.41147100000001</v>
      </c>
      <c r="J117" s="62">
        <v>9.9809560000000008</v>
      </c>
      <c r="K117" s="28">
        <f t="shared" si="38"/>
        <v>28.844572935941763</v>
      </c>
      <c r="L117" s="69">
        <v>48.249825000000001</v>
      </c>
      <c r="M117" s="29">
        <f t="shared" si="39"/>
        <v>68.437138067508556</v>
      </c>
      <c r="N117" s="71">
        <v>77.848483999999999</v>
      </c>
      <c r="O117" s="35">
        <f t="shared" si="52"/>
        <v>1.5094757366387952</v>
      </c>
      <c r="P117" s="16">
        <f t="shared" si="55"/>
        <v>1.5103819658182862</v>
      </c>
      <c r="Q117" s="57" t="s">
        <v>69</v>
      </c>
      <c r="R117" s="58" t="s">
        <v>363</v>
      </c>
      <c r="S117" s="58">
        <v>2675</v>
      </c>
      <c r="T117" s="58">
        <f t="shared" si="53"/>
        <v>1</v>
      </c>
      <c r="U117" s="58"/>
      <c r="V117" s="73">
        <v>109</v>
      </c>
      <c r="W117" s="74">
        <v>2.186548519</v>
      </c>
      <c r="X117" s="75">
        <v>1</v>
      </c>
      <c r="Y117" s="76">
        <v>3.2009999999999999E-3</v>
      </c>
      <c r="Z117" s="74">
        <v>2.186548519</v>
      </c>
      <c r="AA117" s="61">
        <v>3128.3062749999999</v>
      </c>
      <c r="AB117" s="77">
        <v>3.2009999999999999E-3</v>
      </c>
      <c r="AC117" s="35">
        <f t="shared" si="54"/>
        <v>2.5157928943979919</v>
      </c>
      <c r="AD117" s="15">
        <f t="shared" si="56"/>
        <v>0.85079296879837341</v>
      </c>
      <c r="AE117" s="15">
        <f t="shared" si="40"/>
        <v>1.6193245750505769</v>
      </c>
      <c r="AF117" s="15">
        <f t="shared" si="41"/>
        <v>1.1049213564085536</v>
      </c>
      <c r="AG117" s="15">
        <f t="shared" si="57"/>
        <v>3.7418784971403931</v>
      </c>
      <c r="AH117" s="15">
        <f t="shared" si="58"/>
        <v>2.5153186205192433</v>
      </c>
      <c r="AI117" s="15">
        <f t="shared" si="59"/>
        <v>3.3084555879031989</v>
      </c>
      <c r="AJ117" s="16">
        <f t="shared" si="60"/>
        <v>2.1938628158692457</v>
      </c>
      <c r="AK117" s="32">
        <f t="shared" si="61"/>
        <v>2.3170853308654857</v>
      </c>
      <c r="AL117" s="15">
        <f t="shared" si="62"/>
        <v>0.28148563459893505</v>
      </c>
      <c r="AM117" s="15">
        <f t="shared" si="63"/>
        <v>1.6247428911645188</v>
      </c>
      <c r="AN117" s="16">
        <f t="shared" si="64"/>
        <v>0.74306281202832936</v>
      </c>
    </row>
    <row r="118" spans="1:40" x14ac:dyDescent="0.45">
      <c r="A118" s="19">
        <v>106</v>
      </c>
      <c r="B118" s="57" t="s">
        <v>69</v>
      </c>
      <c r="C118" s="58" t="s">
        <v>11</v>
      </c>
      <c r="D118" s="59">
        <v>2676</v>
      </c>
      <c r="E118" s="60">
        <v>20.037812500000001</v>
      </c>
      <c r="F118" s="61">
        <v>35.35</v>
      </c>
      <c r="G118" s="61">
        <v>263</v>
      </c>
      <c r="H118" s="61">
        <v>2076</v>
      </c>
      <c r="I118" s="61">
        <v>938.00771199999997</v>
      </c>
      <c r="J118" s="62">
        <v>40.708495999999997</v>
      </c>
      <c r="K118" s="28">
        <f t="shared" si="38"/>
        <v>57.717506365307884</v>
      </c>
      <c r="L118" s="69">
        <v>75.843097</v>
      </c>
      <c r="M118" s="29">
        <f t="shared" si="39"/>
        <v>87.953844144398047</v>
      </c>
      <c r="N118" s="71">
        <v>77.068961000000002</v>
      </c>
      <c r="O118" s="35">
        <f t="shared" si="52"/>
        <v>1.2870860444502921</v>
      </c>
      <c r="P118" s="16">
        <f t="shared" si="55"/>
        <v>1.2878587597061155</v>
      </c>
      <c r="Q118" s="57" t="s">
        <v>69</v>
      </c>
      <c r="R118" s="58" t="s">
        <v>364</v>
      </c>
      <c r="S118" s="58">
        <v>2676</v>
      </c>
      <c r="T118" s="58">
        <f t="shared" si="53"/>
        <v>1</v>
      </c>
      <c r="U118" s="58"/>
      <c r="V118" s="73">
        <v>520</v>
      </c>
      <c r="W118" s="74">
        <v>11.676960677999999</v>
      </c>
      <c r="X118" s="75">
        <v>1</v>
      </c>
      <c r="Y118" s="76">
        <v>6.8597000000000005E-2</v>
      </c>
      <c r="Z118" s="74">
        <v>11.676960677999999</v>
      </c>
      <c r="AA118" s="61">
        <v>15200.273266</v>
      </c>
      <c r="AB118" s="77">
        <v>6.8597000000000005E-2</v>
      </c>
      <c r="AC118" s="35">
        <f t="shared" si="54"/>
        <v>2.1451434074171534</v>
      </c>
      <c r="AD118" s="15">
        <f t="shared" si="56"/>
        <v>2.3741967682846261</v>
      </c>
      <c r="AE118" s="15">
        <f t="shared" si="40"/>
        <v>3.2314239752246743</v>
      </c>
      <c r="AF118" s="15">
        <f t="shared" si="41"/>
        <v>1.2334408238899575</v>
      </c>
      <c r="AG118" s="15">
        <f t="shared" si="57"/>
        <v>1.5643050324056578</v>
      </c>
      <c r="AH118" s="15">
        <f t="shared" si="58"/>
        <v>2.118045205670295</v>
      </c>
      <c r="AI118" s="15">
        <f t="shared" si="59"/>
        <v>3.7278584775540011</v>
      </c>
      <c r="AJ118" s="16">
        <f t="shared" si="60"/>
        <v>4.3860903245538818</v>
      </c>
      <c r="AK118" s="32">
        <f t="shared" si="61"/>
        <v>2.2111708237456398</v>
      </c>
      <c r="AL118" s="15">
        <f t="shared" si="62"/>
        <v>0.14695713378190886</v>
      </c>
      <c r="AM118" s="15">
        <f t="shared" si="63"/>
        <v>0.58274627921585742</v>
      </c>
      <c r="AN118" s="16">
        <f t="shared" si="64"/>
        <v>4.9905647135883718E-2</v>
      </c>
    </row>
    <row r="119" spans="1:40" x14ac:dyDescent="0.45">
      <c r="A119" s="19">
        <v>107</v>
      </c>
      <c r="B119" s="57" t="s">
        <v>69</v>
      </c>
      <c r="C119" s="58" t="s">
        <v>12</v>
      </c>
      <c r="D119" s="59">
        <v>2677</v>
      </c>
      <c r="E119" s="60">
        <v>3.7984374999999999</v>
      </c>
      <c r="F119" s="61">
        <v>11.2</v>
      </c>
      <c r="G119" s="61">
        <v>386</v>
      </c>
      <c r="H119" s="61">
        <v>866</v>
      </c>
      <c r="I119" s="61">
        <v>633.37338499999998</v>
      </c>
      <c r="J119" s="62">
        <v>24.909047999999999</v>
      </c>
      <c r="K119" s="28">
        <f t="shared" si="38"/>
        <v>54.034048852701702</v>
      </c>
      <c r="L119" s="69">
        <v>73</v>
      </c>
      <c r="M119" s="29">
        <f t="shared" si="39"/>
        <v>86.278217704763023</v>
      </c>
      <c r="N119" s="71">
        <v>77.588508000000004</v>
      </c>
      <c r="O119" s="35">
        <f t="shared" si="52"/>
        <v>0.65151361100666028</v>
      </c>
      <c r="P119" s="16">
        <f t="shared" si="55"/>
        <v>0.65190475385897573</v>
      </c>
      <c r="Q119" s="57" t="s">
        <v>69</v>
      </c>
      <c r="R119" s="58" t="s">
        <v>365</v>
      </c>
      <c r="S119" s="58">
        <v>2677</v>
      </c>
      <c r="T119" s="58">
        <f t="shared" si="53"/>
        <v>1</v>
      </c>
      <c r="U119" s="58"/>
      <c r="V119" s="73">
        <v>434</v>
      </c>
      <c r="W119" s="74">
        <v>2.0194543650000001</v>
      </c>
      <c r="X119" s="75">
        <v>1</v>
      </c>
      <c r="Y119" s="76">
        <v>4.5061999999999998E-2</v>
      </c>
      <c r="Z119" s="74">
        <v>2.0194543650000001</v>
      </c>
      <c r="AA119" s="61">
        <v>4314.5499620000001</v>
      </c>
      <c r="AB119" s="77">
        <v>4.5061999999999998E-2</v>
      </c>
      <c r="AC119" s="35">
        <f t="shared" si="54"/>
        <v>1.0858560183444339</v>
      </c>
      <c r="AD119" s="15">
        <f t="shared" si="56"/>
        <v>1.2620120059741335</v>
      </c>
      <c r="AE119" s="15">
        <f t="shared" si="40"/>
        <v>0.92230622488617531</v>
      </c>
      <c r="AF119" s="15">
        <f t="shared" si="41"/>
        <v>0.37546115884831499</v>
      </c>
      <c r="AG119" s="15">
        <f t="shared" si="57"/>
        <v>1.4183574128133365</v>
      </c>
      <c r="AH119" s="15">
        <f t="shared" si="58"/>
        <v>1.6492638524977177</v>
      </c>
      <c r="AI119" s="15">
        <f t="shared" si="59"/>
        <v>1.0797462711815295</v>
      </c>
      <c r="AJ119" s="16">
        <f t="shared" si="60"/>
        <v>1.8530867924428909</v>
      </c>
      <c r="AK119" s="32">
        <f t="shared" si="61"/>
        <v>1.6090649011231111</v>
      </c>
      <c r="AL119" s="15">
        <f t="shared" si="62"/>
        <v>0.93140142431592954</v>
      </c>
      <c r="AM119" s="15">
        <f t="shared" si="63"/>
        <v>0.53165396692719047</v>
      </c>
      <c r="AN119" s="16">
        <f t="shared" si="64"/>
        <v>0.26326614561908679</v>
      </c>
    </row>
    <row r="120" spans="1:40" x14ac:dyDescent="0.45">
      <c r="A120" s="19">
        <v>108</v>
      </c>
      <c r="B120" s="57" t="s">
        <v>69</v>
      </c>
      <c r="C120" s="58" t="s">
        <v>13</v>
      </c>
      <c r="D120" s="59">
        <v>2678</v>
      </c>
      <c r="E120" s="60">
        <v>11.0140625</v>
      </c>
      <c r="F120" s="61">
        <v>25.25</v>
      </c>
      <c r="G120" s="61">
        <v>78</v>
      </c>
      <c r="H120" s="61">
        <v>177</v>
      </c>
      <c r="I120" s="61">
        <v>103.341836</v>
      </c>
      <c r="J120" s="62">
        <v>8.4656479999999998</v>
      </c>
      <c r="K120" s="28">
        <f t="shared" si="38"/>
        <v>27.886670106225147</v>
      </c>
      <c r="L120" s="69">
        <v>47.073822999999997</v>
      </c>
      <c r="M120" s="29">
        <f t="shared" si="39"/>
        <v>67.410026451953357</v>
      </c>
      <c r="N120" s="71">
        <v>77.549965</v>
      </c>
      <c r="O120" s="35">
        <f t="shared" si="52"/>
        <v>3.4280820124436242</v>
      </c>
      <c r="P120" s="16">
        <f t="shared" si="55"/>
        <v>3.4301400965015252</v>
      </c>
      <c r="Q120" s="57" t="s">
        <v>69</v>
      </c>
      <c r="R120" s="58" t="s">
        <v>366</v>
      </c>
      <c r="S120" s="58">
        <v>2678</v>
      </c>
      <c r="T120" s="58">
        <f t="shared" si="53"/>
        <v>1</v>
      </c>
      <c r="U120" s="58"/>
      <c r="V120" s="73">
        <v>95</v>
      </c>
      <c r="W120" s="74">
        <v>5.8150387769999998</v>
      </c>
      <c r="X120" s="75">
        <v>1</v>
      </c>
      <c r="Y120" s="76">
        <v>1.892E-3</v>
      </c>
      <c r="Z120" s="74">
        <v>5.8150387769999998</v>
      </c>
      <c r="AA120" s="61">
        <v>7576.6188629999997</v>
      </c>
      <c r="AB120" s="77">
        <v>1.892E-3</v>
      </c>
      <c r="AC120" s="35">
        <f t="shared" si="54"/>
        <v>5.7134700207393738</v>
      </c>
      <c r="AD120" s="15">
        <f t="shared" si="56"/>
        <v>1.8912705334835833</v>
      </c>
      <c r="AE120" s="15">
        <f t="shared" si="40"/>
        <v>3.7632773545635407</v>
      </c>
      <c r="AF120" s="15">
        <f t="shared" si="41"/>
        <v>2.8730468558190863</v>
      </c>
      <c r="AG120" s="15">
        <f t="shared" si="57"/>
        <v>8.289276287051333</v>
      </c>
      <c r="AH120" s="15">
        <f t="shared" si="58"/>
        <v>5.2814697049362405</v>
      </c>
      <c r="AI120" s="15">
        <f t="shared" si="59"/>
        <v>8.9462328952003833</v>
      </c>
      <c r="AJ120" s="16">
        <f t="shared" si="60"/>
        <v>8.9189264098978303</v>
      </c>
      <c r="AK120" s="32">
        <f t="shared" si="61"/>
        <v>2.1303239283550157</v>
      </c>
      <c r="AL120" s="15">
        <f t="shared" si="62"/>
        <v>0.32571841017081926</v>
      </c>
      <c r="AM120" s="15">
        <f t="shared" si="63"/>
        <v>0.52796493364732588</v>
      </c>
      <c r="AN120" s="16">
        <f t="shared" si="64"/>
        <v>9.0793020286565468E-2</v>
      </c>
    </row>
    <row r="121" spans="1:40" x14ac:dyDescent="0.45">
      <c r="A121" s="19">
        <v>109</v>
      </c>
      <c r="B121" s="57" t="s">
        <v>69</v>
      </c>
      <c r="C121" s="58" t="s">
        <v>14</v>
      </c>
      <c r="D121" s="59">
        <v>2679</v>
      </c>
      <c r="E121" s="60">
        <v>31.629531249999999</v>
      </c>
      <c r="F121" s="61">
        <v>50.15</v>
      </c>
      <c r="G121" s="61">
        <v>201</v>
      </c>
      <c r="H121" s="61">
        <v>2404</v>
      </c>
      <c r="I121" s="61">
        <v>1002.53063</v>
      </c>
      <c r="J121" s="62">
        <v>46.026890000000002</v>
      </c>
      <c r="K121" s="28">
        <f t="shared" si="38"/>
        <v>55.232873334148778</v>
      </c>
      <c r="L121" s="69">
        <v>73.942716000000004</v>
      </c>
      <c r="M121" s="29">
        <f t="shared" si="39"/>
        <v>86.840891269791442</v>
      </c>
      <c r="N121" s="71">
        <v>76.958428999999995</v>
      </c>
      <c r="O121" s="35">
        <f t="shared" si="52"/>
        <v>1.6853955520180788</v>
      </c>
      <c r="P121" s="16">
        <f t="shared" si="55"/>
        <v>1.6864073964559523</v>
      </c>
      <c r="Q121" s="57" t="s">
        <v>69</v>
      </c>
      <c r="R121" s="58" t="s">
        <v>367</v>
      </c>
      <c r="S121" s="58">
        <v>2679</v>
      </c>
      <c r="T121" s="58">
        <f t="shared" si="53"/>
        <v>1</v>
      </c>
      <c r="U121" s="58"/>
      <c r="V121" s="73">
        <v>614</v>
      </c>
      <c r="W121" s="74">
        <v>17.796948499999999</v>
      </c>
      <c r="X121" s="75">
        <v>1</v>
      </c>
      <c r="Y121" s="76">
        <v>6.2088999999999998E-2</v>
      </c>
      <c r="Z121" s="74">
        <v>17.796948499999999</v>
      </c>
      <c r="AA121" s="61">
        <v>21476.403313999999</v>
      </c>
      <c r="AB121" s="77">
        <v>6.2088999999999998E-2</v>
      </c>
      <c r="AC121" s="35">
        <f t="shared" si="54"/>
        <v>2.8089925866967982</v>
      </c>
      <c r="AD121" s="15">
        <f t="shared" si="56"/>
        <v>2.8238969182155849</v>
      </c>
      <c r="AE121" s="15">
        <f t="shared" si="40"/>
        <v>4.5363972818447635</v>
      </c>
      <c r="AF121" s="15">
        <f t="shared" si="41"/>
        <v>1.7729939497790781</v>
      </c>
      <c r="AG121" s="15">
        <f t="shared" si="57"/>
        <v>1.8496486742533851</v>
      </c>
      <c r="AH121" s="15">
        <f t="shared" si="58"/>
        <v>2.4285594733530469</v>
      </c>
      <c r="AI121" s="15">
        <f t="shared" si="59"/>
        <v>5.438759260325293</v>
      </c>
      <c r="AJ121" s="16">
        <f t="shared" si="60"/>
        <v>5.9220349065622253</v>
      </c>
      <c r="AK121" s="32">
        <f t="shared" si="61"/>
        <v>2.4967933033727148</v>
      </c>
      <c r="AL121" s="15">
        <f t="shared" si="62"/>
        <v>9.9862323898162256E-2</v>
      </c>
      <c r="AM121" s="15">
        <f t="shared" si="63"/>
        <v>0.56266874015086765</v>
      </c>
      <c r="AN121" s="16">
        <f t="shared" si="64"/>
        <v>3.1616023395857312E-2</v>
      </c>
    </row>
    <row r="122" spans="1:40" x14ac:dyDescent="0.45">
      <c r="A122" s="19">
        <v>110</v>
      </c>
      <c r="B122" s="57" t="s">
        <v>69</v>
      </c>
      <c r="C122" s="58" t="s">
        <v>15</v>
      </c>
      <c r="D122" s="59">
        <v>2681</v>
      </c>
      <c r="E122" s="60">
        <v>16.107968750000001</v>
      </c>
      <c r="F122" s="61">
        <v>28.024999999999999</v>
      </c>
      <c r="G122" s="61">
        <v>386</v>
      </c>
      <c r="H122" s="61">
        <v>1889</v>
      </c>
      <c r="I122" s="61">
        <v>973.63122899999996</v>
      </c>
      <c r="J122" s="62">
        <v>52.823185000000002</v>
      </c>
      <c r="K122" s="28">
        <f t="shared" si="38"/>
        <v>59.329866431888327</v>
      </c>
      <c r="L122" s="69">
        <v>77.039235000000005</v>
      </c>
      <c r="M122" s="29">
        <f t="shared" si="39"/>
        <v>88.640133001468087</v>
      </c>
      <c r="N122" s="71">
        <v>77.158355</v>
      </c>
      <c r="O122" s="35">
        <f t="shared" si="52"/>
        <v>0.8911261502412321</v>
      </c>
      <c r="P122" s="16">
        <f t="shared" si="55"/>
        <v>0.89166114692938947</v>
      </c>
      <c r="Q122" s="57" t="s">
        <v>69</v>
      </c>
      <c r="R122" s="58" t="s">
        <v>368</v>
      </c>
      <c r="S122" s="58">
        <v>2681</v>
      </c>
      <c r="T122" s="58">
        <f t="shared" si="53"/>
        <v>1</v>
      </c>
      <c r="U122" s="58"/>
      <c r="V122" s="73">
        <v>597</v>
      </c>
      <c r="W122" s="74">
        <v>10.792309703999999</v>
      </c>
      <c r="X122" s="75">
        <v>1</v>
      </c>
      <c r="Y122" s="76">
        <v>5.3741999999999998E-2</v>
      </c>
      <c r="Z122" s="74">
        <v>10.792309703999999</v>
      </c>
      <c r="AA122" s="61">
        <v>11804.194622000001</v>
      </c>
      <c r="AB122" s="77">
        <v>5.3741999999999998E-2</v>
      </c>
      <c r="AC122" s="35">
        <f t="shared" si="54"/>
        <v>1.4852102504020535</v>
      </c>
      <c r="AD122" s="15">
        <f t="shared" si="56"/>
        <v>2.1851894146604587</v>
      </c>
      <c r="AE122" s="15">
        <f t="shared" si="40"/>
        <v>3.1880753090743466</v>
      </c>
      <c r="AF122" s="15">
        <f t="shared" si="41"/>
        <v>1.275202326338496</v>
      </c>
      <c r="AG122" s="15">
        <f t="shared" si="57"/>
        <v>1.673370716633739</v>
      </c>
      <c r="AH122" s="15">
        <f t="shared" si="58"/>
        <v>2.1337536862705995</v>
      </c>
      <c r="AI122" s="15">
        <f t="shared" si="59"/>
        <v>3.8568422283684645</v>
      </c>
      <c r="AJ122" s="16">
        <f t="shared" si="60"/>
        <v>4.1426852652164028</v>
      </c>
      <c r="AK122" s="32">
        <f t="shared" si="61"/>
        <v>1.9551643211935272</v>
      </c>
      <c r="AL122" s="15">
        <f t="shared" si="62"/>
        <v>0.138296751533528</v>
      </c>
      <c r="AM122" s="15">
        <f t="shared" si="63"/>
        <v>0.66999817739278877</v>
      </c>
      <c r="AN122" s="16">
        <f t="shared" si="64"/>
        <v>6.2081074002580242E-2</v>
      </c>
    </row>
    <row r="123" spans="1:40" x14ac:dyDescent="0.45">
      <c r="A123" s="19">
        <v>111</v>
      </c>
      <c r="B123" s="57" t="s">
        <v>69</v>
      </c>
      <c r="C123" s="58" t="s">
        <v>16</v>
      </c>
      <c r="D123" s="59">
        <v>2682</v>
      </c>
      <c r="E123" s="60">
        <v>0.99109375</v>
      </c>
      <c r="F123" s="61">
        <v>7.25</v>
      </c>
      <c r="G123" s="61">
        <v>183</v>
      </c>
      <c r="H123" s="61">
        <v>249</v>
      </c>
      <c r="I123" s="61">
        <v>213.364969</v>
      </c>
      <c r="J123" s="62">
        <v>10.660062999999999</v>
      </c>
      <c r="K123" s="28">
        <f t="shared" si="38"/>
        <v>38.172772108922587</v>
      </c>
      <c r="L123" s="69">
        <v>58.678435</v>
      </c>
      <c r="M123" s="29">
        <f t="shared" si="39"/>
        <v>76.757307899221331</v>
      </c>
      <c r="N123" s="71">
        <v>76.878765000000001</v>
      </c>
      <c r="O123" s="35">
        <f t="shared" si="52"/>
        <v>0.84552807550485909</v>
      </c>
      <c r="P123" s="16">
        <f t="shared" si="55"/>
        <v>0.84603569692301295</v>
      </c>
      <c r="Q123" s="57" t="s">
        <v>69</v>
      </c>
      <c r="R123" s="58" t="s">
        <v>369</v>
      </c>
      <c r="S123" s="58">
        <v>2682</v>
      </c>
      <c r="T123" s="58">
        <f t="shared" si="53"/>
        <v>1</v>
      </c>
      <c r="U123" s="58"/>
      <c r="V123" s="73">
        <v>196</v>
      </c>
      <c r="W123" s="74">
        <v>1.4360281370000001</v>
      </c>
      <c r="X123" s="75">
        <v>1</v>
      </c>
      <c r="Y123" s="76">
        <v>9.7490000000000007E-3</v>
      </c>
      <c r="Z123" s="74">
        <v>1.4360281370000001</v>
      </c>
      <c r="AA123" s="61">
        <v>2197.087841</v>
      </c>
      <c r="AB123" s="77">
        <v>9.7490000000000007E-3</v>
      </c>
      <c r="AC123" s="35">
        <f t="shared" si="54"/>
        <v>1.4092134591747651</v>
      </c>
      <c r="AD123" s="15">
        <f t="shared" si="56"/>
        <v>0.75742073916943775</v>
      </c>
      <c r="AE123" s="15">
        <f t="shared" si="40"/>
        <v>0.95205641326615265</v>
      </c>
      <c r="AF123" s="15">
        <f t="shared" si="41"/>
        <v>0.52061619649102597</v>
      </c>
      <c r="AG123" s="15">
        <f t="shared" si="57"/>
        <v>2.0498248704685818</v>
      </c>
      <c r="AH123" s="15">
        <f t="shared" si="58"/>
        <v>1.7166321779720599</v>
      </c>
      <c r="AI123" s="15">
        <f t="shared" si="59"/>
        <v>1.52335280287071</v>
      </c>
      <c r="AJ123" s="16">
        <f t="shared" si="60"/>
        <v>1.3152677923602383</v>
      </c>
      <c r="AK123" s="32">
        <f t="shared" si="61"/>
        <v>2.0391006787595387</v>
      </c>
      <c r="AL123" s="15">
        <f t="shared" si="62"/>
        <v>0.48060561299644983</v>
      </c>
      <c r="AM123" s="15">
        <f t="shared" si="63"/>
        <v>1.4489326938041938</v>
      </c>
      <c r="AN123" s="16">
        <f t="shared" si="64"/>
        <v>1.0089862840927006</v>
      </c>
    </row>
    <row r="124" spans="1:40" x14ac:dyDescent="0.45">
      <c r="A124" s="19">
        <v>112</v>
      </c>
      <c r="B124" s="57" t="s">
        <v>69</v>
      </c>
      <c r="C124" s="58" t="s">
        <v>222</v>
      </c>
      <c r="D124" s="59">
        <v>2683</v>
      </c>
      <c r="E124" s="60">
        <v>8.74609375</v>
      </c>
      <c r="F124" s="61">
        <v>20.149999999999999</v>
      </c>
      <c r="G124" s="61">
        <v>481</v>
      </c>
      <c r="H124" s="61">
        <v>2133</v>
      </c>
      <c r="I124" s="61">
        <v>1218.674158</v>
      </c>
      <c r="J124" s="62">
        <v>48.929606999999997</v>
      </c>
      <c r="K124" s="28">
        <f t="shared" si="38"/>
        <v>60.111989921966448</v>
      </c>
      <c r="L124" s="69">
        <v>77.609318999999999</v>
      </c>
      <c r="M124" s="29">
        <f t="shared" si="39"/>
        <v>88.963446227272399</v>
      </c>
      <c r="N124" s="71">
        <v>77.506204999999994</v>
      </c>
      <c r="O124" s="35">
        <f t="shared" si="52"/>
        <v>0.70221950705440905</v>
      </c>
      <c r="P124" s="16">
        <f t="shared" si="55"/>
        <v>0.70264109170943467</v>
      </c>
      <c r="Q124" s="57" t="s">
        <v>69</v>
      </c>
      <c r="R124" s="58" t="s">
        <v>370</v>
      </c>
      <c r="S124" s="58">
        <v>2683</v>
      </c>
      <c r="T124" s="58">
        <f t="shared" si="53"/>
        <v>1</v>
      </c>
      <c r="U124" s="58"/>
      <c r="V124" s="73">
        <v>815</v>
      </c>
      <c r="W124" s="74">
        <v>5.1848795990000003</v>
      </c>
      <c r="X124" s="75">
        <v>1</v>
      </c>
      <c r="Y124" s="76">
        <v>0.115721</v>
      </c>
      <c r="Z124" s="74">
        <v>5.1848795990000003</v>
      </c>
      <c r="AA124" s="61">
        <v>8533.6363610000008</v>
      </c>
      <c r="AB124" s="77">
        <v>0.115721</v>
      </c>
      <c r="AC124" s="35">
        <f t="shared" si="54"/>
        <v>1.1703658450906818</v>
      </c>
      <c r="AD124" s="15">
        <f t="shared" si="56"/>
        <v>1.7326185549106112</v>
      </c>
      <c r="AE124" s="15">
        <f t="shared" si="40"/>
        <v>1.5786081278803528</v>
      </c>
      <c r="AF124" s="15">
        <f t="shared" si="41"/>
        <v>0.53974288110079771</v>
      </c>
      <c r="AG124" s="15">
        <f t="shared" si="57"/>
        <v>1.0004873521172335</v>
      </c>
      <c r="AH124" s="15">
        <f t="shared" si="58"/>
        <v>1.5028345474089682</v>
      </c>
      <c r="AI124" s="15">
        <f t="shared" si="59"/>
        <v>1.5751256247367234</v>
      </c>
      <c r="AJ124" s="16">
        <f t="shared" si="60"/>
        <v>2.2974119426940618</v>
      </c>
      <c r="AK124" s="32">
        <f t="shared" si="61"/>
        <v>1.9077700111292246</v>
      </c>
      <c r="AL124" s="15">
        <f t="shared" si="62"/>
        <v>0.32533948628321768</v>
      </c>
      <c r="AM124" s="15">
        <f t="shared" si="63"/>
        <v>0.59282232127914247</v>
      </c>
      <c r="AN124" s="16">
        <f t="shared" si="64"/>
        <v>0.11433675748101831</v>
      </c>
    </row>
    <row r="125" spans="1:40" x14ac:dyDescent="0.45">
      <c r="A125" s="19">
        <v>113</v>
      </c>
      <c r="B125" s="57" t="s">
        <v>69</v>
      </c>
      <c r="C125" s="58" t="s">
        <v>17</v>
      </c>
      <c r="D125" s="59">
        <v>2684</v>
      </c>
      <c r="E125" s="60">
        <v>3.6817187499999999</v>
      </c>
      <c r="F125" s="61">
        <v>16.55</v>
      </c>
      <c r="G125" s="61">
        <v>82</v>
      </c>
      <c r="H125" s="61">
        <v>128</v>
      </c>
      <c r="I125" s="61">
        <v>96.853711000000004</v>
      </c>
      <c r="J125" s="62">
        <v>8.0271559999999997</v>
      </c>
      <c r="K125" s="28">
        <f t="shared" si="38"/>
        <v>48.704127964809494</v>
      </c>
      <c r="L125" s="69">
        <v>68.590908999999996</v>
      </c>
      <c r="M125" s="29">
        <f t="shared" si="39"/>
        <v>83.548803184292169</v>
      </c>
      <c r="N125" s="71">
        <v>76.590093999999993</v>
      </c>
      <c r="O125" s="35">
        <f t="shared" si="52"/>
        <v>1.8901786612112628</v>
      </c>
      <c r="P125" s="16">
        <f t="shared" si="55"/>
        <v>1.891313449280831</v>
      </c>
      <c r="Q125" s="57" t="s">
        <v>69</v>
      </c>
      <c r="R125" s="58" t="s">
        <v>371</v>
      </c>
      <c r="S125" s="58">
        <v>2684</v>
      </c>
      <c r="T125" s="58">
        <f t="shared" si="53"/>
        <v>1</v>
      </c>
      <c r="U125" s="58"/>
      <c r="V125" s="73">
        <v>92</v>
      </c>
      <c r="W125" s="74">
        <v>5.771257211</v>
      </c>
      <c r="X125" s="75">
        <v>1</v>
      </c>
      <c r="Y125" s="76">
        <v>5.1999999999999995E-4</v>
      </c>
      <c r="Z125" s="74">
        <v>5.771257211</v>
      </c>
      <c r="AA125" s="61">
        <v>6926.4795219999996</v>
      </c>
      <c r="AB125" s="77">
        <v>5.1999999999999995E-4</v>
      </c>
      <c r="AC125" s="35">
        <f t="shared" si="54"/>
        <v>3.1502977686854381</v>
      </c>
      <c r="AD125" s="15">
        <f t="shared" si="56"/>
        <v>1.2471331513127326</v>
      </c>
      <c r="AE125" s="15">
        <f t="shared" si="40"/>
        <v>4.7824027384709398</v>
      </c>
      <c r="AF125" s="15">
        <f t="shared" si="41"/>
        <v>4.6964399641427628</v>
      </c>
      <c r="AG125" s="15">
        <f t="shared" si="57"/>
        <v>11.783713502852457</v>
      </c>
      <c r="AH125" s="15">
        <f t="shared" si="58"/>
        <v>5.3835597811847107</v>
      </c>
      <c r="AI125" s="15">
        <f t="shared" si="59"/>
        <v>14.99982074648973</v>
      </c>
      <c r="AJ125" s="16">
        <f t="shared" si="60"/>
        <v>6.8299547586877223</v>
      </c>
      <c r="AK125" s="32">
        <f t="shared" si="61"/>
        <v>2.4150755701967315</v>
      </c>
      <c r="AL125" s="15">
        <f t="shared" si="62"/>
        <v>0.11053752821377492</v>
      </c>
      <c r="AM125" s="15">
        <f t="shared" si="63"/>
        <v>1.5675442919152909</v>
      </c>
      <c r="AN125" s="16">
        <f t="shared" si="64"/>
        <v>0.27161227347960787</v>
      </c>
    </row>
    <row r="126" spans="1:40" x14ac:dyDescent="0.45">
      <c r="A126" s="19">
        <v>114</v>
      </c>
      <c r="B126" s="57" t="s">
        <v>69</v>
      </c>
      <c r="C126" s="58" t="s">
        <v>18</v>
      </c>
      <c r="D126" s="59">
        <v>2685</v>
      </c>
      <c r="E126" s="60">
        <v>5.5260937500000002</v>
      </c>
      <c r="F126" s="61">
        <v>17.850000000000001</v>
      </c>
      <c r="G126" s="61">
        <v>157</v>
      </c>
      <c r="H126" s="61">
        <v>290</v>
      </c>
      <c r="I126" s="61">
        <v>195.74185</v>
      </c>
      <c r="J126" s="62">
        <v>12.367421999999999</v>
      </c>
      <c r="K126" s="28">
        <f t="shared" si="16"/>
        <v>36.271395965682615</v>
      </c>
      <c r="L126" s="69">
        <v>56.692228999999998</v>
      </c>
      <c r="M126" s="29">
        <f t="shared" si="17"/>
        <v>75.273919244374937</v>
      </c>
      <c r="N126" s="71">
        <v>76.781514000000001</v>
      </c>
      <c r="O126" s="35">
        <f t="shared" si="52"/>
        <v>1.7222108510910317</v>
      </c>
      <c r="P126" s="16">
        <f t="shared" si="55"/>
        <v>1.7232447979698138</v>
      </c>
      <c r="Q126" s="57" t="s">
        <v>69</v>
      </c>
      <c r="R126" s="58" t="s">
        <v>372</v>
      </c>
      <c r="S126" s="58">
        <v>2685</v>
      </c>
      <c r="T126" s="58">
        <f t="shared" si="53"/>
        <v>1</v>
      </c>
      <c r="U126" s="58"/>
      <c r="V126" s="73">
        <v>173</v>
      </c>
      <c r="W126" s="74">
        <v>1.3004126069999999</v>
      </c>
      <c r="X126" s="75">
        <v>1</v>
      </c>
      <c r="Y126" s="76">
        <v>9.9970000000000007E-3</v>
      </c>
      <c r="Z126" s="74">
        <v>1.3004126069999999</v>
      </c>
      <c r="AA126" s="73">
        <v>5510.0450899999996</v>
      </c>
      <c r="AB126" s="77">
        <v>9.9970000000000007E-3</v>
      </c>
      <c r="AC126" s="35">
        <f t="shared" si="54"/>
        <v>2.8703514184850527</v>
      </c>
      <c r="AD126" s="15">
        <f t="shared" si="56"/>
        <v>1.4552329735891412</v>
      </c>
      <c r="AE126" s="15">
        <f t="shared" si="28"/>
        <v>0.87871431868026151</v>
      </c>
      <c r="AF126" s="15">
        <f t="shared" si="29"/>
        <v>0.47768818685098957</v>
      </c>
      <c r="AG126" s="15">
        <f t="shared" si="57"/>
        <v>3.9358684926496994</v>
      </c>
      <c r="AH126" s="15">
        <f t="shared" si="58"/>
        <v>3.0074467783450984</v>
      </c>
      <c r="AI126" s="15">
        <f t="shared" si="59"/>
        <v>1.3939464431775306</v>
      </c>
      <c r="AJ126" s="16">
        <f t="shared" si="60"/>
        <v>3.6169080208226401</v>
      </c>
      <c r="AK126" s="32">
        <f t="shared" si="61"/>
        <v>2.1261168411266391</v>
      </c>
      <c r="AL126" s="15">
        <f t="shared" si="62"/>
        <v>3.2678032932186336</v>
      </c>
      <c r="AM126" s="15">
        <f t="shared" si="63"/>
        <v>0.23532221236746118</v>
      </c>
      <c r="AN126" s="16">
        <f t="shared" si="64"/>
        <v>0.18095965165267056</v>
      </c>
    </row>
    <row r="127" spans="1:40" x14ac:dyDescent="0.45">
      <c r="A127" s="19">
        <v>115</v>
      </c>
      <c r="B127" s="57" t="s">
        <v>69</v>
      </c>
      <c r="C127" s="58" t="s">
        <v>223</v>
      </c>
      <c r="D127" s="59">
        <v>2687</v>
      </c>
      <c r="E127" s="60">
        <v>9.1014062500000001</v>
      </c>
      <c r="F127" s="61">
        <v>21.1</v>
      </c>
      <c r="G127" s="61">
        <v>184</v>
      </c>
      <c r="H127" s="61">
        <v>1079</v>
      </c>
      <c r="I127" s="61">
        <v>399.869371</v>
      </c>
      <c r="J127" s="62">
        <v>26.648869000000001</v>
      </c>
      <c r="K127" s="28">
        <f t="shared" si="16"/>
        <v>44.442334573018201</v>
      </c>
      <c r="L127" s="69">
        <v>64.786783</v>
      </c>
      <c r="M127" s="29">
        <f t="shared" si="17"/>
        <v>81.055956645942047</v>
      </c>
      <c r="N127" s="71">
        <v>77.023183000000003</v>
      </c>
      <c r="O127" s="35">
        <f t="shared" si="52"/>
        <v>1.3571987436639139</v>
      </c>
      <c r="P127" s="16">
        <f t="shared" si="55"/>
        <v>1.3580135517949907</v>
      </c>
      <c r="Q127" s="57" t="s">
        <v>69</v>
      </c>
      <c r="R127" s="58" t="s">
        <v>373</v>
      </c>
      <c r="S127" s="58">
        <v>2687</v>
      </c>
      <c r="T127" s="58">
        <f t="shared" si="53"/>
        <v>1</v>
      </c>
      <c r="U127" s="58"/>
      <c r="V127" s="73">
        <v>218</v>
      </c>
      <c r="W127" s="74">
        <v>4.9840674590000003</v>
      </c>
      <c r="X127" s="75">
        <v>1</v>
      </c>
      <c r="Y127" s="76">
        <v>1.7656000000000002E-2</v>
      </c>
      <c r="Z127" s="74">
        <v>4.9840674590000003</v>
      </c>
      <c r="AA127" s="73">
        <v>8553.4586909999998</v>
      </c>
      <c r="AB127" s="77">
        <v>1.7656000000000002E-2</v>
      </c>
      <c r="AC127" s="35">
        <f t="shared" si="54"/>
        <v>2.2619979061065232</v>
      </c>
      <c r="AD127" s="15">
        <f t="shared" si="56"/>
        <v>1.7590363829555615</v>
      </c>
      <c r="AE127" s="15">
        <f t="shared" si="28"/>
        <v>2.1896539598086018</v>
      </c>
      <c r="AF127" s="15">
        <f t="shared" si="29"/>
        <v>1.0797865161425362</v>
      </c>
      <c r="AG127" s="15">
        <f t="shared" si="57"/>
        <v>2.6040184759732843</v>
      </c>
      <c r="AH127" s="15">
        <f t="shared" si="58"/>
        <v>2.6361459850443771</v>
      </c>
      <c r="AI127" s="15">
        <f t="shared" si="59"/>
        <v>3.2475573865450396</v>
      </c>
      <c r="AJ127" s="16">
        <f t="shared" si="60"/>
        <v>4.1076418938839678</v>
      </c>
      <c r="AK127" s="32">
        <f t="shared" si="61"/>
        <v>1.9583316218126243</v>
      </c>
      <c r="AL127" s="15">
        <f t="shared" si="62"/>
        <v>0.36638752345747061</v>
      </c>
      <c r="AM127" s="15">
        <f t="shared" si="63"/>
        <v>0.54761509618362547</v>
      </c>
      <c r="AN127" s="16">
        <f t="shared" si="64"/>
        <v>0.10987313086919948</v>
      </c>
    </row>
    <row r="128" spans="1:40" x14ac:dyDescent="0.45">
      <c r="A128" s="19">
        <v>116</v>
      </c>
      <c r="B128" s="57" t="s">
        <v>69</v>
      </c>
      <c r="C128" s="58" t="s">
        <v>19</v>
      </c>
      <c r="D128" s="59">
        <v>2688</v>
      </c>
      <c r="E128" s="60">
        <v>3.48484375</v>
      </c>
      <c r="F128" s="61">
        <v>15.1</v>
      </c>
      <c r="G128" s="61">
        <v>138</v>
      </c>
      <c r="H128" s="61">
        <v>246</v>
      </c>
      <c r="I128" s="61">
        <v>166.879344</v>
      </c>
      <c r="J128" s="62">
        <v>12.622348000000001</v>
      </c>
      <c r="K128" s="28">
        <f t="shared" si="16"/>
        <v>50.481640469580078</v>
      </c>
      <c r="L128" s="69">
        <v>70.102327000000002</v>
      </c>
      <c r="M128" s="29">
        <f t="shared" si="17"/>
        <v>84.50306322530912</v>
      </c>
      <c r="N128" s="71">
        <v>77.065083999999999</v>
      </c>
      <c r="O128" s="35">
        <f t="shared" si="52"/>
        <v>1.1346674999417723</v>
      </c>
      <c r="P128" s="16">
        <f t="shared" si="55"/>
        <v>1.1353487091672727</v>
      </c>
      <c r="Q128" s="57" t="s">
        <v>69</v>
      </c>
      <c r="R128" s="58" t="s">
        <v>374</v>
      </c>
      <c r="S128" s="58">
        <v>2688</v>
      </c>
      <c r="T128" s="58">
        <f t="shared" si="53"/>
        <v>1</v>
      </c>
      <c r="U128" s="58"/>
      <c r="V128" s="73">
        <v>155</v>
      </c>
      <c r="W128" s="74">
        <v>3.5842514420000002</v>
      </c>
      <c r="X128" s="75">
        <v>1</v>
      </c>
      <c r="Y128" s="76">
        <v>6.9750000000000003E-3</v>
      </c>
      <c r="Z128" s="74">
        <v>3.5842514420000002</v>
      </c>
      <c r="AA128" s="73">
        <v>5109.372292</v>
      </c>
      <c r="AB128" s="77">
        <v>6.9750000000000003E-3</v>
      </c>
      <c r="AC128" s="35">
        <f t="shared" si="54"/>
        <v>1.891112499902954</v>
      </c>
      <c r="AD128" s="15">
        <f t="shared" si="56"/>
        <v>1.2213587559816743</v>
      </c>
      <c r="AE128" s="15">
        <f t="shared" si="28"/>
        <v>2.0332495769640704</v>
      </c>
      <c r="AF128" s="15">
        <f t="shared" si="29"/>
        <v>1.1977719278075394</v>
      </c>
      <c r="AG128" s="15">
        <f t="shared" si="57"/>
        <v>3.2106322944558858</v>
      </c>
      <c r="AH128" s="15">
        <f t="shared" si="58"/>
        <v>2.6072670991785314</v>
      </c>
      <c r="AI128" s="15">
        <f t="shared" si="59"/>
        <v>3.6160100241696607</v>
      </c>
      <c r="AJ128" s="16">
        <f t="shared" si="60"/>
        <v>3.0616014243461729</v>
      </c>
      <c r="AK128" s="32">
        <f t="shared" si="61"/>
        <v>2.2648702304812205</v>
      </c>
      <c r="AL128" s="15">
        <f t="shared" si="62"/>
        <v>0.27126038457318913</v>
      </c>
      <c r="AM128" s="15">
        <f t="shared" si="63"/>
        <v>1.0285257242882124</v>
      </c>
      <c r="AN128" s="16">
        <f t="shared" si="64"/>
        <v>0.2869569116262386</v>
      </c>
    </row>
    <row r="129" spans="1:40" x14ac:dyDescent="0.45">
      <c r="A129" s="19">
        <v>117</v>
      </c>
      <c r="B129" s="57" t="s">
        <v>69</v>
      </c>
      <c r="C129" s="58" t="s">
        <v>224</v>
      </c>
      <c r="D129" s="59">
        <v>2689</v>
      </c>
      <c r="E129" s="60">
        <v>0.46406249999999999</v>
      </c>
      <c r="F129" s="61">
        <v>4.6500000000000004</v>
      </c>
      <c r="G129" s="61">
        <v>174</v>
      </c>
      <c r="H129" s="61">
        <v>218</v>
      </c>
      <c r="I129" s="61">
        <v>187.39292900000001</v>
      </c>
      <c r="J129" s="62">
        <v>8.6032729999999997</v>
      </c>
      <c r="K129" s="28">
        <f t="shared" si="16"/>
        <v>39.83531413723788</v>
      </c>
      <c r="L129" s="69">
        <v>60.362139999999997</v>
      </c>
      <c r="M129" s="29">
        <f t="shared" si="17"/>
        <v>77.980793009109036</v>
      </c>
      <c r="N129" s="71">
        <v>76.948556999999994</v>
      </c>
      <c r="O129" s="35">
        <f t="shared" si="52"/>
        <v>0.73261753691821085</v>
      </c>
      <c r="P129" s="16">
        <f t="shared" si="55"/>
        <v>0.73305737134101556</v>
      </c>
      <c r="Q129" s="57" t="s">
        <v>69</v>
      </c>
      <c r="R129" s="58" t="s">
        <v>375</v>
      </c>
      <c r="S129" s="58">
        <v>2689</v>
      </c>
      <c r="T129" s="58">
        <f t="shared" si="53"/>
        <v>1</v>
      </c>
      <c r="U129" s="58"/>
      <c r="V129" s="73">
        <v>181</v>
      </c>
      <c r="W129" s="74">
        <v>0.9099873730000001</v>
      </c>
      <c r="X129" s="75">
        <v>1</v>
      </c>
      <c r="Y129" s="76">
        <v>1.3187000000000001E-2</v>
      </c>
      <c r="Z129" s="74">
        <v>0.9099873730000001</v>
      </c>
      <c r="AA129" s="73">
        <v>1694.3465900000001</v>
      </c>
      <c r="AB129" s="77">
        <v>1.3187000000000001E-2</v>
      </c>
      <c r="AC129" s="35">
        <f t="shared" si="54"/>
        <v>1.2210292281970181</v>
      </c>
      <c r="AD129" s="15">
        <f t="shared" si="56"/>
        <v>0.56769184154786079</v>
      </c>
      <c r="AE129" s="15">
        <f t="shared" si="28"/>
        <v>0.63556561287002855</v>
      </c>
      <c r="AF129" s="15">
        <f t="shared" si="29"/>
        <v>0.32617663690753529</v>
      </c>
      <c r="AG129" s="15">
        <f t="shared" si="57"/>
        <v>1.475699438060434</v>
      </c>
      <c r="AH129" s="15">
        <f t="shared" si="58"/>
        <v>1.2839663456348784</v>
      </c>
      <c r="AI129" s="15">
        <f t="shared" si="59"/>
        <v>0.93675714446407288</v>
      </c>
      <c r="AJ129" s="16">
        <f t="shared" si="60"/>
        <v>0.76683400993815254</v>
      </c>
      <c r="AK129" s="32">
        <f t="shared" si="61"/>
        <v>1.9112730962593625</v>
      </c>
      <c r="AL129" s="15">
        <f t="shared" si="62"/>
        <v>0.56040982824220231</v>
      </c>
      <c r="AM129" s="15">
        <f t="shared" si="63"/>
        <v>1.9609155512457914</v>
      </c>
      <c r="AN129" s="16">
        <f t="shared" si="64"/>
        <v>2.1548821548821548</v>
      </c>
    </row>
    <row r="130" spans="1:40" x14ac:dyDescent="0.45">
      <c r="A130" s="19">
        <v>118</v>
      </c>
      <c r="B130" s="57" t="s">
        <v>69</v>
      </c>
      <c r="C130" s="58" t="s">
        <v>20</v>
      </c>
      <c r="D130" s="59">
        <v>2690</v>
      </c>
      <c r="E130" s="60">
        <v>0.49062499999999998</v>
      </c>
      <c r="F130" s="61">
        <v>5.35</v>
      </c>
      <c r="G130" s="61">
        <v>161</v>
      </c>
      <c r="H130" s="61">
        <v>196</v>
      </c>
      <c r="I130" s="61">
        <v>174.394586</v>
      </c>
      <c r="J130" s="62">
        <v>8.9123809999999999</v>
      </c>
      <c r="K130" s="28">
        <f t="shared" si="16"/>
        <v>49.11557140331886</v>
      </c>
      <c r="L130" s="69">
        <v>68.944551000000004</v>
      </c>
      <c r="M130" s="29">
        <f t="shared" si="17"/>
        <v>83.773871627869539</v>
      </c>
      <c r="N130" s="71">
        <v>76.975762000000003</v>
      </c>
      <c r="O130" s="35">
        <f t="shared" si="52"/>
        <v>0.69540599046847917</v>
      </c>
      <c r="P130" s="16">
        <f t="shared" si="55"/>
        <v>0.69582348455921461</v>
      </c>
      <c r="Q130" s="57" t="s">
        <v>69</v>
      </c>
      <c r="R130" s="58" t="s">
        <v>376</v>
      </c>
      <c r="S130" s="58">
        <v>2690</v>
      </c>
      <c r="T130" s="58">
        <f t="shared" si="53"/>
        <v>1</v>
      </c>
      <c r="U130" s="58"/>
      <c r="V130" s="73">
        <v>165</v>
      </c>
      <c r="W130" s="74">
        <v>1.5203427119999999</v>
      </c>
      <c r="X130" s="75">
        <v>1</v>
      </c>
      <c r="Y130" s="76">
        <v>8.5509999999999996E-3</v>
      </c>
      <c r="Z130" s="74">
        <v>1.5203427119999999</v>
      </c>
      <c r="AA130" s="73">
        <v>2143.9024159999999</v>
      </c>
      <c r="AB130" s="77">
        <v>8.5509999999999996E-3</v>
      </c>
      <c r="AC130" s="35">
        <f t="shared" si="54"/>
        <v>1.1590099841141319</v>
      </c>
      <c r="AD130" s="15">
        <f t="shared" si="56"/>
        <v>0.57982704506751748</v>
      </c>
      <c r="AE130" s="15">
        <f t="shared" si="28"/>
        <v>1.0193271218777518</v>
      </c>
      <c r="AF130" s="15">
        <f t="shared" si="29"/>
        <v>0.57216366472372371</v>
      </c>
      <c r="AG130" s="15">
        <f t="shared" si="57"/>
        <v>1.7618158276778932</v>
      </c>
      <c r="AH130" s="15">
        <f t="shared" si="58"/>
        <v>1.4111344047076118</v>
      </c>
      <c r="AI130" s="15">
        <f t="shared" si="59"/>
        <v>1.6792942463408971</v>
      </c>
      <c r="AJ130" s="16">
        <f t="shared" si="60"/>
        <v>0.90118997314415172</v>
      </c>
      <c r="AK130" s="32">
        <f t="shared" si="61"/>
        <v>2.138636508303756</v>
      </c>
      <c r="AL130" s="15">
        <f t="shared" si="62"/>
        <v>0.21225927714404649</v>
      </c>
      <c r="AM130" s="15">
        <f t="shared" si="63"/>
        <v>3.0987876932484077</v>
      </c>
      <c r="AN130" s="16">
        <f t="shared" si="64"/>
        <v>2.0382165605095541</v>
      </c>
    </row>
    <row r="131" spans="1:40" x14ac:dyDescent="0.45">
      <c r="A131" s="19">
        <v>119</v>
      </c>
      <c r="B131" s="57" t="s">
        <v>69</v>
      </c>
      <c r="C131" s="58" t="s">
        <v>21</v>
      </c>
      <c r="D131" s="59">
        <v>2691</v>
      </c>
      <c r="E131" s="60">
        <v>6.6145312499999998</v>
      </c>
      <c r="F131" s="61">
        <v>21.25</v>
      </c>
      <c r="G131" s="61">
        <v>98</v>
      </c>
      <c r="H131" s="61">
        <v>177</v>
      </c>
      <c r="I131" s="61">
        <v>121.765006</v>
      </c>
      <c r="J131" s="62">
        <v>8.8770930000000003</v>
      </c>
      <c r="K131" s="28">
        <f t="shared" si="16"/>
        <v>44.606721683895515</v>
      </c>
      <c r="L131" s="69">
        <v>64.938463999999996</v>
      </c>
      <c r="M131" s="29">
        <f t="shared" si="17"/>
        <v>81.15793949943874</v>
      </c>
      <c r="N131" s="71">
        <v>77.079503000000003</v>
      </c>
      <c r="O131" s="35">
        <f t="shared" si="52"/>
        <v>2.0554878722500352</v>
      </c>
      <c r="P131" s="16">
        <f t="shared" si="55"/>
        <v>2.0567219053932715</v>
      </c>
      <c r="Q131" s="57" t="s">
        <v>69</v>
      </c>
      <c r="R131" s="58" t="s">
        <v>377</v>
      </c>
      <c r="S131" s="58">
        <v>2691</v>
      </c>
      <c r="T131" s="58">
        <f t="shared" si="53"/>
        <v>1</v>
      </c>
      <c r="U131" s="58"/>
      <c r="V131" s="73">
        <v>115</v>
      </c>
      <c r="W131" s="74">
        <v>2.5785980319999999</v>
      </c>
      <c r="X131" s="75">
        <v>1</v>
      </c>
      <c r="Y131" s="76">
        <v>6.2049999999999996E-3</v>
      </c>
      <c r="Z131" s="74">
        <v>2.5785980319999999</v>
      </c>
      <c r="AA131" s="73">
        <v>7265.0072110000001</v>
      </c>
      <c r="AB131" s="77">
        <v>6.2049999999999996E-3</v>
      </c>
      <c r="AC131" s="35">
        <f t="shared" si="54"/>
        <v>3.4258131204167257</v>
      </c>
      <c r="AD131" s="15">
        <f t="shared" si="56"/>
        <v>1.5581283868785465</v>
      </c>
      <c r="AE131" s="15">
        <f t="shared" si="28"/>
        <v>1.6186460323055654</v>
      </c>
      <c r="AF131" s="15">
        <f t="shared" si="29"/>
        <v>0.97232544622898032</v>
      </c>
      <c r="AG131" s="15">
        <f t="shared" si="57"/>
        <v>4.4232204515754718</v>
      </c>
      <c r="AH131" s="15">
        <f t="shared" si="58"/>
        <v>3.4284693677333062</v>
      </c>
      <c r="AI131" s="15">
        <f t="shared" si="59"/>
        <v>2.9113747692955072</v>
      </c>
      <c r="AJ131" s="16">
        <f t="shared" si="60"/>
        <v>4.6350328618255148</v>
      </c>
      <c r="AK131" s="32">
        <f t="shared" si="61"/>
        <v>2.3134889496018949</v>
      </c>
      <c r="AL131" s="15">
        <f t="shared" si="62"/>
        <v>0.99479084276097263</v>
      </c>
      <c r="AM131" s="15">
        <f t="shared" si="63"/>
        <v>0.38983836262017812</v>
      </c>
      <c r="AN131" s="16">
        <f t="shared" si="64"/>
        <v>0.15118229277395887</v>
      </c>
    </row>
    <row r="132" spans="1:40" x14ac:dyDescent="0.45">
      <c r="A132" s="19">
        <v>120</v>
      </c>
      <c r="B132" s="57" t="s">
        <v>69</v>
      </c>
      <c r="C132" s="58" t="s">
        <v>22</v>
      </c>
      <c r="D132" s="59">
        <v>2692</v>
      </c>
      <c r="E132" s="60">
        <v>1.5625000000000001E-3</v>
      </c>
      <c r="F132" s="61">
        <v>0.25</v>
      </c>
      <c r="G132" s="61">
        <v>157</v>
      </c>
      <c r="H132" s="61">
        <v>165</v>
      </c>
      <c r="I132" s="61">
        <v>162.1</v>
      </c>
      <c r="J132" s="62">
        <v>9.2921040000000001</v>
      </c>
      <c r="K132" s="28">
        <f t="shared" si="16"/>
        <v>46.885934219734082</v>
      </c>
      <c r="L132" s="69">
        <v>67</v>
      </c>
      <c r="M132" s="29">
        <f t="shared" si="17"/>
        <v>82.522478137701682</v>
      </c>
      <c r="N132" s="71">
        <v>76.993347</v>
      </c>
      <c r="O132" s="35">
        <f t="shared" si="52"/>
        <v>4.4609255002388527E-2</v>
      </c>
      <c r="P132" s="16">
        <f t="shared" si="55"/>
        <v>4.4636036624363148E-2</v>
      </c>
      <c r="Q132" s="57" t="s">
        <v>69</v>
      </c>
      <c r="R132" s="58" t="s">
        <v>378</v>
      </c>
      <c r="S132" s="58">
        <v>2692</v>
      </c>
      <c r="T132" s="58">
        <f t="shared" si="53"/>
        <v>1</v>
      </c>
      <c r="U132" s="58"/>
      <c r="V132" s="73">
        <v>163</v>
      </c>
      <c r="W132" s="74">
        <v>3.7499999999999999E-2</v>
      </c>
      <c r="X132" s="75">
        <v>1</v>
      </c>
      <c r="Y132" s="76">
        <v>1E-3</v>
      </c>
      <c r="Z132" s="74">
        <v>3.7499999999999999E-2</v>
      </c>
      <c r="AA132" s="73">
        <v>66.605339000000001</v>
      </c>
      <c r="AB132" s="77">
        <v>1E-3</v>
      </c>
      <c r="AC132" s="35">
        <f t="shared" si="54"/>
        <v>7.4348758337314219E-2</v>
      </c>
      <c r="AD132" s="15">
        <f t="shared" si="56"/>
        <v>6.5232677124007515E-2</v>
      </c>
      <c r="AE132" s="15">
        <f t="shared" si="28"/>
        <v>9.1914709343499504E-2</v>
      </c>
      <c r="AF132" s="15">
        <f t="shared" si="29"/>
        <v>7.5553729544914933E-2</v>
      </c>
      <c r="AG132" s="15">
        <f t="shared" si="57"/>
        <v>1.3836156328123728</v>
      </c>
      <c r="AH132" s="15">
        <f t="shared" si="58"/>
        <v>0.57904261848485972</v>
      </c>
      <c r="AI132" s="15">
        <f t="shared" si="59"/>
        <v>0.20490652026280731</v>
      </c>
      <c r="AJ132" s="16">
        <f t="shared" si="60"/>
        <v>5.6296329828042377E-2</v>
      </c>
      <c r="AK132" s="32">
        <f t="shared" si="61"/>
        <v>1.7708754896942926</v>
      </c>
      <c r="AL132" s="15">
        <f t="shared" si="62"/>
        <v>1.1111111111111112</v>
      </c>
      <c r="AM132" s="15">
        <f t="shared" si="63"/>
        <v>23.999999999999996</v>
      </c>
      <c r="AN132" s="16">
        <f t="shared" si="64"/>
        <v>640</v>
      </c>
    </row>
    <row r="133" spans="1:40" x14ac:dyDescent="0.45">
      <c r="A133" s="19">
        <v>121</v>
      </c>
      <c r="B133" s="57" t="s">
        <v>69</v>
      </c>
      <c r="C133" s="58" t="s">
        <v>23</v>
      </c>
      <c r="D133" s="59">
        <v>2693</v>
      </c>
      <c r="E133" s="60">
        <v>0.110625</v>
      </c>
      <c r="F133" s="61">
        <v>2.0249999999999999</v>
      </c>
      <c r="G133" s="61">
        <v>155</v>
      </c>
      <c r="H133" s="61">
        <v>221</v>
      </c>
      <c r="I133" s="61">
        <v>174.83192099999999</v>
      </c>
      <c r="J133" s="62">
        <v>13.083462000000001</v>
      </c>
      <c r="K133" s="28">
        <f t="shared" si="16"/>
        <v>39.601452206804119</v>
      </c>
      <c r="L133" s="69">
        <v>60.128205000000001</v>
      </c>
      <c r="M133" s="29">
        <f t="shared" si="17"/>
        <v>77.812619156758743</v>
      </c>
      <c r="N133" s="71">
        <v>76.992400000000004</v>
      </c>
      <c r="O133" s="35">
        <f t="shared" si="52"/>
        <v>0.29530776284040183</v>
      </c>
      <c r="P133" s="16">
        <f t="shared" si="55"/>
        <v>0.29548505387272544</v>
      </c>
      <c r="Q133" s="57" t="s">
        <v>69</v>
      </c>
      <c r="R133" s="58" t="s">
        <v>379</v>
      </c>
      <c r="S133" s="58">
        <v>2693</v>
      </c>
      <c r="T133" s="58">
        <f t="shared" si="53"/>
        <v>1</v>
      </c>
      <c r="U133" s="58"/>
      <c r="V133" s="73">
        <v>167</v>
      </c>
      <c r="W133" s="74">
        <v>0.58750000000000002</v>
      </c>
      <c r="X133" s="75">
        <v>1</v>
      </c>
      <c r="Y133" s="76">
        <v>6.8089999999999999E-3</v>
      </c>
      <c r="Z133" s="74">
        <v>0.58750000000000002</v>
      </c>
      <c r="AA133" s="73">
        <v>701.96067800000003</v>
      </c>
      <c r="AB133" s="77">
        <v>6.8089999999999999E-3</v>
      </c>
      <c r="AC133" s="35">
        <f t="shared" si="54"/>
        <v>0.49217960473400307</v>
      </c>
      <c r="AD133" s="15">
        <f t="shared" si="56"/>
        <v>0.32921365475154435</v>
      </c>
      <c r="AE133" s="15">
        <f t="shared" si="28"/>
        <v>0.51675109210745951</v>
      </c>
      <c r="AF133" s="15">
        <f t="shared" si="29"/>
        <v>0.30036602557092396</v>
      </c>
      <c r="AG133" s="15">
        <f t="shared" si="57"/>
        <v>1.3821428166203749</v>
      </c>
      <c r="AH133" s="15">
        <f t="shared" si="58"/>
        <v>1.0177929015359535</v>
      </c>
      <c r="AI133" s="15">
        <f t="shared" si="59"/>
        <v>0.8596197756745324</v>
      </c>
      <c r="AJ133" s="16">
        <f t="shared" si="60"/>
        <v>0.39860303000299124</v>
      </c>
      <c r="AK133" s="32">
        <f t="shared" si="61"/>
        <v>1.7047331915104158</v>
      </c>
      <c r="AL133" s="15">
        <f t="shared" si="62"/>
        <v>0.32050701674966042</v>
      </c>
      <c r="AM133" s="15">
        <f t="shared" si="63"/>
        <v>5.3107344632768365</v>
      </c>
      <c r="AN133" s="16">
        <f t="shared" si="64"/>
        <v>9.0395480225988702</v>
      </c>
    </row>
    <row r="134" spans="1:40" x14ac:dyDescent="0.45">
      <c r="A134" s="19">
        <v>122</v>
      </c>
      <c r="B134" s="57" t="s">
        <v>69</v>
      </c>
      <c r="C134" s="58" t="s">
        <v>24</v>
      </c>
      <c r="D134" s="59">
        <v>2694</v>
      </c>
      <c r="E134" s="60">
        <v>12.036875</v>
      </c>
      <c r="F134" s="61">
        <v>21.425000000000001</v>
      </c>
      <c r="G134" s="61">
        <v>164</v>
      </c>
      <c r="H134" s="61">
        <v>1120</v>
      </c>
      <c r="I134" s="61">
        <v>366.20483899999999</v>
      </c>
      <c r="J134" s="62">
        <v>33.212749000000002</v>
      </c>
      <c r="K134" s="28">
        <f t="shared" si="16"/>
        <v>38.492313975521576</v>
      </c>
      <c r="L134" s="69">
        <v>59.005809999999997</v>
      </c>
      <c r="M134" s="29">
        <f t="shared" si="17"/>
        <v>76.997598943645798</v>
      </c>
      <c r="N134" s="71">
        <v>76.984435000000005</v>
      </c>
      <c r="O134" s="35">
        <f t="shared" si="52"/>
        <v>1.5331206061310505</v>
      </c>
      <c r="P134" s="16">
        <f t="shared" si="55"/>
        <v>1.5340410307495003</v>
      </c>
      <c r="Q134" s="57" t="s">
        <v>69</v>
      </c>
      <c r="R134" s="58" t="s">
        <v>380</v>
      </c>
      <c r="S134" s="58">
        <v>2694</v>
      </c>
      <c r="T134" s="58">
        <f t="shared" si="53"/>
        <v>1</v>
      </c>
      <c r="U134" s="58"/>
      <c r="V134" s="73">
        <v>179</v>
      </c>
      <c r="W134" s="74">
        <v>3.5217830090000004</v>
      </c>
      <c r="X134" s="75">
        <v>1</v>
      </c>
      <c r="Y134" s="76">
        <v>6.8149999999999999E-3</v>
      </c>
      <c r="Z134" s="74">
        <v>3.5217830090000004</v>
      </c>
      <c r="AA134" s="73">
        <v>9503.1538579999997</v>
      </c>
      <c r="AB134" s="77">
        <v>6.8149999999999999E-3</v>
      </c>
      <c r="AC134" s="35">
        <f t="shared" si="54"/>
        <v>2.5552010102184175</v>
      </c>
      <c r="AD134" s="15">
        <f t="shared" si="56"/>
        <v>1.9561800140147465</v>
      </c>
      <c r="AE134" s="15">
        <f t="shared" si="28"/>
        <v>2.0151264923558951</v>
      </c>
      <c r="AF134" s="15">
        <f t="shared" si="29"/>
        <v>1.1922701532330933</v>
      </c>
      <c r="AG134" s="15">
        <f t="shared" si="57"/>
        <v>4.8884231302819066</v>
      </c>
      <c r="AH134" s="15">
        <f t="shared" si="58"/>
        <v>3.9336768813662091</v>
      </c>
      <c r="AI134" s="15">
        <f t="shared" si="59"/>
        <v>3.6006394153803387</v>
      </c>
      <c r="AJ134" s="16">
        <f t="shared" si="60"/>
        <v>6.4293465222804906</v>
      </c>
      <c r="AK134" s="32">
        <f t="shared" si="61"/>
        <v>1.7291074686806063</v>
      </c>
      <c r="AL134" s="15">
        <f t="shared" si="62"/>
        <v>0.97048440908806533</v>
      </c>
      <c r="AM134" s="15">
        <f t="shared" si="63"/>
        <v>0.29258283474739089</v>
      </c>
      <c r="AN134" s="16">
        <f t="shared" si="64"/>
        <v>8.3078041435173167E-2</v>
      </c>
    </row>
    <row r="135" spans="1:40" x14ac:dyDescent="0.45">
      <c r="A135" s="19">
        <v>123</v>
      </c>
      <c r="B135" s="57" t="s">
        <v>69</v>
      </c>
      <c r="C135" s="58" t="s">
        <v>225</v>
      </c>
      <c r="D135" s="59">
        <v>2695</v>
      </c>
      <c r="E135" s="60">
        <v>0.1590625</v>
      </c>
      <c r="F135" s="61">
        <v>2.3250000000000002</v>
      </c>
      <c r="G135" s="61">
        <v>95</v>
      </c>
      <c r="H135" s="61">
        <v>113</v>
      </c>
      <c r="I135" s="61">
        <v>102.341847</v>
      </c>
      <c r="J135" s="62">
        <v>8.9377169999999992</v>
      </c>
      <c r="K135" s="28">
        <f t="shared" si="16"/>
        <v>58.123611129327656</v>
      </c>
      <c r="L135" s="69">
        <v>76.147058999999999</v>
      </c>
      <c r="M135" s="29">
        <f t="shared" si="17"/>
        <v>88.129269980085951</v>
      </c>
      <c r="N135" s="71">
        <v>76.248654000000002</v>
      </c>
      <c r="O135" s="35">
        <f t="shared" si="52"/>
        <v>0.25550900318433889</v>
      </c>
      <c r="P135" s="16">
        <f t="shared" si="55"/>
        <v>0.25566240062471368</v>
      </c>
      <c r="Q135" s="57" t="s">
        <v>69</v>
      </c>
      <c r="R135" s="58" t="s">
        <v>381</v>
      </c>
      <c r="S135" s="58">
        <v>2695</v>
      </c>
      <c r="T135" s="58">
        <f t="shared" si="53"/>
        <v>1</v>
      </c>
      <c r="U135" s="58"/>
      <c r="V135" s="73">
        <v>102</v>
      </c>
      <c r="W135" s="74">
        <v>0.64748737300000003</v>
      </c>
      <c r="X135" s="75">
        <v>1</v>
      </c>
      <c r="Y135" s="76">
        <v>4.633E-3</v>
      </c>
      <c r="Z135" s="74">
        <v>0.64748737300000003</v>
      </c>
      <c r="AA135" s="73">
        <v>789.53688599999998</v>
      </c>
      <c r="AB135" s="77">
        <v>4.633E-3</v>
      </c>
      <c r="AC135" s="35">
        <f t="shared" si="54"/>
        <v>0.42584833864056482</v>
      </c>
      <c r="AD135" s="15">
        <f t="shared" si="56"/>
        <v>0.37792825114986317</v>
      </c>
      <c r="AE135" s="15">
        <f t="shared" si="28"/>
        <v>0.59860895337888365</v>
      </c>
      <c r="AF135" s="15">
        <f t="shared" si="29"/>
        <v>0.3754420815998803</v>
      </c>
      <c r="AG135" s="15">
        <f t="shared" si="57"/>
        <v>1.8521670387899716</v>
      </c>
      <c r="AH135" s="15">
        <f t="shared" si="58"/>
        <v>1.2686951716624586</v>
      </c>
      <c r="AI135" s="15">
        <f t="shared" si="59"/>
        <v>1.0891341999001016</v>
      </c>
      <c r="AJ135" s="16">
        <f t="shared" si="60"/>
        <v>0.55417425078688509</v>
      </c>
      <c r="AK135" s="32">
        <f t="shared" si="61"/>
        <v>1.6322891226620082</v>
      </c>
      <c r="AL135" s="15">
        <f t="shared" si="62"/>
        <v>0.37940687583658289</v>
      </c>
      <c r="AM135" s="15">
        <f t="shared" si="63"/>
        <v>4.070647531630649</v>
      </c>
      <c r="AN135" s="16">
        <f t="shared" si="64"/>
        <v>6.2868369351669946</v>
      </c>
    </row>
    <row r="136" spans="1:40" x14ac:dyDescent="0.45">
      <c r="A136" s="19">
        <v>124</v>
      </c>
      <c r="B136" s="57" t="s">
        <v>69</v>
      </c>
      <c r="C136" s="58" t="s">
        <v>25</v>
      </c>
      <c r="D136" s="59">
        <v>2696</v>
      </c>
      <c r="E136" s="60">
        <v>17.03921875</v>
      </c>
      <c r="F136" s="61">
        <v>28.975000000000001</v>
      </c>
      <c r="G136" s="61">
        <v>42</v>
      </c>
      <c r="H136" s="61">
        <v>493</v>
      </c>
      <c r="I136" s="61">
        <v>212.27596299999999</v>
      </c>
      <c r="J136" s="62">
        <v>20.997906</v>
      </c>
      <c r="K136" s="28">
        <f t="shared" si="16"/>
        <v>50.926256684864853</v>
      </c>
      <c r="L136" s="69">
        <v>70.473813000000007</v>
      </c>
      <c r="M136" s="29">
        <f t="shared" si="17"/>
        <v>84.734580733851502</v>
      </c>
      <c r="N136" s="71">
        <v>77.105700999999996</v>
      </c>
      <c r="O136" s="35">
        <f t="shared" si="52"/>
        <v>1.5386913722958389</v>
      </c>
      <c r="P136" s="16">
        <f t="shared" si="55"/>
        <v>1.5396151413806674</v>
      </c>
      <c r="Q136" s="57" t="s">
        <v>69</v>
      </c>
      <c r="R136" s="58" t="s">
        <v>382</v>
      </c>
      <c r="S136" s="58">
        <v>2696</v>
      </c>
      <c r="T136" s="58">
        <f t="shared" si="53"/>
        <v>1</v>
      </c>
      <c r="U136" s="58"/>
      <c r="V136" s="73">
        <v>138</v>
      </c>
      <c r="W136" s="74">
        <v>5.749448052</v>
      </c>
      <c r="X136" s="75">
        <v>1</v>
      </c>
      <c r="Y136" s="76">
        <v>7.8270000000000006E-3</v>
      </c>
      <c r="Z136" s="74">
        <v>5.749448052</v>
      </c>
      <c r="AA136" s="73">
        <v>10407.227631</v>
      </c>
      <c r="AB136" s="77">
        <v>7.8270000000000006E-3</v>
      </c>
      <c r="AC136" s="35">
        <f t="shared" si="54"/>
        <v>2.5644856204930648</v>
      </c>
      <c r="AD136" s="15">
        <f t="shared" si="56"/>
        <v>2.232361223230348</v>
      </c>
      <c r="AE136" s="15">
        <f t="shared" si="28"/>
        <v>2.8487479036427827</v>
      </c>
      <c r="AF136" s="15">
        <f t="shared" si="29"/>
        <v>1.6486549329455267</v>
      </c>
      <c r="AG136" s="15">
        <f t="shared" si="57"/>
        <v>4.6833662400325418</v>
      </c>
      <c r="AH136" s="15">
        <f t="shared" si="58"/>
        <v>4.0362718663273736</v>
      </c>
      <c r="AI136" s="15">
        <f t="shared" si="59"/>
        <v>5.0382174606872727</v>
      </c>
      <c r="AJ136" s="16">
        <f t="shared" si="60"/>
        <v>7.5830417985836363</v>
      </c>
      <c r="AK136" s="32">
        <f t="shared" si="61"/>
        <v>1.9654257278322733</v>
      </c>
      <c r="AL136" s="15">
        <f t="shared" si="62"/>
        <v>0.5154628489341172</v>
      </c>
      <c r="AM136" s="15">
        <f t="shared" si="63"/>
        <v>0.33742439347461278</v>
      </c>
      <c r="AN136" s="16">
        <f t="shared" si="64"/>
        <v>5.8688136743358613E-2</v>
      </c>
    </row>
    <row r="137" spans="1:40" x14ac:dyDescent="0.45">
      <c r="A137" s="19">
        <v>125</v>
      </c>
      <c r="B137" s="57" t="s">
        <v>69</v>
      </c>
      <c r="C137" s="58" t="s">
        <v>26</v>
      </c>
      <c r="D137" s="59">
        <v>2697</v>
      </c>
      <c r="E137" s="60">
        <v>8.3417187500000001</v>
      </c>
      <c r="F137" s="61">
        <v>15.375</v>
      </c>
      <c r="G137" s="61">
        <v>959</v>
      </c>
      <c r="H137" s="61">
        <v>2284</v>
      </c>
      <c r="I137" s="61">
        <v>1568.0505370000001</v>
      </c>
      <c r="J137" s="62">
        <v>56.354819999999997</v>
      </c>
      <c r="K137" s="28">
        <f t="shared" si="16"/>
        <v>62.058130400628443</v>
      </c>
      <c r="L137" s="69">
        <v>79</v>
      </c>
      <c r="M137" s="29">
        <f t="shared" si="17"/>
        <v>89.742133363626024</v>
      </c>
      <c r="N137" s="71">
        <v>77.268124</v>
      </c>
      <c r="O137" s="35">
        <f t="shared" si="52"/>
        <v>0.44842832253878823</v>
      </c>
      <c r="P137" s="16">
        <f t="shared" si="55"/>
        <v>0.44869754106342635</v>
      </c>
      <c r="Q137" s="57" t="s">
        <v>69</v>
      </c>
      <c r="R137" s="58" t="s">
        <v>383</v>
      </c>
      <c r="S137" s="58">
        <v>2697</v>
      </c>
      <c r="T137" s="58">
        <f t="shared" si="53"/>
        <v>1</v>
      </c>
      <c r="U137" s="58"/>
      <c r="V137" s="73">
        <v>1071</v>
      </c>
      <c r="W137" s="74">
        <v>2.5247528840000002</v>
      </c>
      <c r="X137" s="75">
        <v>1</v>
      </c>
      <c r="Y137" s="76">
        <v>0.114467</v>
      </c>
      <c r="Z137" s="74">
        <v>2.5247528840000002</v>
      </c>
      <c r="AA137" s="73">
        <v>5608.7887769999998</v>
      </c>
      <c r="AB137" s="77">
        <v>0.114467</v>
      </c>
      <c r="AC137" s="35">
        <f t="shared" si="54"/>
        <v>0.74738053756464706</v>
      </c>
      <c r="AD137" s="15">
        <f t="shared" si="56"/>
        <v>1.7017301703968883</v>
      </c>
      <c r="AE137" s="15">
        <f t="shared" ref="AE137:AE158" si="65" xml:space="preserve"> 0.3 * ( Z137/ ( AB137^0.25 ) ) ^ 0.76</f>
        <v>0.91549999035142671</v>
      </c>
      <c r="AF137" s="15">
        <f t="shared" ref="AF137:AF158" si="66">0.00013*(((Z137*1000)/0.3048)^0.77)/(AB137^0.385)</f>
        <v>0.31143574020914228</v>
      </c>
      <c r="AG137" s="15">
        <f t="shared" si="57"/>
        <v>1.1278559400529213</v>
      </c>
      <c r="AH137" s="15">
        <f t="shared" si="58"/>
        <v>1.5907567509920675</v>
      </c>
      <c r="AI137" s="15">
        <f t="shared" si="59"/>
        <v>0.89096400911767371</v>
      </c>
      <c r="AJ137" s="16">
        <f t="shared" si="60"/>
        <v>2.24104529754382</v>
      </c>
      <c r="AK137" s="32">
        <f t="shared" si="61"/>
        <v>1.4905460029187345</v>
      </c>
      <c r="AL137" s="15">
        <f t="shared" si="62"/>
        <v>1.3086327630249031</v>
      </c>
      <c r="AM137" s="15">
        <f t="shared" si="63"/>
        <v>0.30266578863019089</v>
      </c>
      <c r="AN137" s="16">
        <f t="shared" si="64"/>
        <v>0.11987937138254631</v>
      </c>
    </row>
    <row r="138" spans="1:40" x14ac:dyDescent="0.45">
      <c r="A138" s="19">
        <v>126</v>
      </c>
      <c r="B138" s="57" t="s">
        <v>69</v>
      </c>
      <c r="C138" s="58" t="s">
        <v>226</v>
      </c>
      <c r="D138" s="59">
        <v>2698</v>
      </c>
      <c r="E138" s="60">
        <v>2.3345312499999999</v>
      </c>
      <c r="F138" s="61">
        <v>14.1</v>
      </c>
      <c r="G138" s="61">
        <v>93</v>
      </c>
      <c r="H138" s="61">
        <v>147</v>
      </c>
      <c r="I138" s="61">
        <v>111.99544899999999</v>
      </c>
      <c r="J138" s="62">
        <v>8.8691289999999992</v>
      </c>
      <c r="K138" s="28">
        <f t="shared" si="16"/>
        <v>32.710034635956596</v>
      </c>
      <c r="L138" s="69">
        <v>52.786606999999997</v>
      </c>
      <c r="M138" s="29">
        <f t="shared" ref="M138:M158" si="67">L138/(0.43+0.0057*L138)</f>
        <v>72.222995116927777</v>
      </c>
      <c r="N138" s="71">
        <v>75.890182999999993</v>
      </c>
      <c r="O138" s="35">
        <f t="shared" si="52"/>
        <v>1.567369923894155</v>
      </c>
      <c r="P138" s="16">
        <f t="shared" si="55"/>
        <v>1.5683109104404189</v>
      </c>
      <c r="Q138" s="57" t="s">
        <v>69</v>
      </c>
      <c r="R138" s="58" t="s">
        <v>384</v>
      </c>
      <c r="S138" s="58">
        <v>2698</v>
      </c>
      <c r="T138" s="58">
        <f t="shared" si="53"/>
        <v>1</v>
      </c>
      <c r="U138" s="58"/>
      <c r="V138" s="73">
        <v>105</v>
      </c>
      <c r="W138" s="74">
        <v>1.690837841</v>
      </c>
      <c r="X138" s="75">
        <v>1</v>
      </c>
      <c r="Y138" s="76">
        <v>2.366E-3</v>
      </c>
      <c r="Z138" s="74">
        <v>1.690837841</v>
      </c>
      <c r="AA138" s="73">
        <v>3518.0271440000001</v>
      </c>
      <c r="AB138" s="77">
        <v>2.366E-3</v>
      </c>
      <c r="AC138" s="35">
        <f t="shared" si="54"/>
        <v>2.6122832064902584</v>
      </c>
      <c r="AD138" s="15">
        <f t="shared" si="56"/>
        <v>1.0488888654444519</v>
      </c>
      <c r="AE138" s="15">
        <f t="shared" si="65"/>
        <v>1.410639182252017</v>
      </c>
      <c r="AF138" s="15">
        <f t="shared" si="66"/>
        <v>1.0183443643809769</v>
      </c>
      <c r="AG138" s="15">
        <f t="shared" si="57"/>
        <v>5.4042208711939619</v>
      </c>
      <c r="AH138" s="15">
        <f t="shared" si="58"/>
        <v>3.3661143093656545</v>
      </c>
      <c r="AI138" s="15">
        <f t="shared" si="59"/>
        <v>3.0785076316325064</v>
      </c>
      <c r="AJ138" s="16">
        <f t="shared" si="60"/>
        <v>3.3265331351833232</v>
      </c>
      <c r="AK138" s="32">
        <f t="shared" si="61"/>
        <v>2.5839094967245342</v>
      </c>
      <c r="AL138" s="15">
        <f t="shared" si="62"/>
        <v>0.8165744258113774</v>
      </c>
      <c r="AM138" s="15">
        <f t="shared" si="63"/>
        <v>0.72427295243959577</v>
      </c>
      <c r="AN138" s="16">
        <f t="shared" si="64"/>
        <v>0.42835151596278698</v>
      </c>
    </row>
    <row r="139" spans="1:40" x14ac:dyDescent="0.45">
      <c r="A139" s="19">
        <v>127</v>
      </c>
      <c r="B139" s="57" t="s">
        <v>69</v>
      </c>
      <c r="C139" s="58" t="s">
        <v>27</v>
      </c>
      <c r="D139" s="59">
        <v>2699</v>
      </c>
      <c r="E139" s="60">
        <v>11.92171875</v>
      </c>
      <c r="F139" s="61">
        <v>26.4</v>
      </c>
      <c r="G139" s="61">
        <v>164</v>
      </c>
      <c r="H139" s="61">
        <v>1314</v>
      </c>
      <c r="I139" s="61">
        <v>524.17477299999996</v>
      </c>
      <c r="J139" s="62">
        <v>36.128017</v>
      </c>
      <c r="K139" s="28">
        <f t="shared" si="16"/>
        <v>44.837784879338876</v>
      </c>
      <c r="L139" s="69">
        <v>65.150975000000003</v>
      </c>
      <c r="M139" s="29">
        <f t="shared" si="67"/>
        <v>81.300451326492947</v>
      </c>
      <c r="N139" s="71">
        <v>76.995063000000002</v>
      </c>
      <c r="O139" s="35">
        <f t="shared" si="52"/>
        <v>1.3999897811710083</v>
      </c>
      <c r="P139" s="16">
        <f t="shared" si="55"/>
        <v>1.4008302793386112</v>
      </c>
      <c r="Q139" s="57" t="s">
        <v>69</v>
      </c>
      <c r="R139" s="58" t="s">
        <v>385</v>
      </c>
      <c r="S139" s="58">
        <v>2699</v>
      </c>
      <c r="T139" s="58">
        <f t="shared" si="53"/>
        <v>1</v>
      </c>
      <c r="U139" s="58"/>
      <c r="V139" s="73">
        <v>215</v>
      </c>
      <c r="W139" s="74">
        <v>7.6037373729999995</v>
      </c>
      <c r="X139" s="75">
        <v>1</v>
      </c>
      <c r="Y139" s="76">
        <v>2.9721999999999998E-2</v>
      </c>
      <c r="Z139" s="74">
        <v>7.6037373729999995</v>
      </c>
      <c r="AA139" s="73">
        <v>10882.44318</v>
      </c>
      <c r="AB139" s="77">
        <v>2.9721999999999998E-2</v>
      </c>
      <c r="AC139" s="35">
        <f t="shared" si="54"/>
        <v>2.3333163019516805</v>
      </c>
      <c r="AD139" s="15">
        <f t="shared" si="56"/>
        <v>1.9490472318798189</v>
      </c>
      <c r="AE139" s="15">
        <f t="shared" si="65"/>
        <v>2.7341165977788138</v>
      </c>
      <c r="AF139" s="15">
        <f t="shared" si="66"/>
        <v>1.2232287021768882</v>
      </c>
      <c r="AG139" s="15">
        <f t="shared" si="57"/>
        <v>2.0966015369102169</v>
      </c>
      <c r="AH139" s="15">
        <f t="shared" si="58"/>
        <v>2.3761011542822632</v>
      </c>
      <c r="AI139" s="15">
        <f t="shared" si="59"/>
        <v>3.6975699530333985</v>
      </c>
      <c r="AJ139" s="16">
        <f t="shared" si="60"/>
        <v>4.1309137016445208</v>
      </c>
      <c r="AK139" s="32">
        <f t="shared" si="61"/>
        <v>2.1408809720422664</v>
      </c>
      <c r="AL139" s="15">
        <f t="shared" si="62"/>
        <v>0.20619809823265334</v>
      </c>
      <c r="AM139" s="15">
        <f t="shared" si="63"/>
        <v>0.63780546517254477</v>
      </c>
      <c r="AN139" s="16">
        <f t="shared" si="64"/>
        <v>8.3880522680506955E-2</v>
      </c>
    </row>
    <row r="140" spans="1:40" x14ac:dyDescent="0.45">
      <c r="A140" s="19">
        <v>128</v>
      </c>
      <c r="B140" s="57" t="s">
        <v>69</v>
      </c>
      <c r="C140" s="58" t="s">
        <v>28</v>
      </c>
      <c r="D140" s="59">
        <v>2700</v>
      </c>
      <c r="E140" s="60">
        <v>20.1215625</v>
      </c>
      <c r="F140" s="61">
        <v>36.924999999999997</v>
      </c>
      <c r="G140" s="61">
        <v>176</v>
      </c>
      <c r="H140" s="61">
        <v>2134</v>
      </c>
      <c r="I140" s="61">
        <v>1035.6141419999999</v>
      </c>
      <c r="J140" s="62">
        <v>49.445374000000001</v>
      </c>
      <c r="K140" s="28">
        <f t="shared" si="16"/>
        <v>55.621200449259163</v>
      </c>
      <c r="L140" s="69">
        <v>74.244427000000002</v>
      </c>
      <c r="M140" s="29">
        <f t="shared" si="67"/>
        <v>87.019474662995222</v>
      </c>
      <c r="N140" s="71">
        <v>76.938479999999998</v>
      </c>
      <c r="O140" s="35">
        <f t="shared" si="52"/>
        <v>1.2568042704417681</v>
      </c>
      <c r="P140" s="16">
        <f t="shared" si="55"/>
        <v>1.257558805725203</v>
      </c>
      <c r="Q140" s="57" t="s">
        <v>69</v>
      </c>
      <c r="R140" s="58" t="s">
        <v>386</v>
      </c>
      <c r="S140" s="58">
        <v>2700</v>
      </c>
      <c r="T140" s="58">
        <f t="shared" si="53"/>
        <v>1</v>
      </c>
      <c r="U140" s="58"/>
      <c r="V140" s="73">
        <v>365</v>
      </c>
      <c r="W140" s="74">
        <v>12.160171356000001</v>
      </c>
      <c r="X140" s="75">
        <v>1</v>
      </c>
      <c r="Y140" s="76">
        <v>7.1956000000000006E-2</v>
      </c>
      <c r="Z140" s="74">
        <v>12.160171356000001</v>
      </c>
      <c r="AA140" s="73">
        <v>15731.123734000001</v>
      </c>
      <c r="AB140" s="77">
        <v>7.1956000000000006E-2</v>
      </c>
      <c r="AC140" s="35">
        <f t="shared" si="54"/>
        <v>2.0946737840696135</v>
      </c>
      <c r="AD140" s="15">
        <f t="shared" si="56"/>
        <v>2.3779627049513201</v>
      </c>
      <c r="AE140" s="15">
        <f t="shared" si="65"/>
        <v>3.3024229241844325</v>
      </c>
      <c r="AF140" s="15">
        <f t="shared" si="66"/>
        <v>1.2493513662035778</v>
      </c>
      <c r="AG140" s="15">
        <f t="shared" si="57"/>
        <v>1.5289091931028147</v>
      </c>
      <c r="AH140" s="15">
        <f t="shared" si="58"/>
        <v>2.0835908019449456</v>
      </c>
      <c r="AI140" s="15">
        <f t="shared" si="59"/>
        <v>3.7810333957958391</v>
      </c>
      <c r="AJ140" s="16">
        <f t="shared" si="60"/>
        <v>4.3350671285179274</v>
      </c>
      <c r="AK140" s="32">
        <f t="shared" si="61"/>
        <v>2.3048766293867495</v>
      </c>
      <c r="AL140" s="15">
        <f t="shared" si="62"/>
        <v>0.13607624366229287</v>
      </c>
      <c r="AM140" s="15">
        <f t="shared" si="63"/>
        <v>0.60433534204910788</v>
      </c>
      <c r="AN140" s="16">
        <f t="shared" si="64"/>
        <v>4.9697929770612992E-2</v>
      </c>
    </row>
    <row r="141" spans="1:40" x14ac:dyDescent="0.45">
      <c r="A141" s="19">
        <v>129</v>
      </c>
      <c r="B141" s="57" t="s">
        <v>69</v>
      </c>
      <c r="C141" s="58" t="s">
        <v>29</v>
      </c>
      <c r="D141" s="59">
        <v>2701</v>
      </c>
      <c r="E141" s="60">
        <v>11.410937499999999</v>
      </c>
      <c r="F141" s="61">
        <v>20.175000000000001</v>
      </c>
      <c r="G141" s="61">
        <v>957</v>
      </c>
      <c r="H141" s="61">
        <v>2062</v>
      </c>
      <c r="I141" s="61">
        <v>1438.4690539999999</v>
      </c>
      <c r="J141" s="62">
        <v>61.13776</v>
      </c>
      <c r="K141" s="28">
        <f t="shared" si="16"/>
        <v>62.058130400628443</v>
      </c>
      <c r="L141" s="69">
        <v>79</v>
      </c>
      <c r="M141" s="29">
        <f t="shared" si="67"/>
        <v>89.742133363626024</v>
      </c>
      <c r="N141" s="71">
        <v>76.876686000000007</v>
      </c>
      <c r="O141" s="35">
        <f t="shared" si="52"/>
        <v>0.41749929923088619</v>
      </c>
      <c r="P141" s="16">
        <f t="shared" ref="P141:P171" si="68">((AA141/0.3048)^0.8*(((1000/L141)-10)+1)^0.7)/(1900*J141^0.5)</f>
        <v>0.41774994920040637</v>
      </c>
      <c r="Q141" s="57" t="s">
        <v>69</v>
      </c>
      <c r="R141" s="58" t="s">
        <v>387</v>
      </c>
      <c r="S141" s="58">
        <v>2701</v>
      </c>
      <c r="T141" s="58">
        <f t="shared" si="53"/>
        <v>1</v>
      </c>
      <c r="U141" s="58"/>
      <c r="V141" s="73">
        <v>1034</v>
      </c>
      <c r="W141" s="74">
        <v>1.99811553</v>
      </c>
      <c r="X141" s="75">
        <v>1</v>
      </c>
      <c r="Y141" s="76">
        <v>5.4551000000000002E-2</v>
      </c>
      <c r="Z141" s="74">
        <v>1.99811553</v>
      </c>
      <c r="AA141" s="73">
        <v>5397.3926739999997</v>
      </c>
      <c r="AB141" s="77">
        <v>5.4551000000000002E-2</v>
      </c>
      <c r="AC141" s="35">
        <f t="shared" si="54"/>
        <v>0.6958321653848103</v>
      </c>
      <c r="AD141" s="15">
        <f t="shared" ref="AD141:AD171" si="69" xml:space="preserve"> 0.76 * (E141 ) ^ 0.38</f>
        <v>1.9168833997897456</v>
      </c>
      <c r="AE141" s="15">
        <f t="shared" si="65"/>
        <v>0.88226772264851316</v>
      </c>
      <c r="AF141" s="15">
        <f t="shared" si="66"/>
        <v>0.34598768721170275</v>
      </c>
      <c r="AG141" s="15">
        <f t="shared" ref="AG141:AG171" si="70" xml:space="preserve"> ( 4 * E141 ^ 0.5 + 1.5 * Z141 ) / ( 25.3 * ( AB141 *Z141 ) ^ 0.5)</f>
        <v>1.9764870929190528</v>
      </c>
      <c r="AH141" s="15">
        <f t="shared" ref="AH141:AH171" si="71" xml:space="preserve"> 1.7694 * E141 ^ 0.325 * Z141 ^ -0.096 *( AB141*100) ^ -0.29</f>
        <v>2.2331767065610268</v>
      </c>
      <c r="AI141" s="15">
        <f t="shared" ref="AI141:AI171" si="72" xml:space="preserve"> (0.007*(0.035^0.8) * ((Z141*1000)/0.3048)^0.8)/((AB141^0.4)*(N141/25.4)^0.5)</f>
        <v>0.99640391818948415</v>
      </c>
      <c r="AJ141" s="16">
        <f t="shared" ref="AJ141:AJ171" si="73">0.335 * (E141 / AB141 ^ 0.5) ^ 0.593</f>
        <v>3.361819162669736</v>
      </c>
      <c r="AK141" s="32">
        <f t="shared" ref="AK141:AK171" si="74" xml:space="preserve"> 0.28 * F141 /E141^0.5</f>
        <v>1.6722873763649793</v>
      </c>
      <c r="AL141" s="15">
        <f t="shared" ref="AL141:AL171" si="75" xml:space="preserve"> E141 / Z141 ^ 2</f>
        <v>2.8581178749353082</v>
      </c>
      <c r="AM141" s="15">
        <f t="shared" ref="AM141:AM171" si="76">W141/E141</f>
        <v>0.1751052908667671</v>
      </c>
      <c r="AN141" s="16">
        <f t="shared" ref="AN141:AN171" si="77">X141/E141</f>
        <v>8.7635218403395873E-2</v>
      </c>
    </row>
    <row r="142" spans="1:40" x14ac:dyDescent="0.45">
      <c r="A142" s="19">
        <v>130</v>
      </c>
      <c r="B142" s="57" t="s">
        <v>69</v>
      </c>
      <c r="C142" s="58" t="s">
        <v>30</v>
      </c>
      <c r="D142" s="59">
        <v>2704</v>
      </c>
      <c r="E142" s="60">
        <v>6.0748437500000003</v>
      </c>
      <c r="F142" s="61">
        <v>17.850000000000001</v>
      </c>
      <c r="G142" s="61">
        <v>108</v>
      </c>
      <c r="H142" s="61">
        <v>360</v>
      </c>
      <c r="I142" s="61">
        <v>198.41894099999999</v>
      </c>
      <c r="J142" s="62">
        <v>18.645164000000001</v>
      </c>
      <c r="K142" s="28">
        <f t="shared" si="16"/>
        <v>51.862969019210155</v>
      </c>
      <c r="L142" s="69">
        <v>71.248061000000007</v>
      </c>
      <c r="M142" s="29">
        <f t="shared" si="67"/>
        <v>85.213338679483442</v>
      </c>
      <c r="N142" s="71">
        <v>76.565398999999999</v>
      </c>
      <c r="O142" s="35">
        <f t="shared" ref="O142:O171" si="78">0.6*AC142</f>
        <v>0.99866925291931863</v>
      </c>
      <c r="P142" s="16">
        <f t="shared" si="68"/>
        <v>0.99926881420784353</v>
      </c>
      <c r="Q142" s="57" t="s">
        <v>69</v>
      </c>
      <c r="R142" s="58" t="s">
        <v>388</v>
      </c>
      <c r="S142" s="58">
        <v>2704</v>
      </c>
      <c r="T142" s="58">
        <f t="shared" ref="T142:T171" si="79">IF(D142=S142,1,0)</f>
        <v>1</v>
      </c>
      <c r="U142" s="58"/>
      <c r="V142" s="73">
        <v>155</v>
      </c>
      <c r="W142" s="74">
        <v>1.77452426</v>
      </c>
      <c r="X142" s="75">
        <v>1</v>
      </c>
      <c r="Y142" s="76">
        <v>2.4232E-2</v>
      </c>
      <c r="Z142" s="74">
        <v>1.77452426</v>
      </c>
      <c r="AA142" s="73">
        <v>5779.3470390000002</v>
      </c>
      <c r="AB142" s="77">
        <v>2.4232E-2</v>
      </c>
      <c r="AC142" s="35">
        <f t="shared" ref="AC142:AC171" si="80">(0.0526*(AA142/0.3048)^0.8*((1000/L142)-9)^0.7*J142^-0.5)/60</f>
        <v>1.6644487548655311</v>
      </c>
      <c r="AD142" s="15">
        <f t="shared" si="69"/>
        <v>1.5085403631714798</v>
      </c>
      <c r="AE142" s="15">
        <f t="shared" si="65"/>
        <v>0.94056663858153877</v>
      </c>
      <c r="AF142" s="15">
        <f t="shared" si="66"/>
        <v>0.43157378888652859</v>
      </c>
      <c r="AG142" s="15">
        <f t="shared" si="70"/>
        <v>2.3865541677752642</v>
      </c>
      <c r="AH142" s="15">
        <f t="shared" si="71"/>
        <v>2.3285747427050114</v>
      </c>
      <c r="AI142" s="15">
        <f t="shared" si="72"/>
        <v>1.256177289108698</v>
      </c>
      <c r="AJ142" s="16">
        <f t="shared" si="73"/>
        <v>2.9424542074264721</v>
      </c>
      <c r="AK142" s="32">
        <f t="shared" si="74"/>
        <v>2.0278167020653863</v>
      </c>
      <c r="AL142" s="15">
        <f t="shared" si="75"/>
        <v>1.9291732433065372</v>
      </c>
      <c r="AM142" s="15">
        <f t="shared" si="76"/>
        <v>0.29211027197201572</v>
      </c>
      <c r="AN142" s="16">
        <f t="shared" si="77"/>
        <v>0.16461328737879061</v>
      </c>
    </row>
    <row r="143" spans="1:40" x14ac:dyDescent="0.45">
      <c r="A143" s="19">
        <v>131</v>
      </c>
      <c r="B143" s="57" t="s">
        <v>69</v>
      </c>
      <c r="C143" s="58" t="s">
        <v>227</v>
      </c>
      <c r="D143" s="59">
        <v>2705</v>
      </c>
      <c r="E143" s="60">
        <v>11.2659375</v>
      </c>
      <c r="F143" s="61">
        <v>22.65</v>
      </c>
      <c r="G143" s="61">
        <v>110</v>
      </c>
      <c r="H143" s="61">
        <v>495</v>
      </c>
      <c r="I143" s="61">
        <v>208.30572000000001</v>
      </c>
      <c r="J143" s="62">
        <v>17.769231999999999</v>
      </c>
      <c r="K143" s="28">
        <f t="shared" si="16"/>
        <v>42.351274616417342</v>
      </c>
      <c r="L143" s="69">
        <v>62.820864</v>
      </c>
      <c r="M143" s="29">
        <f t="shared" si="67"/>
        <v>79.713924612237008</v>
      </c>
      <c r="N143" s="71">
        <v>76.347205000000002</v>
      </c>
      <c r="O143" s="35">
        <f t="shared" si="78"/>
        <v>2.0913085723722715</v>
      </c>
      <c r="P143" s="16">
        <f t="shared" si="68"/>
        <v>2.0925641108387749</v>
      </c>
      <c r="Q143" s="57" t="s">
        <v>69</v>
      </c>
      <c r="R143" s="58" t="s">
        <v>389</v>
      </c>
      <c r="S143" s="58">
        <v>2705</v>
      </c>
      <c r="T143" s="58">
        <f t="shared" si="79"/>
        <v>1</v>
      </c>
      <c r="U143" s="58"/>
      <c r="V143" s="73">
        <v>125</v>
      </c>
      <c r="W143" s="74">
        <v>5.2192703819999995</v>
      </c>
      <c r="X143" s="75">
        <v>1</v>
      </c>
      <c r="Y143" s="76">
        <v>7.0889999999999998E-3</v>
      </c>
      <c r="Z143" s="74">
        <v>5.2192703819999995</v>
      </c>
      <c r="AA143" s="73">
        <v>10699.169368999999</v>
      </c>
      <c r="AB143" s="77">
        <v>7.0889999999999998E-3</v>
      </c>
      <c r="AC143" s="35">
        <f t="shared" si="80"/>
        <v>3.4855142872871192</v>
      </c>
      <c r="AD143" s="15">
        <f t="shared" si="69"/>
        <v>1.9075906301152152</v>
      </c>
      <c r="AE143" s="15">
        <f t="shared" si="65"/>
        <v>2.6970782953820214</v>
      </c>
      <c r="AF143" s="15">
        <f t="shared" si="66"/>
        <v>1.5897768111653698</v>
      </c>
      <c r="AG143" s="15">
        <f t="shared" si="70"/>
        <v>4.3675651153678965</v>
      </c>
      <c r="AH143" s="15">
        <f t="shared" si="71"/>
        <v>3.6651370947440056</v>
      </c>
      <c r="AI143" s="15">
        <f t="shared" si="72"/>
        <v>4.8754492325580392</v>
      </c>
      <c r="AJ143" s="16">
        <f t="shared" si="73"/>
        <v>6.1100447739094284</v>
      </c>
      <c r="AK143" s="32">
        <f t="shared" si="74"/>
        <v>1.8894811729513226</v>
      </c>
      <c r="AL143" s="15">
        <f t="shared" si="75"/>
        <v>0.41356877911634515</v>
      </c>
      <c r="AM143" s="15">
        <f t="shared" si="76"/>
        <v>0.46327883338603643</v>
      </c>
      <c r="AN143" s="16">
        <f t="shared" si="77"/>
        <v>8.8763141105655877E-2</v>
      </c>
    </row>
    <row r="144" spans="1:40" x14ac:dyDescent="0.45">
      <c r="A144" s="19">
        <v>132</v>
      </c>
      <c r="B144" s="57" t="s">
        <v>69</v>
      </c>
      <c r="C144" s="58" t="s">
        <v>31</v>
      </c>
      <c r="D144" s="59">
        <v>2706</v>
      </c>
      <c r="E144" s="60">
        <v>8.1323437500000004</v>
      </c>
      <c r="F144" s="61">
        <v>30.05</v>
      </c>
      <c r="G144" s="61">
        <v>212</v>
      </c>
      <c r="H144" s="61">
        <v>1254</v>
      </c>
      <c r="I144" s="61">
        <v>578.06207900000004</v>
      </c>
      <c r="J144" s="62">
        <v>38.365600999999998</v>
      </c>
      <c r="K144" s="28">
        <f t="shared" si="16"/>
        <v>45.509738567005833</v>
      </c>
      <c r="L144" s="69">
        <v>65.764419000000004</v>
      </c>
      <c r="M144" s="29">
        <f t="shared" si="67"/>
        <v>81.709426164045368</v>
      </c>
      <c r="N144" s="71">
        <v>76.723639000000006</v>
      </c>
      <c r="O144" s="35">
        <f t="shared" si="78"/>
        <v>1.3750314931518299</v>
      </c>
      <c r="P144" s="16">
        <f t="shared" si="68"/>
        <v>1.3758570073562437</v>
      </c>
      <c r="Q144" s="57" t="s">
        <v>69</v>
      </c>
      <c r="R144" s="58" t="s">
        <v>390</v>
      </c>
      <c r="S144" s="58">
        <v>2706</v>
      </c>
      <c r="T144" s="58">
        <f t="shared" si="79"/>
        <v>1</v>
      </c>
      <c r="U144" s="58"/>
      <c r="V144" s="73">
        <v>371</v>
      </c>
      <c r="W144" s="74">
        <v>10.586790219000001</v>
      </c>
      <c r="X144" s="75">
        <v>1</v>
      </c>
      <c r="Y144" s="76">
        <v>4.0238999999999997E-2</v>
      </c>
      <c r="Z144" s="74">
        <v>10.586790219000001</v>
      </c>
      <c r="AA144" s="73">
        <v>11270.413505</v>
      </c>
      <c r="AB144" s="77">
        <v>4.0238999999999997E-2</v>
      </c>
      <c r="AC144" s="35">
        <f t="shared" si="80"/>
        <v>2.29171915525305</v>
      </c>
      <c r="AD144" s="15">
        <f t="shared" si="69"/>
        <v>1.6853712019474612</v>
      </c>
      <c r="AE144" s="15">
        <f t="shared" si="65"/>
        <v>3.3193967491102647</v>
      </c>
      <c r="AF144" s="15">
        <f t="shared" si="66"/>
        <v>1.4045305298558737</v>
      </c>
      <c r="AG144" s="15">
        <f t="shared" si="70"/>
        <v>1.652460080470632</v>
      </c>
      <c r="AH144" s="15">
        <f t="shared" si="71"/>
        <v>1.8617487843640874</v>
      </c>
      <c r="AI144" s="15">
        <f t="shared" si="72"/>
        <v>4.2760752699545783</v>
      </c>
      <c r="AJ144" s="16">
        <f t="shared" si="73"/>
        <v>3.0097113422299628</v>
      </c>
      <c r="AK144" s="32">
        <f t="shared" si="74"/>
        <v>2.9504933748954496</v>
      </c>
      <c r="AL144" s="15">
        <f t="shared" si="75"/>
        <v>7.2558302327414406E-2</v>
      </c>
      <c r="AM144" s="15">
        <f t="shared" si="76"/>
        <v>1.3018129268084617</v>
      </c>
      <c r="AN144" s="16">
        <f t="shared" si="77"/>
        <v>0.12296578092877591</v>
      </c>
    </row>
    <row r="145" spans="1:40" x14ac:dyDescent="0.45">
      <c r="A145" s="19">
        <v>133</v>
      </c>
      <c r="B145" s="57" t="s">
        <v>69</v>
      </c>
      <c r="C145" s="58" t="s">
        <v>228</v>
      </c>
      <c r="D145" s="59">
        <v>2707</v>
      </c>
      <c r="E145" s="60">
        <v>16.0784375</v>
      </c>
      <c r="F145" s="61">
        <v>27.2</v>
      </c>
      <c r="G145" s="61">
        <v>649</v>
      </c>
      <c r="H145" s="61">
        <v>2618</v>
      </c>
      <c r="I145" s="61">
        <v>1515.6286560000001</v>
      </c>
      <c r="J145" s="62">
        <v>54.982475000000001</v>
      </c>
      <c r="K145" s="28">
        <f t="shared" si="16"/>
        <v>58.577051628310471</v>
      </c>
      <c r="L145" s="69">
        <v>76.484297999999995</v>
      </c>
      <c r="M145" s="29">
        <f t="shared" si="67"/>
        <v>88.323079544219752</v>
      </c>
      <c r="N145" s="71">
        <v>76.664073000000002</v>
      </c>
      <c r="O145" s="35">
        <f t="shared" si="78"/>
        <v>0.94270390347863908</v>
      </c>
      <c r="P145" s="16">
        <f t="shared" si="68"/>
        <v>0.94326986539787794</v>
      </c>
      <c r="Q145" s="57" t="s">
        <v>69</v>
      </c>
      <c r="R145" s="58" t="s">
        <v>391</v>
      </c>
      <c r="S145" s="58">
        <v>2707</v>
      </c>
      <c r="T145" s="58">
        <f t="shared" si="79"/>
        <v>1</v>
      </c>
      <c r="U145" s="58"/>
      <c r="V145" s="73">
        <v>1085</v>
      </c>
      <c r="W145" s="74">
        <v>9.0205528460000011</v>
      </c>
      <c r="X145" s="75">
        <v>1</v>
      </c>
      <c r="Y145" s="76">
        <v>8.8797000000000001E-2</v>
      </c>
      <c r="Z145" s="74">
        <v>9.0205528460000011</v>
      </c>
      <c r="AA145" s="73">
        <v>12722.418825000001</v>
      </c>
      <c r="AB145" s="77">
        <v>8.8797000000000001E-2</v>
      </c>
      <c r="AC145" s="35">
        <f t="shared" si="80"/>
        <v>1.5711731724643985</v>
      </c>
      <c r="AD145" s="15">
        <f t="shared" si="69"/>
        <v>2.1836662013198498</v>
      </c>
      <c r="AE145" s="15">
        <f t="shared" si="65"/>
        <v>2.528731839688215</v>
      </c>
      <c r="AF145" s="15">
        <f t="shared" si="66"/>
        <v>0.91547822211886209</v>
      </c>
      <c r="AG145" s="15">
        <f t="shared" si="70"/>
        <v>1.3059155106279674</v>
      </c>
      <c r="AH145" s="15">
        <f t="shared" si="71"/>
        <v>1.8755013605346633</v>
      </c>
      <c r="AI145" s="15">
        <f t="shared" si="72"/>
        <v>2.7421336994657697</v>
      </c>
      <c r="AJ145" s="16">
        <f t="shared" si="73"/>
        <v>3.5657206095510192</v>
      </c>
      <c r="AK145" s="32">
        <f t="shared" si="74"/>
        <v>1.8993500584913423</v>
      </c>
      <c r="AL145" s="15">
        <f t="shared" si="75"/>
        <v>0.19759571916993643</v>
      </c>
      <c r="AM145" s="15">
        <f t="shared" si="76"/>
        <v>0.56103417051563631</v>
      </c>
      <c r="AN145" s="16">
        <f t="shared" si="77"/>
        <v>6.2195098248819268E-2</v>
      </c>
    </row>
    <row r="146" spans="1:40" x14ac:dyDescent="0.45">
      <c r="A146" s="19">
        <v>134</v>
      </c>
      <c r="B146" s="57" t="s">
        <v>69</v>
      </c>
      <c r="C146" s="58" t="s">
        <v>32</v>
      </c>
      <c r="D146" s="59">
        <v>2708</v>
      </c>
      <c r="E146" s="60">
        <v>4.8668750000000003</v>
      </c>
      <c r="F146" s="61">
        <v>14.675000000000001</v>
      </c>
      <c r="G146" s="61">
        <v>642</v>
      </c>
      <c r="H146" s="61">
        <v>1779</v>
      </c>
      <c r="I146" s="61">
        <v>1086.0603249999999</v>
      </c>
      <c r="J146" s="62">
        <v>59.124949999999998</v>
      </c>
      <c r="K146" s="28">
        <f t="shared" si="16"/>
        <v>59.406922403042124</v>
      </c>
      <c r="L146" s="69">
        <v>77.095691000000002</v>
      </c>
      <c r="M146" s="29">
        <f t="shared" si="67"/>
        <v>88.672258854188641</v>
      </c>
      <c r="N146" s="71">
        <v>76.750123000000002</v>
      </c>
      <c r="O146" s="35">
        <f t="shared" si="78"/>
        <v>0.43194614436072765</v>
      </c>
      <c r="P146" s="16">
        <f t="shared" si="68"/>
        <v>0.43220546764131246</v>
      </c>
      <c r="Q146" s="57" t="s">
        <v>69</v>
      </c>
      <c r="R146" s="58" t="s">
        <v>392</v>
      </c>
      <c r="S146" s="58">
        <v>2708</v>
      </c>
      <c r="T146" s="58">
        <f t="shared" si="79"/>
        <v>1</v>
      </c>
      <c r="U146" s="58"/>
      <c r="V146" s="73">
        <v>769</v>
      </c>
      <c r="W146" s="74">
        <v>3.4082106780000001</v>
      </c>
      <c r="X146" s="75">
        <v>1</v>
      </c>
      <c r="Y146" s="76">
        <v>6.7191000000000001E-2</v>
      </c>
      <c r="Z146" s="74">
        <v>3.4082106780000001</v>
      </c>
      <c r="AA146" s="73">
        <v>5133.3315279999997</v>
      </c>
      <c r="AB146" s="77">
        <v>6.7191000000000001E-2</v>
      </c>
      <c r="AC146" s="35">
        <f t="shared" si="80"/>
        <v>0.71991024060121278</v>
      </c>
      <c r="AD146" s="15">
        <f t="shared" si="69"/>
        <v>1.3866557767804599</v>
      </c>
      <c r="AE146" s="15">
        <f t="shared" si="65"/>
        <v>1.2724837170494558</v>
      </c>
      <c r="AF146" s="15">
        <f t="shared" si="66"/>
        <v>0.48170639171962965</v>
      </c>
      <c r="AG146" s="15">
        <f t="shared" si="70"/>
        <v>1.1511213219567875</v>
      </c>
      <c r="AH146" s="15">
        <f t="shared" si="71"/>
        <v>1.5140477684270857</v>
      </c>
      <c r="AI146" s="15">
        <f t="shared" si="72"/>
        <v>1.4064183622190587</v>
      </c>
      <c r="AJ146" s="16">
        <f t="shared" si="73"/>
        <v>1.9067178327607868</v>
      </c>
      <c r="AK146" s="32">
        <f t="shared" si="74"/>
        <v>1.8625633166801636</v>
      </c>
      <c r="AL146" s="15">
        <f t="shared" si="75"/>
        <v>0.41898389184308527</v>
      </c>
      <c r="AM146" s="15">
        <f t="shared" si="76"/>
        <v>0.70028728455117506</v>
      </c>
      <c r="AN146" s="16">
        <f t="shared" si="77"/>
        <v>0.2054706562219083</v>
      </c>
    </row>
    <row r="147" spans="1:40" x14ac:dyDescent="0.45">
      <c r="A147" s="19">
        <v>135</v>
      </c>
      <c r="B147" s="57" t="s">
        <v>69</v>
      </c>
      <c r="C147" s="58" t="s">
        <v>229</v>
      </c>
      <c r="D147" s="59">
        <v>2709</v>
      </c>
      <c r="E147" s="60">
        <v>4.1859374999999996</v>
      </c>
      <c r="F147" s="61">
        <v>13.475</v>
      </c>
      <c r="G147" s="61">
        <v>301</v>
      </c>
      <c r="H147" s="61">
        <v>1226</v>
      </c>
      <c r="I147" s="61">
        <v>552.89130299999999</v>
      </c>
      <c r="J147" s="62">
        <v>39.797809999999998</v>
      </c>
      <c r="K147" s="28">
        <f t="shared" si="16"/>
        <v>58.653868699408022</v>
      </c>
      <c r="L147" s="69">
        <v>76.541206000000003</v>
      </c>
      <c r="M147" s="29">
        <f t="shared" si="67"/>
        <v>88.355699469743783</v>
      </c>
      <c r="N147" s="71">
        <v>76.749577000000002</v>
      </c>
      <c r="O147" s="35">
        <f t="shared" si="78"/>
        <v>0.53453409795328788</v>
      </c>
      <c r="P147" s="16">
        <f t="shared" si="68"/>
        <v>0.53485501095986399</v>
      </c>
      <c r="Q147" s="57" t="s">
        <v>69</v>
      </c>
      <c r="R147" s="58" t="s">
        <v>393</v>
      </c>
      <c r="S147" s="58">
        <v>2709</v>
      </c>
      <c r="T147" s="58">
        <f t="shared" si="79"/>
        <v>1</v>
      </c>
      <c r="U147" s="58"/>
      <c r="V147" s="73">
        <v>322</v>
      </c>
      <c r="W147" s="74">
        <v>0.49685921700000002</v>
      </c>
      <c r="X147" s="75">
        <v>1</v>
      </c>
      <c r="Y147" s="76">
        <v>6.6417000000000004E-2</v>
      </c>
      <c r="Z147" s="74">
        <v>0.49685921700000002</v>
      </c>
      <c r="AA147" s="73">
        <v>5125.6543069999998</v>
      </c>
      <c r="AB147" s="77">
        <v>6.6417000000000004E-2</v>
      </c>
      <c r="AC147" s="35">
        <f t="shared" si="80"/>
        <v>0.89089016325547987</v>
      </c>
      <c r="AD147" s="15">
        <f t="shared" si="69"/>
        <v>1.3094678295749433</v>
      </c>
      <c r="AE147" s="15">
        <f t="shared" si="65"/>
        <v>0.29513828052017849</v>
      </c>
      <c r="AF147" s="15">
        <f t="shared" si="66"/>
        <v>0.10984340774933181</v>
      </c>
      <c r="AG147" s="15">
        <f t="shared" si="70"/>
        <v>1.942815502110548</v>
      </c>
      <c r="AH147" s="15">
        <f t="shared" si="71"/>
        <v>1.7402405243942611</v>
      </c>
      <c r="AI147" s="15">
        <f t="shared" si="72"/>
        <v>0.30275710714559473</v>
      </c>
      <c r="AJ147" s="16">
        <f t="shared" si="73"/>
        <v>1.7496939999026031</v>
      </c>
      <c r="AK147" s="32">
        <f t="shared" si="74"/>
        <v>1.8441253395608588</v>
      </c>
      <c r="AL147" s="15">
        <f t="shared" si="75"/>
        <v>16.956102701331112</v>
      </c>
      <c r="AM147" s="15">
        <f t="shared" si="76"/>
        <v>0.11869723735722286</v>
      </c>
      <c r="AN147" s="16">
        <f t="shared" si="77"/>
        <v>0.23889511011571485</v>
      </c>
    </row>
    <row r="148" spans="1:40" x14ac:dyDescent="0.45">
      <c r="A148" s="19">
        <v>136</v>
      </c>
      <c r="B148" s="57" t="s">
        <v>69</v>
      </c>
      <c r="C148" s="58" t="s">
        <v>33</v>
      </c>
      <c r="D148" s="59">
        <v>2710</v>
      </c>
      <c r="E148" s="60">
        <v>4.8179687500000004</v>
      </c>
      <c r="F148" s="61">
        <v>12.625</v>
      </c>
      <c r="G148" s="61">
        <v>299</v>
      </c>
      <c r="H148" s="61">
        <v>1419</v>
      </c>
      <c r="I148" s="61">
        <v>811.56756900000005</v>
      </c>
      <c r="J148" s="62">
        <v>52.547722</v>
      </c>
      <c r="K148" s="28">
        <f t="shared" si="16"/>
        <v>60.556189929556986</v>
      </c>
      <c r="L148" s="69">
        <v>77.930205000000001</v>
      </c>
      <c r="M148" s="29">
        <f t="shared" si="67"/>
        <v>89.144373930937007</v>
      </c>
      <c r="N148" s="71">
        <v>76.769672</v>
      </c>
      <c r="O148" s="35">
        <f t="shared" si="78"/>
        <v>0.43479766362547467</v>
      </c>
      <c r="P148" s="16">
        <f t="shared" si="68"/>
        <v>0.43505869884478154</v>
      </c>
      <c r="Q148" s="57" t="s">
        <v>69</v>
      </c>
      <c r="R148" s="58" t="s">
        <v>394</v>
      </c>
      <c r="S148" s="58">
        <v>2710</v>
      </c>
      <c r="T148" s="58">
        <f t="shared" si="79"/>
        <v>1</v>
      </c>
      <c r="U148" s="58"/>
      <c r="V148" s="73">
        <v>361</v>
      </c>
      <c r="W148" s="74">
        <v>1.279105339</v>
      </c>
      <c r="X148" s="75">
        <v>1</v>
      </c>
      <c r="Y148" s="76">
        <v>8.2088999999999995E-2</v>
      </c>
      <c r="Z148" s="74">
        <v>1.279105339</v>
      </c>
      <c r="AA148" s="73">
        <v>4960.1082230000002</v>
      </c>
      <c r="AB148" s="77">
        <v>8.2088999999999995E-2</v>
      </c>
      <c r="AC148" s="35">
        <f t="shared" si="80"/>
        <v>0.72466277270912449</v>
      </c>
      <c r="AD148" s="15">
        <f t="shared" si="69"/>
        <v>1.3813441863444722</v>
      </c>
      <c r="AE148" s="15">
        <f t="shared" si="65"/>
        <v>0.58164219969962427</v>
      </c>
      <c r="AF148" s="15">
        <f t="shared" si="66"/>
        <v>0.20968626282474392</v>
      </c>
      <c r="AG148" s="15">
        <f t="shared" si="70"/>
        <v>1.3050016627250762</v>
      </c>
      <c r="AH148" s="15">
        <f t="shared" si="71"/>
        <v>1.5644121139013734</v>
      </c>
      <c r="AI148" s="15">
        <f t="shared" si="72"/>
        <v>0.5926162887740074</v>
      </c>
      <c r="AJ148" s="16">
        <f t="shared" si="73"/>
        <v>1.7860666212796223</v>
      </c>
      <c r="AK148" s="32">
        <f t="shared" si="74"/>
        <v>1.6104877610847774</v>
      </c>
      <c r="AL148" s="15">
        <f t="shared" si="75"/>
        <v>2.9447698327661769</v>
      </c>
      <c r="AM148" s="15">
        <f t="shared" si="76"/>
        <v>0.26548643326090482</v>
      </c>
      <c r="AN148" s="16">
        <f t="shared" si="77"/>
        <v>0.20755634830549699</v>
      </c>
    </row>
    <row r="149" spans="1:40" x14ac:dyDescent="0.45">
      <c r="A149" s="19">
        <v>137</v>
      </c>
      <c r="B149" s="57" t="s">
        <v>69</v>
      </c>
      <c r="C149" s="58" t="s">
        <v>230</v>
      </c>
      <c r="D149" s="59">
        <v>2711</v>
      </c>
      <c r="E149" s="60">
        <v>1.3396874999999999</v>
      </c>
      <c r="F149" s="61">
        <v>9.8249999999999993</v>
      </c>
      <c r="G149" s="61">
        <v>215</v>
      </c>
      <c r="H149" s="61">
        <v>594</v>
      </c>
      <c r="I149" s="61">
        <v>319.42488900000001</v>
      </c>
      <c r="J149" s="62">
        <v>30.64603</v>
      </c>
      <c r="K149" s="28">
        <f t="shared" si="16"/>
        <v>45.134748813109368</v>
      </c>
      <c r="L149" s="69">
        <v>65.422914000000006</v>
      </c>
      <c r="M149" s="29">
        <f t="shared" si="67"/>
        <v>81.482188927975983</v>
      </c>
      <c r="N149" s="71">
        <v>76.691765000000004</v>
      </c>
      <c r="O149" s="35">
        <f t="shared" si="78"/>
        <v>0.65393015641267793</v>
      </c>
      <c r="P149" s="16">
        <f t="shared" si="68"/>
        <v>0.65432275006271556</v>
      </c>
      <c r="Q149" s="57" t="s">
        <v>69</v>
      </c>
      <c r="R149" s="58" t="s">
        <v>395</v>
      </c>
      <c r="S149" s="58">
        <v>2711</v>
      </c>
      <c r="T149" s="58">
        <f t="shared" si="79"/>
        <v>1</v>
      </c>
      <c r="U149" s="58"/>
      <c r="V149" s="73">
        <v>255</v>
      </c>
      <c r="W149" s="74">
        <v>2.8515611459999999</v>
      </c>
      <c r="X149" s="75">
        <v>1</v>
      </c>
      <c r="Y149" s="76">
        <v>2.7703999999999999E-2</v>
      </c>
      <c r="Z149" s="74">
        <v>2.8515611459999999</v>
      </c>
      <c r="AA149" s="73">
        <v>3825.1970580000002</v>
      </c>
      <c r="AB149" s="77">
        <v>2.7703999999999999E-2</v>
      </c>
      <c r="AC149" s="35">
        <f t="shared" si="80"/>
        <v>1.08988359402113</v>
      </c>
      <c r="AD149" s="15">
        <f t="shared" si="69"/>
        <v>0.84932698783847038</v>
      </c>
      <c r="AE149" s="15">
        <f t="shared" si="65"/>
        <v>1.3149251352056466</v>
      </c>
      <c r="AF149" s="15">
        <f t="shared" si="66"/>
        <v>0.59059075869323596</v>
      </c>
      <c r="AG149" s="15">
        <f t="shared" si="70"/>
        <v>1.2525786489934045</v>
      </c>
      <c r="AH149" s="15">
        <f t="shared" si="71"/>
        <v>1.3094137745881105</v>
      </c>
      <c r="AI149" s="15">
        <f t="shared" si="72"/>
        <v>1.7387300369259191</v>
      </c>
      <c r="AJ149" s="16">
        <f t="shared" si="73"/>
        <v>1.1538358825342148</v>
      </c>
      <c r="AK149" s="32">
        <f t="shared" si="74"/>
        <v>2.3767791980310546</v>
      </c>
      <c r="AL149" s="15">
        <f t="shared" si="75"/>
        <v>0.16475481962398786</v>
      </c>
      <c r="AM149" s="15">
        <f t="shared" si="76"/>
        <v>2.1285270975507347</v>
      </c>
      <c r="AN149" s="16">
        <f t="shared" si="77"/>
        <v>0.74644273384651272</v>
      </c>
    </row>
    <row r="150" spans="1:40" x14ac:dyDescent="0.45">
      <c r="A150" s="19">
        <v>138</v>
      </c>
      <c r="B150" s="57" t="s">
        <v>69</v>
      </c>
      <c r="C150" s="58" t="s">
        <v>34</v>
      </c>
      <c r="D150" s="59">
        <v>2712</v>
      </c>
      <c r="E150" s="60">
        <v>11.559843750000001</v>
      </c>
      <c r="F150" s="61">
        <v>21.7</v>
      </c>
      <c r="G150" s="61">
        <v>216</v>
      </c>
      <c r="H150" s="61">
        <v>1482</v>
      </c>
      <c r="I150" s="61">
        <v>580.49224800000002</v>
      </c>
      <c r="J150" s="62">
        <v>42.085915</v>
      </c>
      <c r="K150" s="28">
        <f t="shared" si="16"/>
        <v>55.830610897084995</v>
      </c>
      <c r="L150" s="69">
        <v>74.406396000000001</v>
      </c>
      <c r="M150" s="29">
        <f t="shared" si="67"/>
        <v>87.115047804982169</v>
      </c>
      <c r="N150" s="71">
        <v>76.713818000000003</v>
      </c>
      <c r="O150" s="35">
        <f t="shared" si="78"/>
        <v>1.0059589658971084</v>
      </c>
      <c r="P150" s="16">
        <f t="shared" si="68"/>
        <v>1.006562903639292</v>
      </c>
      <c r="Q150" s="57" t="s">
        <v>69</v>
      </c>
      <c r="R150" s="58" t="s">
        <v>396</v>
      </c>
      <c r="S150" s="58">
        <v>2712</v>
      </c>
      <c r="T150" s="58">
        <f t="shared" si="79"/>
        <v>1</v>
      </c>
      <c r="U150" s="58"/>
      <c r="V150" s="73">
        <v>266</v>
      </c>
      <c r="W150" s="74">
        <v>6.2547781370000006</v>
      </c>
      <c r="X150" s="75">
        <v>1</v>
      </c>
      <c r="Y150" s="76">
        <v>3.1175999999999999E-2</v>
      </c>
      <c r="Z150" s="74">
        <v>6.2547781370000006</v>
      </c>
      <c r="AA150" s="61">
        <v>10830.755768999999</v>
      </c>
      <c r="AB150" s="77">
        <v>3.1175999999999999E-2</v>
      </c>
      <c r="AC150" s="35">
        <f>(0.0526*(AA150/0.3048)^0.8*((1000/L150)-9)^0.7*J150^-0.5)/60</f>
        <v>1.6765982764951808</v>
      </c>
      <c r="AD150" s="15">
        <f xml:space="preserve"> 0.76 * (E150 ) ^ 0.38</f>
        <v>1.9263506268433273</v>
      </c>
      <c r="AE150" s="15">
        <f t="shared" si="65"/>
        <v>2.3356966146797347</v>
      </c>
      <c r="AF150" s="15">
        <f t="shared" si="66"/>
        <v>1.0332707848113272</v>
      </c>
      <c r="AG150" s="15">
        <f t="shared" si="70"/>
        <v>2.0570865795059423</v>
      </c>
      <c r="AH150" s="15">
        <f t="shared" si="71"/>
        <v>2.3639656082575899</v>
      </c>
      <c r="AI150" s="15">
        <f t="shared" si="72"/>
        <v>3.1085791889016461</v>
      </c>
      <c r="AJ150" s="16">
        <f t="shared" si="73"/>
        <v>3.9990568237014457</v>
      </c>
      <c r="AK150" s="32">
        <f t="shared" si="74"/>
        <v>1.787070900984941</v>
      </c>
      <c r="AL150" s="15">
        <f t="shared" si="75"/>
        <v>0.29548003719128729</v>
      </c>
      <c r="AM150" s="15">
        <f t="shared" si="76"/>
        <v>0.54107808654420608</v>
      </c>
      <c r="AN150" s="16">
        <f t="shared" si="77"/>
        <v>8.6506359569090197E-2</v>
      </c>
    </row>
    <row r="151" spans="1:40" x14ac:dyDescent="0.45">
      <c r="A151" s="19">
        <v>139</v>
      </c>
      <c r="B151" s="57" t="s">
        <v>69</v>
      </c>
      <c r="C151" s="58" t="s">
        <v>35</v>
      </c>
      <c r="D151" s="59">
        <v>2713</v>
      </c>
      <c r="E151" s="60">
        <v>0.27156249999999998</v>
      </c>
      <c r="F151" s="61">
        <v>3.95</v>
      </c>
      <c r="G151" s="61">
        <v>208</v>
      </c>
      <c r="H151" s="61">
        <v>245</v>
      </c>
      <c r="I151" s="61">
        <v>227.42922899999999</v>
      </c>
      <c r="J151" s="62">
        <v>8.4432340000000003</v>
      </c>
      <c r="K151" s="28">
        <f t="shared" si="16"/>
        <v>24.011878872398409</v>
      </c>
      <c r="L151" s="69">
        <v>42.089041000000002</v>
      </c>
      <c r="M151" s="29">
        <f t="shared" si="67"/>
        <v>62.828135052513744</v>
      </c>
      <c r="N151" s="71">
        <v>76.604721999999995</v>
      </c>
      <c r="O151" s="35">
        <f t="shared" si="78"/>
        <v>1.045725955606724</v>
      </c>
      <c r="P151" s="16">
        <f t="shared" si="68"/>
        <v>1.0463537678674446</v>
      </c>
      <c r="Q151" s="57" t="s">
        <v>69</v>
      </c>
      <c r="R151" s="58" t="s">
        <v>397</v>
      </c>
      <c r="S151" s="58">
        <v>2713</v>
      </c>
      <c r="T151" s="58">
        <f t="shared" si="79"/>
        <v>1</v>
      </c>
      <c r="U151" s="58"/>
      <c r="V151" s="73">
        <v>217</v>
      </c>
      <c r="W151" s="74">
        <v>0.292309704</v>
      </c>
      <c r="X151" s="75">
        <v>1</v>
      </c>
      <c r="Y151" s="76">
        <v>2.0525999999999999E-2</v>
      </c>
      <c r="Z151" s="74">
        <v>0.292309704</v>
      </c>
      <c r="AA151" s="61">
        <v>1456.1106589999999</v>
      </c>
      <c r="AB151" s="77">
        <v>2.0525999999999999E-2</v>
      </c>
      <c r="AC151" s="35">
        <f t="shared" si="80"/>
        <v>1.7428765926778735</v>
      </c>
      <c r="AD151" s="15">
        <f t="shared" si="69"/>
        <v>0.46310995381867087</v>
      </c>
      <c r="AE151" s="15">
        <f t="shared" si="65"/>
        <v>0.24650418124620918</v>
      </c>
      <c r="AF151" s="15">
        <f t="shared" si="66"/>
        <v>0.11473976488478531</v>
      </c>
      <c r="AG151" s="15">
        <f t="shared" si="70"/>
        <v>1.2873927479173701</v>
      </c>
      <c r="AH151" s="15">
        <f t="shared" si="71"/>
        <v>1.0581433400054496</v>
      </c>
      <c r="AI151" s="15">
        <f t="shared" si="72"/>
        <v>0.31708992987512663</v>
      </c>
      <c r="AJ151" s="16">
        <f t="shared" si="73"/>
        <v>0.48947595803927352</v>
      </c>
      <c r="AK151" s="32">
        <f t="shared" si="74"/>
        <v>2.1223657469051758</v>
      </c>
      <c r="AL151" s="15">
        <f t="shared" si="75"/>
        <v>3.1782154301234677</v>
      </c>
      <c r="AM151" s="15">
        <f t="shared" si="76"/>
        <v>1.076399370310702</v>
      </c>
      <c r="AN151" s="16">
        <f t="shared" si="77"/>
        <v>3.6823935558112777</v>
      </c>
    </row>
    <row r="152" spans="1:40" x14ac:dyDescent="0.45">
      <c r="A152" s="19">
        <v>140</v>
      </c>
      <c r="B152" s="57" t="s">
        <v>69</v>
      </c>
      <c r="C152" s="58" t="s">
        <v>36</v>
      </c>
      <c r="D152" s="59">
        <v>2714</v>
      </c>
      <c r="E152" s="60">
        <v>19.750937499999999</v>
      </c>
      <c r="F152" s="61">
        <v>25.3</v>
      </c>
      <c r="G152" s="61">
        <v>877</v>
      </c>
      <c r="H152" s="61">
        <v>2872</v>
      </c>
      <c r="I152" s="61">
        <v>1843.0452909999999</v>
      </c>
      <c r="J152" s="62">
        <v>64.814971999999997</v>
      </c>
      <c r="K152" s="28">
        <f t="shared" si="16"/>
        <v>60.32788632119032</v>
      </c>
      <c r="L152" s="69">
        <v>77.765540000000001</v>
      </c>
      <c r="M152" s="29">
        <f t="shared" si="67"/>
        <v>89.051624227937282</v>
      </c>
      <c r="N152" s="71">
        <v>76.280776000000003</v>
      </c>
      <c r="O152" s="35">
        <f t="shared" si="78"/>
        <v>0.67373927916117671</v>
      </c>
      <c r="P152" s="16">
        <f t="shared" si="68"/>
        <v>0.67414376542042875</v>
      </c>
      <c r="Q152" s="57" t="s">
        <v>69</v>
      </c>
      <c r="R152" s="58" t="s">
        <v>398</v>
      </c>
      <c r="S152" s="58">
        <v>2714</v>
      </c>
      <c r="T152" s="58">
        <f t="shared" si="79"/>
        <v>1</v>
      </c>
      <c r="U152" s="58"/>
      <c r="V152" s="73">
        <v>1215</v>
      </c>
      <c r="W152" s="74">
        <v>6.9519106199999996</v>
      </c>
      <c r="X152" s="75">
        <v>1</v>
      </c>
      <c r="Y152" s="76">
        <v>0.13550200000000001</v>
      </c>
      <c r="Z152" s="74">
        <v>6.9519106199999996</v>
      </c>
      <c r="AA152" s="61">
        <v>9716.5683570000001</v>
      </c>
      <c r="AB152" s="77">
        <v>0.13550200000000001</v>
      </c>
      <c r="AC152" s="35">
        <f t="shared" si="80"/>
        <v>1.1228987986019612</v>
      </c>
      <c r="AD152" s="15">
        <f t="shared" si="69"/>
        <v>2.3612225594194807</v>
      </c>
      <c r="AE152" s="15">
        <f t="shared" si="65"/>
        <v>1.9144796190120716</v>
      </c>
      <c r="AF152" s="15">
        <f t="shared" si="66"/>
        <v>0.63660926207336055</v>
      </c>
      <c r="AG152" s="15">
        <f t="shared" si="70"/>
        <v>1.14861811589243</v>
      </c>
      <c r="AH152" s="15">
        <f t="shared" si="71"/>
        <v>1.8188034712001437</v>
      </c>
      <c r="AI152" s="15">
        <f t="shared" si="72"/>
        <v>1.8847548698379681</v>
      </c>
      <c r="AJ152" s="16">
        <f t="shared" si="73"/>
        <v>3.5539099572005211</v>
      </c>
      <c r="AK152" s="32">
        <f t="shared" si="74"/>
        <v>1.593986706517964</v>
      </c>
      <c r="AL152" s="15">
        <f t="shared" si="75"/>
        <v>0.40867620809523275</v>
      </c>
      <c r="AM152" s="15">
        <f t="shared" si="76"/>
        <v>0.35197876657753585</v>
      </c>
      <c r="AN152" s="16">
        <f t="shared" si="77"/>
        <v>5.0630508045504174E-2</v>
      </c>
    </row>
    <row r="153" spans="1:40" x14ac:dyDescent="0.45">
      <c r="A153" s="19">
        <v>141</v>
      </c>
      <c r="B153" s="57" t="s">
        <v>69</v>
      </c>
      <c r="C153" s="58" t="s">
        <v>37</v>
      </c>
      <c r="D153" s="59">
        <v>2715</v>
      </c>
      <c r="E153" s="60">
        <v>9.1348437499999999</v>
      </c>
      <c r="F153" s="61">
        <v>21.375</v>
      </c>
      <c r="G153" s="61">
        <v>851</v>
      </c>
      <c r="H153" s="61">
        <v>2871</v>
      </c>
      <c r="I153" s="61">
        <v>1755.606076</v>
      </c>
      <c r="J153" s="62">
        <v>57.222251999999997</v>
      </c>
      <c r="K153" s="28">
        <f t="shared" si="16"/>
        <v>58.865944797038509</v>
      </c>
      <c r="L153" s="69">
        <v>76.697982999999994</v>
      </c>
      <c r="M153" s="29">
        <f t="shared" si="67"/>
        <v>88.445438540991432</v>
      </c>
      <c r="N153" s="71">
        <v>76.194621999999995</v>
      </c>
      <c r="O153" s="35">
        <f t="shared" si="78"/>
        <v>0.67746086874470546</v>
      </c>
      <c r="P153" s="16">
        <f t="shared" si="68"/>
        <v>0.6778675892982845</v>
      </c>
      <c r="Q153" s="57" t="s">
        <v>69</v>
      </c>
      <c r="R153" s="58" t="s">
        <v>399</v>
      </c>
      <c r="S153" s="58">
        <v>2715</v>
      </c>
      <c r="T153" s="58">
        <f t="shared" si="79"/>
        <v>1</v>
      </c>
      <c r="U153" s="58"/>
      <c r="V153" s="73">
        <v>1267</v>
      </c>
      <c r="W153" s="74">
        <v>4.6106286049999996</v>
      </c>
      <c r="X153" s="75">
        <v>1</v>
      </c>
      <c r="Y153" s="76">
        <v>0.144015</v>
      </c>
      <c r="Z153" s="74">
        <v>4.6106286049999996</v>
      </c>
      <c r="AA153" s="61">
        <v>8698.7382710000002</v>
      </c>
      <c r="AB153" s="77">
        <v>0.144015</v>
      </c>
      <c r="AC153" s="35">
        <f t="shared" si="80"/>
        <v>1.1291014479078425</v>
      </c>
      <c r="AD153" s="15">
        <f t="shared" si="69"/>
        <v>1.761489339174541</v>
      </c>
      <c r="AE153" s="15">
        <f t="shared" si="65"/>
        <v>1.3851011598571652</v>
      </c>
      <c r="AF153" s="15">
        <f t="shared" si="66"/>
        <v>0.45327332694330813</v>
      </c>
      <c r="AG153" s="15">
        <f t="shared" si="70"/>
        <v>0.92188117598869423</v>
      </c>
      <c r="AH153" s="15">
        <f t="shared" si="71"/>
        <v>1.4467539380021721</v>
      </c>
      <c r="AI153" s="15">
        <f t="shared" si="72"/>
        <v>1.3250742822311776</v>
      </c>
      <c r="AJ153" s="16">
        <f t="shared" si="73"/>
        <v>2.2093915136249405</v>
      </c>
      <c r="AK153" s="32">
        <f t="shared" si="74"/>
        <v>1.9802206867293344</v>
      </c>
      <c r="AL153" s="15">
        <f t="shared" si="75"/>
        <v>0.42971532520165251</v>
      </c>
      <c r="AM153" s="15">
        <f t="shared" si="76"/>
        <v>0.50472988166874777</v>
      </c>
      <c r="AN153" s="16">
        <f t="shared" si="77"/>
        <v>0.1094709474368404</v>
      </c>
    </row>
    <row r="154" spans="1:40" x14ac:dyDescent="0.45">
      <c r="A154" s="19">
        <v>142</v>
      </c>
      <c r="B154" s="57" t="s">
        <v>69</v>
      </c>
      <c r="C154" s="58" t="s">
        <v>38</v>
      </c>
      <c r="D154" s="59">
        <v>2716</v>
      </c>
      <c r="E154" s="60">
        <v>0.75124999999999997</v>
      </c>
      <c r="F154" s="61">
        <v>6.2</v>
      </c>
      <c r="G154" s="61">
        <v>189</v>
      </c>
      <c r="H154" s="61">
        <v>269</v>
      </c>
      <c r="I154" s="61">
        <v>214.38706300000001</v>
      </c>
      <c r="J154" s="62">
        <v>8.8301320000000008</v>
      </c>
      <c r="K154" s="28">
        <f t="shared" si="16"/>
        <v>30.144861757252542</v>
      </c>
      <c r="L154" s="69">
        <v>49.8125</v>
      </c>
      <c r="M154" s="29">
        <f t="shared" si="67"/>
        <v>69.772124416741804</v>
      </c>
      <c r="N154" s="71">
        <v>76.591643000000005</v>
      </c>
      <c r="O154" s="35">
        <f t="shared" si="78"/>
        <v>1.0656047249378202</v>
      </c>
      <c r="P154" s="16">
        <f t="shared" si="68"/>
        <v>1.0662444716207928</v>
      </c>
      <c r="Q154" s="57" t="s">
        <v>69</v>
      </c>
      <c r="R154" s="58" t="s">
        <v>400</v>
      </c>
      <c r="S154" s="58">
        <v>2716</v>
      </c>
      <c r="T154" s="58">
        <f t="shared" si="79"/>
        <v>1</v>
      </c>
      <c r="U154" s="58"/>
      <c r="V154" s="73">
        <v>205</v>
      </c>
      <c r="W154" s="74">
        <v>1.486243687</v>
      </c>
      <c r="X154" s="75">
        <v>1</v>
      </c>
      <c r="Y154" s="76">
        <v>1.2784E-2</v>
      </c>
      <c r="Z154" s="74">
        <v>1.486243687</v>
      </c>
      <c r="AA154" s="61">
        <v>1971.0470769999999</v>
      </c>
      <c r="AB154" s="77">
        <v>1.2784E-2</v>
      </c>
      <c r="AC154" s="35">
        <f t="shared" si="80"/>
        <v>1.776007874896367</v>
      </c>
      <c r="AD154" s="15">
        <f t="shared" si="69"/>
        <v>0.68172888664141451</v>
      </c>
      <c r="AE154" s="15">
        <f t="shared" si="65"/>
        <v>0.92820304191446179</v>
      </c>
      <c r="AF154" s="15">
        <f t="shared" si="66"/>
        <v>0.48160883498292384</v>
      </c>
      <c r="AG154" s="15">
        <f t="shared" si="70"/>
        <v>1.6334203336524256</v>
      </c>
      <c r="AH154" s="15">
        <f t="shared" si="71"/>
        <v>1.4454463520156648</v>
      </c>
      <c r="AI154" s="15">
        <f t="shared" si="72"/>
        <v>1.4075764246854567</v>
      </c>
      <c r="AJ154" s="16">
        <f t="shared" si="73"/>
        <v>1.0298128620330427</v>
      </c>
      <c r="AK154" s="32">
        <f t="shared" si="74"/>
        <v>2.0028917530351062</v>
      </c>
      <c r="AL154" s="15">
        <f t="shared" si="75"/>
        <v>0.34009828284441951</v>
      </c>
      <c r="AM154" s="15">
        <f t="shared" si="76"/>
        <v>1.9783609810316141</v>
      </c>
      <c r="AN154" s="16">
        <f t="shared" si="77"/>
        <v>1.3311148086522464</v>
      </c>
    </row>
    <row r="155" spans="1:40" x14ac:dyDescent="0.45">
      <c r="A155" s="19">
        <v>143</v>
      </c>
      <c r="B155" s="57" t="s">
        <v>69</v>
      </c>
      <c r="C155" s="58" t="s">
        <v>39</v>
      </c>
      <c r="D155" s="59">
        <v>2717</v>
      </c>
      <c r="E155" s="60">
        <v>14.182812500000001</v>
      </c>
      <c r="F155" s="61">
        <v>33.424999999999997</v>
      </c>
      <c r="G155" s="61">
        <v>189</v>
      </c>
      <c r="H155" s="61">
        <v>2000</v>
      </c>
      <c r="I155" s="61">
        <v>700.15665999999999</v>
      </c>
      <c r="J155" s="62">
        <v>40.379241999999998</v>
      </c>
      <c r="K155" s="28">
        <f t="shared" si="16"/>
        <v>43.207969240387136</v>
      </c>
      <c r="L155" s="69">
        <v>63.634565000000002</v>
      </c>
      <c r="M155" s="29">
        <f t="shared" si="67"/>
        <v>80.273998607804586</v>
      </c>
      <c r="N155" s="71">
        <v>76.606733000000006</v>
      </c>
      <c r="O155" s="35">
        <f t="shared" si="78"/>
        <v>1.759923024258933</v>
      </c>
      <c r="P155" s="16">
        <f t="shared" si="68"/>
        <v>1.7609796120261487</v>
      </c>
      <c r="Q155" s="57" t="s">
        <v>69</v>
      </c>
      <c r="R155" s="58" t="s">
        <v>401</v>
      </c>
      <c r="S155" s="58">
        <v>2717</v>
      </c>
      <c r="T155" s="58">
        <f t="shared" si="79"/>
        <v>1</v>
      </c>
      <c r="U155" s="58"/>
      <c r="V155" s="73">
        <v>321</v>
      </c>
      <c r="W155" s="74">
        <v>10.865653858</v>
      </c>
      <c r="X155" s="75">
        <v>1</v>
      </c>
      <c r="Y155" s="76">
        <v>5.2734999999999997E-2</v>
      </c>
      <c r="Z155" s="74">
        <v>10.865653858</v>
      </c>
      <c r="AA155" s="61">
        <v>14785.933438</v>
      </c>
      <c r="AB155" s="77">
        <v>5.2734999999999997E-2</v>
      </c>
      <c r="AC155" s="35">
        <f t="shared" si="80"/>
        <v>2.9332050404315551</v>
      </c>
      <c r="AD155" s="15">
        <f t="shared" si="69"/>
        <v>2.0820122940197097</v>
      </c>
      <c r="AE155" s="15">
        <f t="shared" si="65"/>
        <v>3.2160656994944397</v>
      </c>
      <c r="AF155" s="15">
        <f t="shared" si="66"/>
        <v>1.2912393479458482</v>
      </c>
      <c r="AG155" s="15">
        <f t="shared" si="70"/>
        <v>1.6376190982616745</v>
      </c>
      <c r="AH155" s="15">
        <f t="shared" si="71"/>
        <v>2.057210497155594</v>
      </c>
      <c r="AI155" s="15">
        <f t="shared" si="72"/>
        <v>3.9212903928112781</v>
      </c>
      <c r="AJ155" s="16">
        <f t="shared" si="73"/>
        <v>3.8631142161276699</v>
      </c>
      <c r="AK155" s="32">
        <f t="shared" si="74"/>
        <v>2.4851251615189676</v>
      </c>
      <c r="AL155" s="15">
        <f t="shared" si="75"/>
        <v>0.12012976565099842</v>
      </c>
      <c r="AM155" s="15">
        <f t="shared" si="76"/>
        <v>0.76611418630825157</v>
      </c>
      <c r="AN155" s="16">
        <f t="shared" si="77"/>
        <v>7.0507877051889392E-2</v>
      </c>
    </row>
    <row r="156" spans="1:40" x14ac:dyDescent="0.45">
      <c r="A156" s="19">
        <v>144</v>
      </c>
      <c r="B156" s="57" t="s">
        <v>69</v>
      </c>
      <c r="C156" s="58" t="s">
        <v>231</v>
      </c>
      <c r="D156" s="59">
        <v>2719</v>
      </c>
      <c r="E156" s="60">
        <v>2.993125</v>
      </c>
      <c r="F156" s="61">
        <v>14.875</v>
      </c>
      <c r="G156" s="61">
        <v>43</v>
      </c>
      <c r="H156" s="61">
        <v>65</v>
      </c>
      <c r="I156" s="61">
        <v>52.514198999999998</v>
      </c>
      <c r="J156" s="62">
        <v>6.6939979999999997</v>
      </c>
      <c r="K156" s="28">
        <f t="shared" si="16"/>
        <v>43.966537257150193</v>
      </c>
      <c r="L156" s="69">
        <v>64.345437000000004</v>
      </c>
      <c r="M156" s="29">
        <f t="shared" si="67"/>
        <v>80.757958373000747</v>
      </c>
      <c r="N156" s="71">
        <v>83.974301999999994</v>
      </c>
      <c r="O156" s="35">
        <f t="shared" si="78"/>
        <v>2.0585175090860801</v>
      </c>
      <c r="P156" s="16">
        <f t="shared" si="68"/>
        <v>2.0597533611027417</v>
      </c>
      <c r="Q156" s="57" t="s">
        <v>69</v>
      </c>
      <c r="R156" s="58" t="s">
        <v>402</v>
      </c>
      <c r="S156" s="58">
        <v>2719</v>
      </c>
      <c r="T156" s="58">
        <f t="shared" si="79"/>
        <v>1</v>
      </c>
      <c r="U156" s="58"/>
      <c r="V156" s="73">
        <v>64</v>
      </c>
      <c r="W156" s="74">
        <v>4.947361108</v>
      </c>
      <c r="X156" s="75">
        <v>1</v>
      </c>
      <c r="Y156" s="76">
        <v>6.0599999999999998E-4</v>
      </c>
      <c r="Z156" s="74">
        <v>4.947361108</v>
      </c>
      <c r="AA156" s="61">
        <v>5985.2737150000003</v>
      </c>
      <c r="AB156" s="77">
        <v>6.0599999999999998E-4</v>
      </c>
      <c r="AC156" s="35">
        <f t="shared" si="80"/>
        <v>3.4308625151434669</v>
      </c>
      <c r="AD156" s="15">
        <f t="shared" si="69"/>
        <v>1.1527656765811225</v>
      </c>
      <c r="AE156" s="15">
        <f t="shared" si="65"/>
        <v>4.1321435482776723</v>
      </c>
      <c r="AF156" s="15">
        <f t="shared" si="66"/>
        <v>3.9324893123261218</v>
      </c>
      <c r="AG156" s="15">
        <f t="shared" si="70"/>
        <v>10.352492768690006</v>
      </c>
      <c r="AH156" s="15">
        <f t="shared" si="71"/>
        <v>4.8864073989033372</v>
      </c>
      <c r="AI156" s="15">
        <f t="shared" si="72"/>
        <v>11.912255538984622</v>
      </c>
      <c r="AJ156" s="16">
        <f t="shared" si="73"/>
        <v>5.7727627960847814</v>
      </c>
      <c r="AK156" s="32">
        <f t="shared" si="74"/>
        <v>2.4074239600035132</v>
      </c>
      <c r="AL156" s="15">
        <f t="shared" si="75"/>
        <v>0.12228625162816843</v>
      </c>
      <c r="AM156" s="15">
        <f t="shared" si="76"/>
        <v>1.6529082841511797</v>
      </c>
      <c r="AN156" s="16">
        <f t="shared" si="77"/>
        <v>0.3340989768218835</v>
      </c>
    </row>
    <row r="157" spans="1:40" x14ac:dyDescent="0.45">
      <c r="A157" s="19">
        <v>145</v>
      </c>
      <c r="B157" s="57" t="s">
        <v>69</v>
      </c>
      <c r="C157" s="58" t="s">
        <v>40</v>
      </c>
      <c r="D157" s="59">
        <v>2720</v>
      </c>
      <c r="E157" s="60">
        <v>4.06640625</v>
      </c>
      <c r="F157" s="61">
        <v>17.524999999999999</v>
      </c>
      <c r="G157" s="61">
        <v>23</v>
      </c>
      <c r="H157" s="61">
        <v>70</v>
      </c>
      <c r="I157" s="61">
        <v>54.206339999999997</v>
      </c>
      <c r="J157" s="62">
        <v>7.2080250000000001</v>
      </c>
      <c r="K157" s="28">
        <f t="shared" si="16"/>
        <v>42.363062911125326</v>
      </c>
      <c r="L157" s="69">
        <v>62.832140000000003</v>
      </c>
      <c r="M157" s="29">
        <f t="shared" si="67"/>
        <v>79.721730974071036</v>
      </c>
      <c r="N157" s="71">
        <v>83.371071000000001</v>
      </c>
      <c r="O157" s="35">
        <f t="shared" si="78"/>
        <v>1.5638269256342616</v>
      </c>
      <c r="P157" s="16">
        <f t="shared" si="68"/>
        <v>1.5647657851053249</v>
      </c>
      <c r="Q157" s="57" t="s">
        <v>69</v>
      </c>
      <c r="R157" s="58" t="s">
        <v>403</v>
      </c>
      <c r="S157" s="58">
        <v>2720</v>
      </c>
      <c r="T157" s="58">
        <f t="shared" si="79"/>
        <v>1</v>
      </c>
      <c r="U157" s="58"/>
      <c r="V157" s="73">
        <v>59</v>
      </c>
      <c r="W157" s="74">
        <v>3.8955844120000003</v>
      </c>
      <c r="X157" s="75">
        <v>1</v>
      </c>
      <c r="Y157" s="76">
        <v>2.5700000000000001E-4</v>
      </c>
      <c r="Z157" s="74">
        <v>3.8955844120000003</v>
      </c>
      <c r="AA157" s="61">
        <v>4234.6009169999998</v>
      </c>
      <c r="AB157" s="77">
        <v>2.5700000000000001E-4</v>
      </c>
      <c r="AC157" s="35">
        <f t="shared" si="80"/>
        <v>2.606378209390436</v>
      </c>
      <c r="AD157" s="15">
        <f t="shared" si="69"/>
        <v>1.2951309522526533</v>
      </c>
      <c r="AE157" s="15">
        <f t="shared" si="65"/>
        <v>4.0557310904744952</v>
      </c>
      <c r="AF157" s="15">
        <f t="shared" si="66"/>
        <v>4.5516461846676135</v>
      </c>
      <c r="AG157" s="15">
        <f t="shared" si="70"/>
        <v>17.375544521976309</v>
      </c>
      <c r="AH157" s="15">
        <f t="shared" si="71"/>
        <v>7.0834355064432648</v>
      </c>
      <c r="AI157" s="15">
        <f t="shared" si="72"/>
        <v>13.916644057602056</v>
      </c>
      <c r="AJ157" s="16">
        <f t="shared" si="73"/>
        <v>8.9281528984985865</v>
      </c>
      <c r="AK157" s="32">
        <f t="shared" si="74"/>
        <v>2.4333841553783682</v>
      </c>
      <c r="AL157" s="15">
        <f t="shared" si="75"/>
        <v>0.26795725828983491</v>
      </c>
      <c r="AM157" s="15">
        <f t="shared" si="76"/>
        <v>0.95799193993467824</v>
      </c>
      <c r="AN157" s="16">
        <f t="shared" si="77"/>
        <v>0.24591738712776176</v>
      </c>
    </row>
    <row r="158" spans="1:40" x14ac:dyDescent="0.45">
      <c r="A158" s="19">
        <v>146</v>
      </c>
      <c r="B158" s="57" t="s">
        <v>69</v>
      </c>
      <c r="C158" s="58" t="s">
        <v>232</v>
      </c>
      <c r="D158" s="59">
        <v>2724</v>
      </c>
      <c r="E158" s="60">
        <v>2.2829687500000002</v>
      </c>
      <c r="F158" s="61">
        <v>15.75</v>
      </c>
      <c r="G158" s="61">
        <v>99</v>
      </c>
      <c r="H158" s="61">
        <v>159</v>
      </c>
      <c r="I158" s="61">
        <v>114.057833</v>
      </c>
      <c r="J158" s="62">
        <v>8.5253460000000008</v>
      </c>
      <c r="K158" s="28">
        <f t="shared" si="16"/>
        <v>48.817286223514273</v>
      </c>
      <c r="L158" s="69">
        <v>68.688400999999999</v>
      </c>
      <c r="M158" s="29">
        <f t="shared" si="67"/>
        <v>83.610960308807492</v>
      </c>
      <c r="N158" s="71">
        <v>77.478795000000005</v>
      </c>
      <c r="O158" s="35">
        <f t="shared" si="78"/>
        <v>1.513685440764605</v>
      </c>
      <c r="P158" s="16">
        <f t="shared" si="68"/>
        <v>1.5145941972829751</v>
      </c>
      <c r="Q158" s="57" t="s">
        <v>69</v>
      </c>
      <c r="R158" s="58" t="s">
        <v>404</v>
      </c>
      <c r="S158" s="58">
        <v>2724</v>
      </c>
      <c r="T158" s="58">
        <f t="shared" si="79"/>
        <v>1</v>
      </c>
      <c r="U158" s="58"/>
      <c r="V158" s="73">
        <v>101</v>
      </c>
      <c r="W158" s="74">
        <v>1.4217514419999999</v>
      </c>
      <c r="X158" s="75">
        <v>1</v>
      </c>
      <c r="Y158" s="76">
        <v>4.2199999999999998E-3</v>
      </c>
      <c r="Z158" s="74">
        <v>1.4217514419999999</v>
      </c>
      <c r="AA158" s="61">
        <v>5466.1873159999996</v>
      </c>
      <c r="AB158" s="77">
        <v>4.2199999999999998E-3</v>
      </c>
      <c r="AC158" s="35">
        <f t="shared" si="80"/>
        <v>2.5228090679410085</v>
      </c>
      <c r="AD158" s="15">
        <f t="shared" si="69"/>
        <v>1.0400245227488418</v>
      </c>
      <c r="AE158" s="15">
        <f t="shared" si="65"/>
        <v>1.107791131027057</v>
      </c>
      <c r="AF158" s="15">
        <f t="shared" si="66"/>
        <v>0.71314980703943454</v>
      </c>
      <c r="AG158" s="15">
        <f t="shared" si="70"/>
        <v>4.172294025198104</v>
      </c>
      <c r="AH158" s="15">
        <f t="shared" si="71"/>
        <v>2.8729418011535164</v>
      </c>
      <c r="AI158" s="15">
        <f t="shared" si="72"/>
        <v>2.1042624063284441</v>
      </c>
      <c r="AJ158" s="16">
        <f t="shared" si="73"/>
        <v>2.7652229052012176</v>
      </c>
      <c r="AK158" s="32">
        <f t="shared" si="74"/>
        <v>2.9186942738934278</v>
      </c>
      <c r="AL158" s="15">
        <f t="shared" si="75"/>
        <v>1.1294125569346012</v>
      </c>
      <c r="AM158" s="15">
        <f t="shared" si="76"/>
        <v>0.62276430284032569</v>
      </c>
      <c r="AN158" s="16">
        <f t="shared" si="77"/>
        <v>0.43802614468551088</v>
      </c>
    </row>
    <row r="159" spans="1:40" x14ac:dyDescent="0.45">
      <c r="A159" s="19">
        <v>147</v>
      </c>
      <c r="B159" s="57" t="s">
        <v>69</v>
      </c>
      <c r="C159" s="58" t="s">
        <v>41</v>
      </c>
      <c r="D159" s="59">
        <v>2725</v>
      </c>
      <c r="E159" s="60">
        <v>6.2310937500000003</v>
      </c>
      <c r="F159" s="61">
        <v>20.5</v>
      </c>
      <c r="G159" s="61">
        <v>97</v>
      </c>
      <c r="H159" s="61">
        <v>173</v>
      </c>
      <c r="I159" s="61">
        <v>123.15464299999999</v>
      </c>
      <c r="J159" s="62">
        <v>8.366994</v>
      </c>
      <c r="K159" s="28">
        <f t="shared" ref="K159:K171" si="81">L159/(2.3-0.013*L159)</f>
        <v>37.981654288832772</v>
      </c>
      <c r="L159" s="69">
        <v>58.481762000000003</v>
      </c>
      <c r="M159" s="29">
        <f t="shared" ref="M159:M171" si="82">L159/(0.43+0.0057*L159)</f>
        <v>76.612386355626981</v>
      </c>
      <c r="N159" s="71">
        <v>76.477463</v>
      </c>
      <c r="O159" s="35">
        <f t="shared" si="78"/>
        <v>2.1952433172057892</v>
      </c>
      <c r="P159" s="16">
        <f t="shared" si="68"/>
        <v>2.1965612539581647</v>
      </c>
      <c r="Q159" s="57" t="s">
        <v>69</v>
      </c>
      <c r="R159" s="58" t="s">
        <v>405</v>
      </c>
      <c r="S159" s="58">
        <v>2725</v>
      </c>
      <c r="T159" s="58">
        <f t="shared" si="79"/>
        <v>1</v>
      </c>
      <c r="U159" s="58"/>
      <c r="V159" s="73">
        <v>117</v>
      </c>
      <c r="W159" s="74">
        <v>5.4295310219999999</v>
      </c>
      <c r="X159" s="75">
        <v>1</v>
      </c>
      <c r="Y159" s="76">
        <v>3.4989999999999999E-3</v>
      </c>
      <c r="Z159" s="74">
        <v>5.4295310219999999</v>
      </c>
      <c r="AA159" s="61">
        <v>6185.1212990000004</v>
      </c>
      <c r="AB159" s="77">
        <v>3.4989999999999999E-3</v>
      </c>
      <c r="AC159" s="35">
        <f t="shared" si="80"/>
        <v>3.658738862009649</v>
      </c>
      <c r="AD159" s="15">
        <f t="shared" si="69"/>
        <v>1.5231687493359889</v>
      </c>
      <c r="AE159" s="15">
        <f t="shared" ref="AE159:AE171" si="83" xml:space="preserve"> 0.3 * ( Z159/ ( AB159^0.25 ) ) ^ 0.76</f>
        <v>3.1782735083531679</v>
      </c>
      <c r="AF159" s="15">
        <f t="shared" ref="AF159:AF171" si="84">0.00013*(((Z159*1000)/0.3048)^0.77)/(AB159^0.385)</f>
        <v>2.1508018368480148</v>
      </c>
      <c r="AG159" s="15">
        <f t="shared" si="70"/>
        <v>5.1988110325156676</v>
      </c>
      <c r="AH159" s="15">
        <f t="shared" si="71"/>
        <v>3.6963959845325371</v>
      </c>
      <c r="AI159" s="15">
        <f t="shared" si="72"/>
        <v>6.6684193871125323</v>
      </c>
      <c r="AJ159" s="16">
        <f t="shared" si="73"/>
        <v>5.3020283964424655</v>
      </c>
      <c r="AK159" s="32">
        <f t="shared" si="74"/>
        <v>2.2994805986016975</v>
      </c>
      <c r="AL159" s="15">
        <f t="shared" si="75"/>
        <v>0.21136819942127502</v>
      </c>
      <c r="AM159" s="15">
        <f t="shared" si="76"/>
        <v>0.87136083003084319</v>
      </c>
      <c r="AN159" s="16">
        <f t="shared" si="77"/>
        <v>0.16048546854234058</v>
      </c>
    </row>
    <row r="160" spans="1:40" x14ac:dyDescent="0.45">
      <c r="A160" s="19">
        <v>148</v>
      </c>
      <c r="B160" s="57" t="s">
        <v>69</v>
      </c>
      <c r="C160" s="58" t="s">
        <v>42</v>
      </c>
      <c r="D160" s="59">
        <v>2729</v>
      </c>
      <c r="E160" s="60">
        <v>16.810468749999998</v>
      </c>
      <c r="F160" s="61">
        <v>36.25</v>
      </c>
      <c r="G160" s="61">
        <v>72</v>
      </c>
      <c r="H160" s="61">
        <v>140</v>
      </c>
      <c r="I160" s="61">
        <v>102.227267</v>
      </c>
      <c r="J160" s="62">
        <v>7.4799160000000002</v>
      </c>
      <c r="K160" s="28">
        <f t="shared" si="81"/>
        <v>29.271807755456784</v>
      </c>
      <c r="L160" s="69">
        <v>48.767493000000002</v>
      </c>
      <c r="M160" s="29">
        <f t="shared" si="82"/>
        <v>68.883100348473874</v>
      </c>
      <c r="N160" s="71">
        <v>79.315505000000002</v>
      </c>
      <c r="O160" s="35">
        <f t="shared" si="78"/>
        <v>5.1688190465844999</v>
      </c>
      <c r="P160" s="16">
        <f t="shared" si="68"/>
        <v>5.1719221999044427</v>
      </c>
      <c r="Q160" s="57" t="s">
        <v>69</v>
      </c>
      <c r="R160" s="58" t="s">
        <v>406</v>
      </c>
      <c r="S160" s="58">
        <v>2729</v>
      </c>
      <c r="T160" s="58">
        <f t="shared" si="79"/>
        <v>1</v>
      </c>
      <c r="U160" s="58"/>
      <c r="V160" s="73">
        <v>93</v>
      </c>
      <c r="W160" s="74">
        <v>11.510560056000001</v>
      </c>
      <c r="X160" s="75">
        <v>1</v>
      </c>
      <c r="Y160" s="76">
        <v>3.0409999999999999E-3</v>
      </c>
      <c r="Z160" s="74">
        <v>11.510560056000001</v>
      </c>
      <c r="AA160" s="61">
        <v>12371.328003000001</v>
      </c>
      <c r="AB160" s="77">
        <v>3.0409999999999999E-3</v>
      </c>
      <c r="AC160" s="35">
        <f t="shared" si="80"/>
        <v>8.6146984109741673</v>
      </c>
      <c r="AD160" s="15">
        <f t="shared" si="69"/>
        <v>2.2209251660632412</v>
      </c>
      <c r="AE160" s="15">
        <f t="shared" si="83"/>
        <v>5.7780519305996831</v>
      </c>
      <c r="AF160" s="15">
        <f t="shared" si="84"/>
        <v>4.0488788282567372</v>
      </c>
      <c r="AG160" s="15">
        <f t="shared" si="70"/>
        <v>7.112388106481137</v>
      </c>
      <c r="AH160" s="15">
        <f t="shared" si="71"/>
        <v>4.9453774487163473</v>
      </c>
      <c r="AI160" s="15">
        <f t="shared" si="72"/>
        <v>12.634233900843208</v>
      </c>
      <c r="AJ160" s="16">
        <f t="shared" si="73"/>
        <v>9.9563297968032867</v>
      </c>
      <c r="AK160" s="32">
        <f t="shared" si="74"/>
        <v>2.4755752403984426</v>
      </c>
      <c r="AL160" s="15">
        <f t="shared" si="75"/>
        <v>0.12687817215377242</v>
      </c>
      <c r="AM160" s="15">
        <f t="shared" si="76"/>
        <v>0.6847257043917947</v>
      </c>
      <c r="AN160" s="16">
        <f t="shared" si="77"/>
        <v>5.9486740963127518E-2</v>
      </c>
    </row>
    <row r="161" spans="1:40" x14ac:dyDescent="0.45">
      <c r="A161" s="19">
        <v>149</v>
      </c>
      <c r="B161" s="57" t="s">
        <v>69</v>
      </c>
      <c r="C161" s="58" t="s">
        <v>43</v>
      </c>
      <c r="D161" s="59">
        <v>2730</v>
      </c>
      <c r="E161" s="60">
        <v>3.7870312500000001</v>
      </c>
      <c r="F161" s="61">
        <v>13.95</v>
      </c>
      <c r="G161" s="61">
        <v>111</v>
      </c>
      <c r="H161" s="61">
        <v>174</v>
      </c>
      <c r="I161" s="61">
        <v>132.288815</v>
      </c>
      <c r="J161" s="62">
        <v>7.6631239999999998</v>
      </c>
      <c r="K161" s="28">
        <f t="shared" si="81"/>
        <v>37.363636736771191</v>
      </c>
      <c r="L161" s="69">
        <v>57.841278000000003</v>
      </c>
      <c r="M161" s="29">
        <f t="shared" si="82"/>
        <v>76.137471394804024</v>
      </c>
      <c r="N161" s="71">
        <v>77.253365000000002</v>
      </c>
      <c r="O161" s="35">
        <f t="shared" si="78"/>
        <v>1.7496354008019082</v>
      </c>
      <c r="P161" s="16">
        <f t="shared" si="68"/>
        <v>1.7506858122892817</v>
      </c>
      <c r="Q161" s="57" t="s">
        <v>69</v>
      </c>
      <c r="R161" s="58" t="s">
        <v>407</v>
      </c>
      <c r="S161" s="58">
        <v>2730</v>
      </c>
      <c r="T161" s="58">
        <f t="shared" si="79"/>
        <v>1</v>
      </c>
      <c r="U161" s="58"/>
      <c r="V161" s="73">
        <v>124</v>
      </c>
      <c r="W161" s="74">
        <v>3.1090358930000002</v>
      </c>
      <c r="X161" s="75">
        <v>1</v>
      </c>
      <c r="Y161" s="76">
        <v>7.0759999999999998E-3</v>
      </c>
      <c r="Z161" s="74">
        <v>3.1090358930000002</v>
      </c>
      <c r="AA161" s="61">
        <v>4320.6159790000002</v>
      </c>
      <c r="AB161" s="77">
        <v>7.0759999999999998E-3</v>
      </c>
      <c r="AC161" s="35">
        <f t="shared" si="80"/>
        <v>2.9160590013365137</v>
      </c>
      <c r="AD161" s="15">
        <f t="shared" si="69"/>
        <v>1.2605705886609988</v>
      </c>
      <c r="AE161" s="15">
        <f t="shared" si="83"/>
        <v>1.8199402390316699</v>
      </c>
      <c r="AF161" s="15">
        <f t="shared" si="84"/>
        <v>1.0675920605027982</v>
      </c>
      <c r="AG161" s="15">
        <f t="shared" si="70"/>
        <v>3.3171174179432503</v>
      </c>
      <c r="AH161" s="15">
        <f t="shared" si="71"/>
        <v>2.7042237466097894</v>
      </c>
      <c r="AI161" s="15">
        <f t="shared" si="72"/>
        <v>3.2046759411032419</v>
      </c>
      <c r="AJ161" s="16">
        <f t="shared" si="73"/>
        <v>3.2026830273830718</v>
      </c>
      <c r="AK161" s="32">
        <f t="shared" si="74"/>
        <v>2.007163702092063</v>
      </c>
      <c r="AL161" s="15">
        <f t="shared" si="75"/>
        <v>0.39178465056101103</v>
      </c>
      <c r="AM161" s="15">
        <f t="shared" si="76"/>
        <v>0.82096916760325123</v>
      </c>
      <c r="AN161" s="16">
        <f t="shared" si="77"/>
        <v>0.26405908321987043</v>
      </c>
    </row>
    <row r="162" spans="1:40" x14ac:dyDescent="0.45">
      <c r="A162" s="19">
        <v>150</v>
      </c>
      <c r="B162" s="57" t="s">
        <v>69</v>
      </c>
      <c r="C162" s="58" t="s">
        <v>44</v>
      </c>
      <c r="D162" s="59">
        <v>2734</v>
      </c>
      <c r="E162" s="60">
        <v>0.88812500000000005</v>
      </c>
      <c r="F162" s="61">
        <v>7.2</v>
      </c>
      <c r="G162" s="61">
        <v>101</v>
      </c>
      <c r="H162" s="61">
        <v>137</v>
      </c>
      <c r="I162" s="61">
        <v>112.919951</v>
      </c>
      <c r="J162" s="62">
        <v>7.3745729999999998</v>
      </c>
      <c r="K162" s="28">
        <f t="shared" si="81"/>
        <v>29.576179590008909</v>
      </c>
      <c r="L162" s="69">
        <v>49.133758</v>
      </c>
      <c r="M162" s="29">
        <f t="shared" si="82"/>
        <v>69.196392562899135</v>
      </c>
      <c r="N162" s="71">
        <v>77.935550000000006</v>
      </c>
      <c r="O162" s="35">
        <f t="shared" si="78"/>
        <v>1.3802593216530681</v>
      </c>
      <c r="P162" s="16">
        <f t="shared" si="68"/>
        <v>1.3810879744377309</v>
      </c>
      <c r="Q162" s="57" t="s">
        <v>69</v>
      </c>
      <c r="R162" s="58" t="s">
        <v>408</v>
      </c>
      <c r="S162" s="58">
        <v>2734</v>
      </c>
      <c r="T162" s="58">
        <f t="shared" si="79"/>
        <v>1</v>
      </c>
      <c r="U162" s="58"/>
      <c r="V162" s="73">
        <v>110</v>
      </c>
      <c r="W162" s="74">
        <v>1.2915737730000001</v>
      </c>
      <c r="X162" s="75">
        <v>1</v>
      </c>
      <c r="Y162" s="76">
        <v>1E-3</v>
      </c>
      <c r="Z162" s="74">
        <v>1.2915737730000001</v>
      </c>
      <c r="AA162" s="61">
        <v>2381.5548330000001</v>
      </c>
      <c r="AB162" s="77">
        <v>1E-3</v>
      </c>
      <c r="AC162" s="35">
        <f t="shared" si="80"/>
        <v>2.3004322027551134</v>
      </c>
      <c r="AD162" s="15">
        <f t="shared" si="69"/>
        <v>0.7264968715672171</v>
      </c>
      <c r="AE162" s="15">
        <f t="shared" si="83"/>
        <v>1.3538540861108983</v>
      </c>
      <c r="AF162" s="15">
        <f t="shared" si="84"/>
        <v>1.15295837559738</v>
      </c>
      <c r="AG162" s="15">
        <f t="shared" si="70"/>
        <v>6.2766211816842228</v>
      </c>
      <c r="AH162" s="15">
        <f t="shared" si="71"/>
        <v>3.2390127608166464</v>
      </c>
      <c r="AI162" s="15">
        <f t="shared" si="72"/>
        <v>3.4560891404547136</v>
      </c>
      <c r="AJ162" s="16">
        <f t="shared" si="73"/>
        <v>2.4209729974972207</v>
      </c>
      <c r="AK162" s="32">
        <f t="shared" si="74"/>
        <v>2.139210295799638</v>
      </c>
      <c r="AL162" s="15">
        <f t="shared" si="75"/>
        <v>0.53239707424815941</v>
      </c>
      <c r="AM162" s="15">
        <f t="shared" si="76"/>
        <v>1.4542702581280789</v>
      </c>
      <c r="AN162" s="16">
        <f t="shared" si="77"/>
        <v>1.1259676284306825</v>
      </c>
    </row>
    <row r="163" spans="1:40" x14ac:dyDescent="0.45">
      <c r="A163" s="19">
        <v>151</v>
      </c>
      <c r="B163" s="57" t="s">
        <v>69</v>
      </c>
      <c r="C163" s="58" t="s">
        <v>45</v>
      </c>
      <c r="D163" s="59">
        <v>2735</v>
      </c>
      <c r="E163" s="60">
        <v>4.7857812500000003</v>
      </c>
      <c r="F163" s="61">
        <v>16.824999999999999</v>
      </c>
      <c r="G163" s="61">
        <v>105</v>
      </c>
      <c r="H163" s="61">
        <v>233</v>
      </c>
      <c r="I163" s="61">
        <v>136.211466</v>
      </c>
      <c r="J163" s="62">
        <v>9.318225</v>
      </c>
      <c r="K163" s="28">
        <f t="shared" si="81"/>
        <v>38.811387115788662</v>
      </c>
      <c r="L163" s="69">
        <v>59.330900999999997</v>
      </c>
      <c r="M163" s="29">
        <f t="shared" si="82"/>
        <v>77.235058331188782</v>
      </c>
      <c r="N163" s="71">
        <v>77.401234000000002</v>
      </c>
      <c r="O163" s="35">
        <f t="shared" si="78"/>
        <v>1.9596144658756769</v>
      </c>
      <c r="P163" s="16">
        <f t="shared" si="68"/>
        <v>1.9607909404399408</v>
      </c>
      <c r="Q163" s="57" t="s">
        <v>69</v>
      </c>
      <c r="R163" s="58" t="s">
        <v>409</v>
      </c>
      <c r="S163" s="58">
        <v>2735</v>
      </c>
      <c r="T163" s="58">
        <f t="shared" si="79"/>
        <v>1</v>
      </c>
      <c r="U163" s="58"/>
      <c r="V163" s="73">
        <v>118</v>
      </c>
      <c r="W163" s="74">
        <v>1.150704365</v>
      </c>
      <c r="X163" s="75">
        <v>1</v>
      </c>
      <c r="Y163" s="76">
        <v>2.6069999999999999E-3</v>
      </c>
      <c r="Z163" s="74">
        <v>1.150704365</v>
      </c>
      <c r="AA163" s="61">
        <v>5896.5043260000002</v>
      </c>
      <c r="AB163" s="77">
        <v>2.6069999999999999E-3</v>
      </c>
      <c r="AC163" s="35">
        <f t="shared" si="80"/>
        <v>3.2660241097927951</v>
      </c>
      <c r="AD163" s="15">
        <f t="shared" si="69"/>
        <v>1.3778301154039023</v>
      </c>
      <c r="AE163" s="15">
        <f t="shared" si="83"/>
        <v>1.0336819120072755</v>
      </c>
      <c r="AF163" s="15">
        <f t="shared" si="84"/>
        <v>0.72942329624732494</v>
      </c>
      <c r="AG163" s="15">
        <f t="shared" si="70"/>
        <v>7.5604666956779942</v>
      </c>
      <c r="AH163" s="15">
        <f t="shared" si="71"/>
        <v>4.2882221636790012</v>
      </c>
      <c r="AI163" s="15">
        <f t="shared" si="72"/>
        <v>2.1552518040595978</v>
      </c>
      <c r="AJ163" s="16">
        <f t="shared" si="73"/>
        <v>4.947331683505749</v>
      </c>
      <c r="AK163" s="32">
        <f t="shared" si="74"/>
        <v>2.1534593705104941</v>
      </c>
      <c r="AL163" s="15">
        <f t="shared" si="75"/>
        <v>3.6143093632505239</v>
      </c>
      <c r="AM163" s="15">
        <f t="shared" si="76"/>
        <v>0.24044232381076755</v>
      </c>
      <c r="AN163" s="16">
        <f t="shared" si="77"/>
        <v>0.20895230010774102</v>
      </c>
    </row>
    <row r="164" spans="1:40" x14ac:dyDescent="0.45">
      <c r="A164" s="19">
        <v>152</v>
      </c>
      <c r="B164" s="57" t="s">
        <v>69</v>
      </c>
      <c r="C164" s="58" t="s">
        <v>46</v>
      </c>
      <c r="D164" s="59">
        <v>2739</v>
      </c>
      <c r="E164" s="60">
        <v>1.7073437499999999</v>
      </c>
      <c r="F164" s="61">
        <v>11.5</v>
      </c>
      <c r="G164" s="61">
        <v>100</v>
      </c>
      <c r="H164" s="61">
        <v>149</v>
      </c>
      <c r="I164" s="61">
        <v>118.699918</v>
      </c>
      <c r="J164" s="62">
        <v>8.3294280000000001</v>
      </c>
      <c r="K164" s="28">
        <f t="shared" si="81"/>
        <v>32.081269605146183</v>
      </c>
      <c r="L164" s="69">
        <v>52.070556000000003</v>
      </c>
      <c r="M164" s="29">
        <f t="shared" si="82"/>
        <v>71.64336900275724</v>
      </c>
      <c r="N164" s="71">
        <v>77.747601000000003</v>
      </c>
      <c r="O164" s="35">
        <f t="shared" si="78"/>
        <v>1.3942111486976492</v>
      </c>
      <c r="P164" s="16">
        <f t="shared" si="68"/>
        <v>1.3950481776042116</v>
      </c>
      <c r="Q164" s="57" t="s">
        <v>69</v>
      </c>
      <c r="R164" s="58" t="s">
        <v>410</v>
      </c>
      <c r="S164" s="58">
        <v>2739</v>
      </c>
      <c r="T164" s="58">
        <f t="shared" si="79"/>
        <v>1</v>
      </c>
      <c r="U164" s="58"/>
      <c r="V164" s="73">
        <v>109</v>
      </c>
      <c r="W164" s="74">
        <v>1.354594155</v>
      </c>
      <c r="X164" s="75">
        <v>1</v>
      </c>
      <c r="Y164" s="76">
        <v>1E-3</v>
      </c>
      <c r="Z164" s="74">
        <v>1.354594155</v>
      </c>
      <c r="AA164" s="61">
        <v>2856.783457</v>
      </c>
      <c r="AB164" s="77">
        <v>1E-3</v>
      </c>
      <c r="AC164" s="35">
        <f t="shared" si="80"/>
        <v>2.3236852478294154</v>
      </c>
      <c r="AD164" s="15">
        <f t="shared" si="69"/>
        <v>0.93131277550968772</v>
      </c>
      <c r="AE164" s="15">
        <f t="shared" si="83"/>
        <v>1.4037709303290862</v>
      </c>
      <c r="AF164" s="15">
        <f t="shared" si="84"/>
        <v>1.1960378207156286</v>
      </c>
      <c r="AG164" s="15">
        <f t="shared" si="70"/>
        <v>7.7951075089481634</v>
      </c>
      <c r="AH164" s="15">
        <f t="shared" si="71"/>
        <v>3.9872792711969747</v>
      </c>
      <c r="AI164" s="15">
        <f t="shared" si="72"/>
        <v>3.5946881741778252</v>
      </c>
      <c r="AJ164" s="16">
        <f t="shared" si="73"/>
        <v>3.5670659730477285</v>
      </c>
      <c r="AK164" s="32">
        <f t="shared" si="74"/>
        <v>2.4643102710713247</v>
      </c>
      <c r="AL164" s="15">
        <f t="shared" si="75"/>
        <v>0.93047042675873481</v>
      </c>
      <c r="AM164" s="15">
        <f t="shared" si="76"/>
        <v>0.7933927511668345</v>
      </c>
      <c r="AN164" s="16">
        <f t="shared" si="77"/>
        <v>0.58570513407156588</v>
      </c>
    </row>
    <row r="165" spans="1:40" x14ac:dyDescent="0.45">
      <c r="A165" s="19">
        <v>153</v>
      </c>
      <c r="B165" s="57" t="s">
        <v>69</v>
      </c>
      <c r="C165" s="58" t="s">
        <v>47</v>
      </c>
      <c r="D165" s="59">
        <v>2740</v>
      </c>
      <c r="E165" s="60">
        <v>7.6089062500000004</v>
      </c>
      <c r="F165" s="61">
        <v>22</v>
      </c>
      <c r="G165" s="61">
        <v>108</v>
      </c>
      <c r="H165" s="61">
        <v>253</v>
      </c>
      <c r="I165" s="61">
        <v>147.51491899999999</v>
      </c>
      <c r="J165" s="62">
        <v>10.956189999999999</v>
      </c>
      <c r="K165" s="28">
        <f t="shared" si="81"/>
        <v>44.674553166773457</v>
      </c>
      <c r="L165" s="69">
        <v>65.000933000000003</v>
      </c>
      <c r="M165" s="29">
        <f t="shared" si="82"/>
        <v>81.19987654083269</v>
      </c>
      <c r="N165" s="71">
        <v>77.285764</v>
      </c>
      <c r="O165" s="35">
        <f t="shared" si="78"/>
        <v>2.1559932893484963</v>
      </c>
      <c r="P165" s="16">
        <f t="shared" si="68"/>
        <v>2.1572876619456638</v>
      </c>
      <c r="Q165" s="57" t="s">
        <v>69</v>
      </c>
      <c r="R165" s="58" t="s">
        <v>411</v>
      </c>
      <c r="S165" s="58">
        <v>2740</v>
      </c>
      <c r="T165" s="58">
        <f t="shared" si="79"/>
        <v>1</v>
      </c>
      <c r="U165" s="58"/>
      <c r="V165" s="73">
        <v>132</v>
      </c>
      <c r="W165" s="74">
        <v>3.9061868669999997</v>
      </c>
      <c r="X165" s="75">
        <v>1</v>
      </c>
      <c r="Y165" s="76">
        <v>4.8640000000000003E-3</v>
      </c>
      <c r="Z165" s="74">
        <v>3.9061868669999997</v>
      </c>
      <c r="AA165" s="61">
        <v>8813.5222730000005</v>
      </c>
      <c r="AB165" s="77">
        <v>4.8640000000000003E-3</v>
      </c>
      <c r="AC165" s="35">
        <f t="shared" si="80"/>
        <v>3.5933221489141607</v>
      </c>
      <c r="AD165" s="15">
        <f t="shared" si="69"/>
        <v>1.6432969185566957</v>
      </c>
      <c r="AE165" s="15">
        <f t="shared" si="83"/>
        <v>2.3244744074243582</v>
      </c>
      <c r="AF165" s="15">
        <f t="shared" si="84"/>
        <v>1.4703107414462973</v>
      </c>
      <c r="AG165" s="15">
        <f t="shared" si="70"/>
        <v>4.8440924371890715</v>
      </c>
      <c r="AH165" s="15">
        <f t="shared" si="71"/>
        <v>3.7001499553400019</v>
      </c>
      <c r="AI165" s="15">
        <f t="shared" si="72"/>
        <v>4.467994166002617</v>
      </c>
      <c r="AJ165" s="16">
        <f t="shared" si="73"/>
        <v>5.4134645717675269</v>
      </c>
      <c r="AK165" s="32">
        <f t="shared" si="74"/>
        <v>2.2331587420110903</v>
      </c>
      <c r="AL165" s="15">
        <f t="shared" si="75"/>
        <v>0.49867339903656382</v>
      </c>
      <c r="AM165" s="15">
        <f t="shared" si="76"/>
        <v>0.51337035030494682</v>
      </c>
      <c r="AN165" s="16">
        <f t="shared" si="77"/>
        <v>0.13142493377415446</v>
      </c>
    </row>
    <row r="166" spans="1:40" x14ac:dyDescent="0.45">
      <c r="A166" s="19">
        <v>154</v>
      </c>
      <c r="B166" s="57" t="s">
        <v>69</v>
      </c>
      <c r="C166" s="58" t="s">
        <v>48</v>
      </c>
      <c r="D166" s="59">
        <v>2744</v>
      </c>
      <c r="E166" s="60">
        <v>2.3670312500000001</v>
      </c>
      <c r="F166" s="61">
        <v>12.6</v>
      </c>
      <c r="G166" s="61">
        <v>90</v>
      </c>
      <c r="H166" s="61">
        <v>221</v>
      </c>
      <c r="I166" s="61">
        <v>116.900587</v>
      </c>
      <c r="J166" s="62">
        <v>10.276615</v>
      </c>
      <c r="K166" s="28">
        <f t="shared" si="81"/>
        <v>45.64427318446829</v>
      </c>
      <c r="L166" s="69">
        <v>65.886431000000002</v>
      </c>
      <c r="M166" s="29">
        <f t="shared" si="82"/>
        <v>81.79034660491115</v>
      </c>
      <c r="N166" s="71">
        <v>76.378377999999998</v>
      </c>
      <c r="O166" s="35">
        <f t="shared" si="78"/>
        <v>1.4129266776804414</v>
      </c>
      <c r="P166" s="16">
        <f t="shared" si="68"/>
        <v>1.4137749426460291</v>
      </c>
      <c r="Q166" s="57" t="s">
        <v>69</v>
      </c>
      <c r="R166" s="58" t="s">
        <v>412</v>
      </c>
      <c r="S166" s="58">
        <v>2744</v>
      </c>
      <c r="T166" s="58">
        <f t="shared" si="79"/>
        <v>1</v>
      </c>
      <c r="U166" s="58"/>
      <c r="V166" s="73">
        <v>107</v>
      </c>
      <c r="W166" s="74">
        <v>3.9997213179999997</v>
      </c>
      <c r="X166" s="75">
        <v>1</v>
      </c>
      <c r="Y166" s="76">
        <v>2.2499999999999998E-3</v>
      </c>
      <c r="Z166" s="74">
        <v>3.9997213179999997</v>
      </c>
      <c r="AA166" s="61">
        <v>5138.890238</v>
      </c>
      <c r="AB166" s="77">
        <v>2.2499999999999998E-3</v>
      </c>
      <c r="AC166" s="35">
        <f t="shared" si="80"/>
        <v>2.354877796134069</v>
      </c>
      <c r="AD166" s="15">
        <f t="shared" si="69"/>
        <v>1.0544138675601478</v>
      </c>
      <c r="AE166" s="15">
        <f t="shared" si="83"/>
        <v>2.7399912326335616</v>
      </c>
      <c r="AF166" s="15">
        <f t="shared" si="84"/>
        <v>2.0147652691207449</v>
      </c>
      <c r="AG166" s="15">
        <f t="shared" si="70"/>
        <v>5.0638394081778433</v>
      </c>
      <c r="AH166" s="15">
        <f t="shared" si="71"/>
        <v>3.1587447681962226</v>
      </c>
      <c r="AI166" s="15">
        <f t="shared" si="72"/>
        <v>6.2348057461024409</v>
      </c>
      <c r="AJ166" s="16">
        <f t="shared" si="73"/>
        <v>3.4042830107879825</v>
      </c>
      <c r="AK166" s="32">
        <f t="shared" si="74"/>
        <v>2.2931189360954534</v>
      </c>
      <c r="AL166" s="15">
        <f t="shared" si="75"/>
        <v>0.14796006931082287</v>
      </c>
      <c r="AM166" s="15">
        <f t="shared" si="76"/>
        <v>1.6897627853455672</v>
      </c>
      <c r="AN166" s="16">
        <f t="shared" si="77"/>
        <v>0.4224701300415869</v>
      </c>
    </row>
    <row r="167" spans="1:40" x14ac:dyDescent="0.45">
      <c r="A167" s="19">
        <v>155</v>
      </c>
      <c r="B167" s="57" t="s">
        <v>69</v>
      </c>
      <c r="C167" s="58" t="s">
        <v>49</v>
      </c>
      <c r="D167" s="59">
        <v>2745</v>
      </c>
      <c r="E167" s="60">
        <v>3.5803124999999998</v>
      </c>
      <c r="F167" s="61">
        <v>21.324999999999999</v>
      </c>
      <c r="G167" s="61">
        <v>108</v>
      </c>
      <c r="H167" s="61">
        <v>246</v>
      </c>
      <c r="I167" s="61">
        <v>151.251724</v>
      </c>
      <c r="J167" s="62">
        <v>15.764443</v>
      </c>
      <c r="K167" s="28">
        <f t="shared" si="81"/>
        <v>50.373860689558015</v>
      </c>
      <c r="L167" s="69">
        <v>70.011883999999995</v>
      </c>
      <c r="M167" s="29">
        <f t="shared" si="82"/>
        <v>84.446518328328423</v>
      </c>
      <c r="N167" s="71">
        <v>76.998634999999993</v>
      </c>
      <c r="O167" s="35">
        <f t="shared" si="78"/>
        <v>1.3693637938740222</v>
      </c>
      <c r="P167" s="16">
        <f t="shared" si="68"/>
        <v>1.3701859054172727</v>
      </c>
      <c r="Q167" s="57" t="s">
        <v>69</v>
      </c>
      <c r="R167" s="58" t="s">
        <v>413</v>
      </c>
      <c r="S167" s="58">
        <v>2745</v>
      </c>
      <c r="T167" s="58">
        <f t="shared" si="79"/>
        <v>1</v>
      </c>
      <c r="U167" s="58"/>
      <c r="V167" s="73">
        <v>128</v>
      </c>
      <c r="W167" s="74">
        <v>6.8957999619999999</v>
      </c>
      <c r="X167" s="75">
        <v>1</v>
      </c>
      <c r="Y167" s="76">
        <v>3.6250000000000002E-3</v>
      </c>
      <c r="Z167" s="74">
        <v>6.8957999619999999</v>
      </c>
      <c r="AA167" s="61">
        <v>7403.5348990000002</v>
      </c>
      <c r="AB167" s="77">
        <v>3.6250000000000002E-3</v>
      </c>
      <c r="AC167" s="35">
        <f t="shared" si="80"/>
        <v>2.2822729897900369</v>
      </c>
      <c r="AD167" s="15">
        <f t="shared" si="69"/>
        <v>1.2339670056445242</v>
      </c>
      <c r="AE167" s="15">
        <f t="shared" si="83"/>
        <v>3.78596914497877</v>
      </c>
      <c r="AF167" s="15">
        <f t="shared" si="84"/>
        <v>2.5505182237756077</v>
      </c>
      <c r="AG167" s="15">
        <f t="shared" si="70"/>
        <v>4.4780255959193438</v>
      </c>
      <c r="AH167" s="15">
        <f t="shared" si="71"/>
        <v>2.9863924345836192</v>
      </c>
      <c r="AI167" s="15">
        <f t="shared" si="72"/>
        <v>7.9334185976854972</v>
      </c>
      <c r="AJ167" s="16">
        <f t="shared" si="73"/>
        <v>3.7773314632961754</v>
      </c>
      <c r="AK167" s="32">
        <f t="shared" si="74"/>
        <v>3.1556338338087437</v>
      </c>
      <c r="AL167" s="15">
        <f t="shared" si="75"/>
        <v>7.5292484009096716E-2</v>
      </c>
      <c r="AM167" s="15">
        <f t="shared" si="76"/>
        <v>1.9260329823164879</v>
      </c>
      <c r="AN167" s="16">
        <f t="shared" si="77"/>
        <v>0.27930522824474124</v>
      </c>
    </row>
    <row r="168" spans="1:40" x14ac:dyDescent="0.45">
      <c r="A168" s="19">
        <v>156</v>
      </c>
      <c r="B168" s="57" t="s">
        <v>69</v>
      </c>
      <c r="C168" s="58" t="s">
        <v>50</v>
      </c>
      <c r="D168" s="59">
        <v>2749</v>
      </c>
      <c r="E168" s="60">
        <v>1.0235937500000001</v>
      </c>
      <c r="F168" s="61">
        <v>7.3250000000000002</v>
      </c>
      <c r="G168" s="61">
        <v>99</v>
      </c>
      <c r="H168" s="61">
        <v>234</v>
      </c>
      <c r="I168" s="61">
        <v>122.502213</v>
      </c>
      <c r="J168" s="62">
        <v>12.772862999999999</v>
      </c>
      <c r="K168" s="28">
        <f t="shared" si="81"/>
        <v>35.138493448685558</v>
      </c>
      <c r="L168" s="69">
        <v>55.476737999999997</v>
      </c>
      <c r="M168" s="29">
        <f t="shared" si="82"/>
        <v>74.343934501299529</v>
      </c>
      <c r="N168" s="71">
        <v>76.060128000000006</v>
      </c>
      <c r="O168" s="35">
        <f t="shared" si="78"/>
        <v>1.0336210464766136</v>
      </c>
      <c r="P168" s="16">
        <f t="shared" si="68"/>
        <v>1.0342415914314724</v>
      </c>
      <c r="Q168" s="57" t="s">
        <v>69</v>
      </c>
      <c r="R168" s="58" t="s">
        <v>414</v>
      </c>
      <c r="S168" s="58">
        <v>2749</v>
      </c>
      <c r="T168" s="58">
        <f t="shared" si="79"/>
        <v>1</v>
      </c>
      <c r="U168" s="58"/>
      <c r="V168" s="73">
        <v>115</v>
      </c>
      <c r="W168" s="74">
        <v>1.254073773</v>
      </c>
      <c r="X168" s="75">
        <v>1</v>
      </c>
      <c r="Y168" s="76">
        <v>4.7840000000000001E-3</v>
      </c>
      <c r="Z168" s="74">
        <v>1.254073773</v>
      </c>
      <c r="AA168" s="61">
        <v>2858.4077360000001</v>
      </c>
      <c r="AB168" s="77">
        <v>4.7840000000000001E-3</v>
      </c>
      <c r="AC168" s="35">
        <f t="shared" si="80"/>
        <v>1.7227017441276895</v>
      </c>
      <c r="AD168" s="15">
        <f t="shared" si="69"/>
        <v>0.7667646632003613</v>
      </c>
      <c r="AE168" s="15">
        <f t="shared" si="83"/>
        <v>0.98330099154806194</v>
      </c>
      <c r="AF168" s="15">
        <f t="shared" si="84"/>
        <v>0.61693726801370663</v>
      </c>
      <c r="AG168" s="15">
        <f t="shared" si="70"/>
        <v>3.0250477563880311</v>
      </c>
      <c r="AH168" s="15">
        <f t="shared" si="71"/>
        <v>2.1604242598959562</v>
      </c>
      <c r="AI168" s="15">
        <f t="shared" si="72"/>
        <v>1.8269254996728483</v>
      </c>
      <c r="AJ168" s="16">
        <f t="shared" si="73"/>
        <v>1.6557410139988009</v>
      </c>
      <c r="AK168" s="32">
        <f t="shared" si="74"/>
        <v>2.0272245065907524</v>
      </c>
      <c r="AL168" s="15">
        <f t="shared" si="75"/>
        <v>0.65085081760224828</v>
      </c>
      <c r="AM168" s="15">
        <f t="shared" si="76"/>
        <v>1.22516747782018</v>
      </c>
      <c r="AN168" s="16">
        <f t="shared" si="77"/>
        <v>0.97695008395664773</v>
      </c>
    </row>
    <row r="169" spans="1:40" x14ac:dyDescent="0.45">
      <c r="A169" s="19">
        <v>157</v>
      </c>
      <c r="B169" s="57" t="s">
        <v>69</v>
      </c>
      <c r="C169" s="58" t="s">
        <v>51</v>
      </c>
      <c r="D169" s="59">
        <v>2750</v>
      </c>
      <c r="E169" s="60">
        <v>1.1270312499999999</v>
      </c>
      <c r="F169" s="61">
        <v>9.0250000000000004</v>
      </c>
      <c r="G169" s="61">
        <v>105</v>
      </c>
      <c r="H169" s="61">
        <v>228</v>
      </c>
      <c r="I169" s="61">
        <v>120.961736</v>
      </c>
      <c r="J169" s="62">
        <v>9.4358780000000007</v>
      </c>
      <c r="K169" s="28">
        <f t="shared" si="81"/>
        <v>39.68639015852829</v>
      </c>
      <c r="L169" s="69">
        <v>60.213278000000003</v>
      </c>
      <c r="M169" s="29">
        <f t="shared" si="82"/>
        <v>77.873844516164382</v>
      </c>
      <c r="N169" s="71">
        <v>75.869365000000002</v>
      </c>
      <c r="O169" s="35">
        <f t="shared" si="78"/>
        <v>1.0651234965814822</v>
      </c>
      <c r="P169" s="16">
        <f t="shared" si="68"/>
        <v>1.0657629543540945</v>
      </c>
      <c r="Q169" s="57" t="s">
        <v>69</v>
      </c>
      <c r="R169" s="58" t="s">
        <v>415</v>
      </c>
      <c r="S169" s="58">
        <v>2750</v>
      </c>
      <c r="T169" s="58">
        <f t="shared" si="79"/>
        <v>1</v>
      </c>
      <c r="U169" s="58"/>
      <c r="V169" s="73">
        <v>120</v>
      </c>
      <c r="W169" s="74">
        <v>1.2871320339999999</v>
      </c>
      <c r="X169" s="75">
        <v>1</v>
      </c>
      <c r="Y169" s="76">
        <v>7.7700000000000002E-4</v>
      </c>
      <c r="Z169" s="74">
        <v>1.2871320339999999</v>
      </c>
      <c r="AA169" s="61">
        <v>2852.1893030000001</v>
      </c>
      <c r="AB169" s="77">
        <v>7.7700000000000002E-4</v>
      </c>
      <c r="AC169" s="35">
        <f t="shared" si="80"/>
        <v>1.7752058276358036</v>
      </c>
      <c r="AD169" s="15">
        <f t="shared" si="69"/>
        <v>0.79533346479388789</v>
      </c>
      <c r="AE169" s="15">
        <f t="shared" si="83"/>
        <v>1.4166247217601049</v>
      </c>
      <c r="AF169" s="15">
        <f t="shared" si="84"/>
        <v>1.2672127244204179</v>
      </c>
      <c r="AG169" s="15">
        <f t="shared" si="70"/>
        <v>7.7205239521488043</v>
      </c>
      <c r="AH169" s="15">
        <f t="shared" si="71"/>
        <v>3.7666849462590255</v>
      </c>
      <c r="AI169" s="15">
        <f t="shared" si="72"/>
        <v>3.8641520835852678</v>
      </c>
      <c r="AJ169" s="16">
        <f t="shared" si="73"/>
        <v>3.0049205805811461</v>
      </c>
      <c r="AK169" s="32">
        <f t="shared" si="74"/>
        <v>2.38033050771091</v>
      </c>
      <c r="AL169" s="15">
        <f t="shared" si="75"/>
        <v>0.68028322199654823</v>
      </c>
      <c r="AM169" s="15">
        <f t="shared" si="76"/>
        <v>1.1420553192291696</v>
      </c>
      <c r="AN169" s="16">
        <f t="shared" si="77"/>
        <v>0.88728684319977824</v>
      </c>
    </row>
    <row r="170" spans="1:40" x14ac:dyDescent="0.45">
      <c r="A170" s="19">
        <v>158</v>
      </c>
      <c r="B170" s="57" t="s">
        <v>69</v>
      </c>
      <c r="C170" s="58" t="s">
        <v>233</v>
      </c>
      <c r="D170" s="59">
        <v>2760</v>
      </c>
      <c r="E170" s="60">
        <v>0.3671875</v>
      </c>
      <c r="F170" s="61">
        <v>3.9249999999999998</v>
      </c>
      <c r="G170" s="61">
        <v>104</v>
      </c>
      <c r="H170" s="61">
        <v>125</v>
      </c>
      <c r="I170" s="61">
        <v>113.068511</v>
      </c>
      <c r="J170" s="62">
        <v>7.9369990000000001</v>
      </c>
      <c r="K170" s="28">
        <f t="shared" si="81"/>
        <v>35.328484828655689</v>
      </c>
      <c r="L170" s="69">
        <v>55.682291999999997</v>
      </c>
      <c r="M170" s="29">
        <f t="shared" si="82"/>
        <v>74.502417351666026</v>
      </c>
      <c r="N170" s="71">
        <v>75.825726000000003</v>
      </c>
      <c r="O170" s="35">
        <f t="shared" si="78"/>
        <v>0.857790567527833</v>
      </c>
      <c r="P170" s="16">
        <f t="shared" si="68"/>
        <v>0.85830555085834792</v>
      </c>
      <c r="Q170" s="57" t="s">
        <v>69</v>
      </c>
      <c r="R170" s="58" t="s">
        <v>416</v>
      </c>
      <c r="S170" s="58">
        <v>2760</v>
      </c>
      <c r="T170" s="58">
        <f t="shared" si="79"/>
        <v>1</v>
      </c>
      <c r="U170" s="58"/>
      <c r="V170" s="73">
        <v>109</v>
      </c>
      <c r="W170" s="74">
        <v>1.408363094</v>
      </c>
      <c r="X170" s="75">
        <v>1</v>
      </c>
      <c r="Y170" s="76">
        <v>2.1299999999999999E-3</v>
      </c>
      <c r="Z170" s="74">
        <v>1.408363094</v>
      </c>
      <c r="AA170" s="61">
        <v>1692.646103</v>
      </c>
      <c r="AB170" s="77">
        <v>2.1299999999999999E-3</v>
      </c>
      <c r="AC170" s="35">
        <f t="shared" si="80"/>
        <v>1.4296509458797217</v>
      </c>
      <c r="AD170" s="15">
        <f t="shared" si="69"/>
        <v>0.51936297974021595</v>
      </c>
      <c r="AE170" s="15">
        <f t="shared" si="83"/>
        <v>1.2524265147347138</v>
      </c>
      <c r="AF170" s="15">
        <f t="shared" si="84"/>
        <v>0.9211618713338422</v>
      </c>
      <c r="AG170" s="15">
        <f t="shared" si="70"/>
        <v>3.2737252168061368</v>
      </c>
      <c r="AH170" s="15">
        <f t="shared" si="71"/>
        <v>1.9360113389597466</v>
      </c>
      <c r="AI170" s="15">
        <f t="shared" si="72"/>
        <v>2.7750380505518799</v>
      </c>
      <c r="AJ170" s="16">
        <f t="shared" si="73"/>
        <v>1.1459318025274858</v>
      </c>
      <c r="AK170" s="32">
        <f t="shared" si="74"/>
        <v>1.8136511194214622</v>
      </c>
      <c r="AL170" s="15">
        <f t="shared" si="75"/>
        <v>0.1851222484484206</v>
      </c>
      <c r="AM170" s="15">
        <f t="shared" si="76"/>
        <v>3.8355420432340428</v>
      </c>
      <c r="AN170" s="16">
        <f t="shared" si="77"/>
        <v>2.7234042553191489</v>
      </c>
    </row>
    <row r="171" spans="1:40" x14ac:dyDescent="0.45">
      <c r="A171" s="19">
        <v>159</v>
      </c>
      <c r="B171" s="57" t="s">
        <v>69</v>
      </c>
      <c r="C171" s="58" t="s">
        <v>234</v>
      </c>
      <c r="D171" s="59">
        <v>2761</v>
      </c>
      <c r="E171" s="60">
        <v>14.73015625</v>
      </c>
      <c r="F171" s="61">
        <v>33.6</v>
      </c>
      <c r="G171" s="61">
        <v>106</v>
      </c>
      <c r="H171" s="61">
        <v>406</v>
      </c>
      <c r="I171" s="61">
        <v>187.84374099999999</v>
      </c>
      <c r="J171" s="62">
        <v>13.335241999999999</v>
      </c>
      <c r="K171" s="28">
        <f t="shared" si="81"/>
        <v>31.986512760665207</v>
      </c>
      <c r="L171" s="69">
        <v>51.961928</v>
      </c>
      <c r="M171" s="29">
        <f t="shared" si="82"/>
        <v>71.554868048646995</v>
      </c>
      <c r="N171" s="71">
        <v>76.148651999999998</v>
      </c>
      <c r="O171" s="35">
        <f t="shared" si="78"/>
        <v>3.8299643679707844</v>
      </c>
      <c r="P171" s="16">
        <f t="shared" si="68"/>
        <v>3.8322637262065076</v>
      </c>
      <c r="Q171" s="57" t="s">
        <v>69</v>
      </c>
      <c r="R171" s="58" t="s">
        <v>417</v>
      </c>
      <c r="S171" s="58">
        <v>2761</v>
      </c>
      <c r="T171" s="58">
        <f t="shared" si="79"/>
        <v>1</v>
      </c>
      <c r="U171" s="58"/>
      <c r="V171" s="73">
        <v>148</v>
      </c>
      <c r="W171" s="74">
        <v>9.5423097039999991</v>
      </c>
      <c r="X171" s="75">
        <v>1</v>
      </c>
      <c r="Y171" s="76">
        <v>9.4319999999999994E-3</v>
      </c>
      <c r="Z171" s="74">
        <v>9.5423097039999991</v>
      </c>
      <c r="AA171" s="61">
        <v>13511.669368999999</v>
      </c>
      <c r="AB171" s="77">
        <v>9.4319999999999994E-3</v>
      </c>
      <c r="AC171" s="35">
        <f t="shared" si="80"/>
        <v>6.3832739466179742</v>
      </c>
      <c r="AD171" s="15">
        <f t="shared" si="69"/>
        <v>2.1121871038254576</v>
      </c>
      <c r="AE171" s="15">
        <f t="shared" si="83"/>
        <v>4.0409474262267091</v>
      </c>
      <c r="AF171" s="15">
        <f t="shared" si="84"/>
        <v>2.2665357426304795</v>
      </c>
      <c r="AG171" s="15">
        <f t="shared" si="70"/>
        <v>3.9084207753119249</v>
      </c>
      <c r="AH171" s="15">
        <f t="shared" si="71"/>
        <v>3.473854116393341</v>
      </c>
      <c r="AI171" s="15">
        <f t="shared" si="72"/>
        <v>7.056795680565628</v>
      </c>
      <c r="AJ171" s="16">
        <f t="shared" si="73"/>
        <v>6.5814523812134222</v>
      </c>
      <c r="AK171" s="32">
        <f t="shared" si="74"/>
        <v>2.4512840079394493</v>
      </c>
      <c r="AL171" s="15">
        <f t="shared" si="75"/>
        <v>0.16177087625762981</v>
      </c>
      <c r="AM171" s="15">
        <f t="shared" si="76"/>
        <v>0.64780777216806507</v>
      </c>
      <c r="AN171" s="16">
        <f t="shared" si="77"/>
        <v>6.7887942464968765E-2</v>
      </c>
    </row>
    <row r="172" spans="1:40" x14ac:dyDescent="0.45">
      <c r="A172" s="19">
        <v>160</v>
      </c>
      <c r="B172" s="57"/>
      <c r="C172" s="58"/>
      <c r="D172" s="59"/>
      <c r="E172" s="60"/>
      <c r="F172" s="61"/>
      <c r="G172" s="61"/>
      <c r="H172" s="61"/>
      <c r="I172" s="61"/>
      <c r="J172" s="62"/>
      <c r="K172" s="28"/>
      <c r="L172" s="69"/>
      <c r="M172" s="29"/>
      <c r="N172" s="71"/>
      <c r="O172" s="35"/>
      <c r="P172" s="16"/>
      <c r="Q172" s="57"/>
      <c r="R172" s="58"/>
      <c r="S172" s="58"/>
      <c r="T172" s="58"/>
      <c r="U172" s="58"/>
      <c r="V172" s="73"/>
      <c r="W172" s="74"/>
      <c r="X172" s="75"/>
      <c r="Y172" s="76"/>
      <c r="Z172" s="74"/>
      <c r="AA172" s="61"/>
      <c r="AB172" s="77"/>
      <c r="AC172" s="35"/>
      <c r="AD172" s="15"/>
      <c r="AE172" s="15"/>
      <c r="AF172" s="15"/>
      <c r="AG172" s="15"/>
      <c r="AH172" s="15"/>
      <c r="AI172" s="15"/>
      <c r="AJ172" s="16"/>
      <c r="AK172" s="32"/>
      <c r="AL172" s="15"/>
      <c r="AM172" s="15"/>
      <c r="AN172" s="16"/>
    </row>
    <row r="173" spans="1:40" x14ac:dyDescent="0.45">
      <c r="A173" s="19">
        <v>161</v>
      </c>
      <c r="B173" s="57"/>
      <c r="C173" s="58"/>
      <c r="D173" s="59"/>
      <c r="E173" s="60"/>
      <c r="F173" s="61"/>
      <c r="G173" s="61"/>
      <c r="H173" s="61"/>
      <c r="I173" s="61"/>
      <c r="J173" s="62"/>
      <c r="K173" s="28"/>
      <c r="L173" s="69"/>
      <c r="M173" s="29"/>
      <c r="N173" s="71"/>
      <c r="O173" s="35"/>
      <c r="P173" s="16"/>
      <c r="Q173" s="57"/>
      <c r="R173" s="58"/>
      <c r="S173" s="58"/>
      <c r="T173" s="58"/>
      <c r="U173" s="58"/>
      <c r="V173" s="73"/>
      <c r="W173" s="74"/>
      <c r="X173" s="75"/>
      <c r="Y173" s="76"/>
      <c r="Z173" s="74"/>
      <c r="AA173" s="61"/>
      <c r="AB173" s="77"/>
      <c r="AC173" s="35"/>
      <c r="AD173" s="15"/>
      <c r="AE173" s="15"/>
      <c r="AF173" s="15"/>
      <c r="AG173" s="15"/>
      <c r="AH173" s="15"/>
      <c r="AI173" s="15"/>
      <c r="AJ173" s="16"/>
      <c r="AK173" s="32"/>
      <c r="AL173" s="15"/>
      <c r="AM173" s="15"/>
      <c r="AN173" s="16"/>
    </row>
    <row r="174" spans="1:40" x14ac:dyDescent="0.45">
      <c r="A174" s="19">
        <v>162</v>
      </c>
      <c r="B174" s="57"/>
      <c r="C174" s="58"/>
      <c r="D174" s="59"/>
      <c r="E174" s="60"/>
      <c r="F174" s="61"/>
      <c r="G174" s="61"/>
      <c r="H174" s="61"/>
      <c r="I174" s="61"/>
      <c r="J174" s="62"/>
      <c r="K174" s="28"/>
      <c r="L174" s="69"/>
      <c r="M174" s="29"/>
      <c r="N174" s="71"/>
      <c r="O174" s="35"/>
      <c r="P174" s="16"/>
      <c r="Q174" s="57"/>
      <c r="R174" s="58"/>
      <c r="S174" s="58"/>
      <c r="T174" s="58"/>
      <c r="U174" s="58"/>
      <c r="V174" s="73"/>
      <c r="W174" s="74"/>
      <c r="X174" s="75"/>
      <c r="Y174" s="76"/>
      <c r="Z174" s="74"/>
      <c r="AA174" s="61"/>
      <c r="AB174" s="77"/>
      <c r="AC174" s="35"/>
      <c r="AD174" s="15"/>
      <c r="AE174" s="15"/>
      <c r="AF174" s="15"/>
      <c r="AG174" s="15"/>
      <c r="AH174" s="15"/>
      <c r="AI174" s="15"/>
      <c r="AJ174" s="16"/>
      <c r="AK174" s="32"/>
      <c r="AL174" s="15"/>
      <c r="AM174" s="15"/>
      <c r="AN174" s="16"/>
    </row>
    <row r="175" spans="1:40" x14ac:dyDescent="0.45">
      <c r="A175" s="19">
        <v>163</v>
      </c>
      <c r="B175" s="57"/>
      <c r="C175" s="58"/>
      <c r="D175" s="59"/>
      <c r="E175" s="60"/>
      <c r="F175" s="61"/>
      <c r="G175" s="61"/>
      <c r="H175" s="61"/>
      <c r="I175" s="61"/>
      <c r="J175" s="62"/>
      <c r="K175" s="28"/>
      <c r="L175" s="69"/>
      <c r="M175" s="29"/>
      <c r="N175" s="71"/>
      <c r="O175" s="35"/>
      <c r="P175" s="16"/>
      <c r="Q175" s="57"/>
      <c r="R175" s="58"/>
      <c r="S175" s="58"/>
      <c r="T175" s="58"/>
      <c r="U175" s="58"/>
      <c r="V175" s="73"/>
      <c r="W175" s="74"/>
      <c r="X175" s="75"/>
      <c r="Y175" s="76"/>
      <c r="Z175" s="74"/>
      <c r="AA175" s="61"/>
      <c r="AB175" s="77"/>
      <c r="AC175" s="35"/>
      <c r="AD175" s="15"/>
      <c r="AE175" s="15"/>
      <c r="AF175" s="15"/>
      <c r="AG175" s="15"/>
      <c r="AH175" s="15"/>
      <c r="AI175" s="15"/>
      <c r="AJ175" s="16"/>
      <c r="AK175" s="32"/>
      <c r="AL175" s="15"/>
      <c r="AM175" s="15"/>
      <c r="AN175" s="16"/>
    </row>
    <row r="176" spans="1:40" x14ac:dyDescent="0.45">
      <c r="A176" s="19">
        <v>164</v>
      </c>
      <c r="B176" s="57"/>
      <c r="C176" s="58"/>
      <c r="D176" s="59"/>
      <c r="E176" s="60"/>
      <c r="F176" s="61"/>
      <c r="G176" s="61"/>
      <c r="H176" s="61"/>
      <c r="I176" s="61"/>
      <c r="J176" s="62"/>
      <c r="K176" s="28"/>
      <c r="L176" s="69"/>
      <c r="M176" s="29"/>
      <c r="N176" s="71"/>
      <c r="O176" s="35"/>
      <c r="P176" s="16"/>
      <c r="Q176" s="57"/>
      <c r="R176" s="58"/>
      <c r="S176" s="58"/>
      <c r="T176" s="58"/>
      <c r="U176" s="58"/>
      <c r="V176" s="73"/>
      <c r="W176" s="74"/>
      <c r="X176" s="75"/>
      <c r="Y176" s="76"/>
      <c r="Z176" s="74"/>
      <c r="AA176" s="61"/>
      <c r="AB176" s="77"/>
      <c r="AC176" s="35"/>
      <c r="AD176" s="15"/>
      <c r="AE176" s="15"/>
      <c r="AF176" s="15"/>
      <c r="AG176" s="15"/>
      <c r="AH176" s="15"/>
      <c r="AI176" s="15"/>
      <c r="AJ176" s="16"/>
      <c r="AK176" s="32"/>
      <c r="AL176" s="15"/>
      <c r="AM176" s="15"/>
      <c r="AN176" s="16"/>
    </row>
    <row r="177" spans="1:40" x14ac:dyDescent="0.45">
      <c r="A177" s="19">
        <v>165</v>
      </c>
      <c r="B177" s="57"/>
      <c r="C177" s="58"/>
      <c r="D177" s="59"/>
      <c r="E177" s="60"/>
      <c r="F177" s="61"/>
      <c r="G177" s="61"/>
      <c r="H177" s="61"/>
      <c r="I177" s="61"/>
      <c r="J177" s="62"/>
      <c r="K177" s="28"/>
      <c r="L177" s="69"/>
      <c r="M177" s="29"/>
      <c r="N177" s="71"/>
      <c r="O177" s="35"/>
      <c r="P177" s="16"/>
      <c r="Q177" s="57"/>
      <c r="R177" s="58"/>
      <c r="S177" s="58"/>
      <c r="T177" s="58"/>
      <c r="U177" s="58"/>
      <c r="V177" s="73"/>
      <c r="W177" s="74"/>
      <c r="X177" s="75"/>
      <c r="Y177" s="76"/>
      <c r="Z177" s="74"/>
      <c r="AA177" s="61"/>
      <c r="AB177" s="77"/>
      <c r="AC177" s="35"/>
      <c r="AD177" s="15"/>
      <c r="AE177" s="15"/>
      <c r="AF177" s="15"/>
      <c r="AG177" s="15"/>
      <c r="AH177" s="15"/>
      <c r="AI177" s="15"/>
      <c r="AJ177" s="16"/>
      <c r="AK177" s="32"/>
      <c r="AL177" s="15"/>
      <c r="AM177" s="15"/>
      <c r="AN177" s="16"/>
    </row>
    <row r="178" spans="1:40" x14ac:dyDescent="0.45">
      <c r="A178" s="19">
        <v>166</v>
      </c>
      <c r="B178" s="57"/>
      <c r="C178" s="58"/>
      <c r="D178" s="59"/>
      <c r="E178" s="60"/>
      <c r="F178" s="61"/>
      <c r="G178" s="61"/>
      <c r="H178" s="61"/>
      <c r="I178" s="61"/>
      <c r="J178" s="62"/>
      <c r="K178" s="28"/>
      <c r="L178" s="69"/>
      <c r="M178" s="29"/>
      <c r="N178" s="71"/>
      <c r="O178" s="35"/>
      <c r="P178" s="16"/>
      <c r="Q178" s="57"/>
      <c r="R178" s="58"/>
      <c r="S178" s="58"/>
      <c r="T178" s="58"/>
      <c r="U178" s="58"/>
      <c r="V178" s="73"/>
      <c r="W178" s="74"/>
      <c r="X178" s="75"/>
      <c r="Y178" s="76"/>
      <c r="Z178" s="74"/>
      <c r="AA178" s="61"/>
      <c r="AB178" s="77"/>
      <c r="AC178" s="35"/>
      <c r="AD178" s="15"/>
      <c r="AE178" s="15"/>
      <c r="AF178" s="15"/>
      <c r="AG178" s="15"/>
      <c r="AH178" s="15"/>
      <c r="AI178" s="15"/>
      <c r="AJ178" s="16"/>
      <c r="AK178" s="32"/>
      <c r="AL178" s="15"/>
      <c r="AM178" s="15"/>
      <c r="AN178" s="16"/>
    </row>
    <row r="179" spans="1:40" x14ac:dyDescent="0.45">
      <c r="A179" s="19">
        <v>167</v>
      </c>
      <c r="B179" s="57"/>
      <c r="C179" s="58"/>
      <c r="D179" s="59"/>
      <c r="E179" s="60"/>
      <c r="F179" s="61"/>
      <c r="G179" s="61"/>
      <c r="H179" s="61"/>
      <c r="I179" s="61"/>
      <c r="J179" s="62"/>
      <c r="K179" s="28"/>
      <c r="L179" s="69"/>
      <c r="M179" s="29"/>
      <c r="N179" s="71"/>
      <c r="O179" s="35"/>
      <c r="P179" s="16"/>
      <c r="Q179" s="57"/>
      <c r="R179" s="58"/>
      <c r="S179" s="58"/>
      <c r="T179" s="58"/>
      <c r="U179" s="58"/>
      <c r="V179" s="73"/>
      <c r="W179" s="74"/>
      <c r="X179" s="75"/>
      <c r="Y179" s="76"/>
      <c r="Z179" s="74"/>
      <c r="AA179" s="61"/>
      <c r="AB179" s="77"/>
      <c r="AC179" s="35"/>
      <c r="AD179" s="15"/>
      <c r="AE179" s="15"/>
      <c r="AF179" s="15"/>
      <c r="AG179" s="15"/>
      <c r="AH179" s="15"/>
      <c r="AI179" s="15"/>
      <c r="AJ179" s="16"/>
      <c r="AK179" s="32"/>
      <c r="AL179" s="15"/>
      <c r="AM179" s="15"/>
      <c r="AN179" s="16"/>
    </row>
    <row r="180" spans="1:40" x14ac:dyDescent="0.45">
      <c r="A180" s="19">
        <v>168</v>
      </c>
      <c r="B180" s="57"/>
      <c r="C180" s="58"/>
      <c r="D180" s="59"/>
      <c r="E180" s="60"/>
      <c r="F180" s="61"/>
      <c r="G180" s="61"/>
      <c r="H180" s="61"/>
      <c r="I180" s="61"/>
      <c r="J180" s="62"/>
      <c r="K180" s="28"/>
      <c r="L180" s="69"/>
      <c r="M180" s="29"/>
      <c r="N180" s="71"/>
      <c r="O180" s="35"/>
      <c r="P180" s="16"/>
      <c r="Q180" s="57"/>
      <c r="R180" s="58"/>
      <c r="S180" s="58"/>
      <c r="T180" s="58"/>
      <c r="U180" s="58"/>
      <c r="V180" s="73"/>
      <c r="W180" s="74"/>
      <c r="X180" s="75"/>
      <c r="Y180" s="76"/>
      <c r="Z180" s="74"/>
      <c r="AA180" s="61"/>
      <c r="AB180" s="77"/>
      <c r="AC180" s="35"/>
      <c r="AD180" s="15"/>
      <c r="AE180" s="15"/>
      <c r="AF180" s="15"/>
      <c r="AG180" s="15"/>
      <c r="AH180" s="15"/>
      <c r="AI180" s="15"/>
      <c r="AJ180" s="16"/>
      <c r="AK180" s="32"/>
      <c r="AL180" s="15"/>
      <c r="AM180" s="15"/>
      <c r="AN180" s="16"/>
    </row>
    <row r="181" spans="1:40" x14ac:dyDescent="0.45">
      <c r="A181" s="19">
        <v>169</v>
      </c>
      <c r="B181" s="57"/>
      <c r="C181" s="58"/>
      <c r="D181" s="59"/>
      <c r="E181" s="60"/>
      <c r="F181" s="61"/>
      <c r="G181" s="61"/>
      <c r="H181" s="61"/>
      <c r="I181" s="61"/>
      <c r="J181" s="62"/>
      <c r="K181" s="28"/>
      <c r="L181" s="69"/>
      <c r="M181" s="29"/>
      <c r="N181" s="71"/>
      <c r="O181" s="35"/>
      <c r="P181" s="16"/>
      <c r="Q181" s="57"/>
      <c r="R181" s="58"/>
      <c r="S181" s="58"/>
      <c r="T181" s="58"/>
      <c r="U181" s="58"/>
      <c r="V181" s="73"/>
      <c r="W181" s="74"/>
      <c r="X181" s="75"/>
      <c r="Y181" s="76"/>
      <c r="Z181" s="74"/>
      <c r="AA181" s="61"/>
      <c r="AB181" s="77"/>
      <c r="AC181" s="35"/>
      <c r="AD181" s="15"/>
      <c r="AE181" s="15"/>
      <c r="AF181" s="15"/>
      <c r="AG181" s="15"/>
      <c r="AH181" s="15"/>
      <c r="AI181" s="15"/>
      <c r="AJ181" s="16"/>
      <c r="AK181" s="32"/>
      <c r="AL181" s="15"/>
      <c r="AM181" s="15"/>
      <c r="AN181" s="16"/>
    </row>
    <row r="182" spans="1:40" x14ac:dyDescent="0.45">
      <c r="A182" s="19">
        <v>170</v>
      </c>
      <c r="B182" s="57"/>
      <c r="C182" s="58"/>
      <c r="D182" s="59"/>
      <c r="E182" s="60"/>
      <c r="F182" s="61"/>
      <c r="G182" s="61"/>
      <c r="H182" s="61"/>
      <c r="I182" s="61"/>
      <c r="J182" s="62"/>
      <c r="K182" s="28"/>
      <c r="L182" s="69"/>
      <c r="M182" s="29"/>
      <c r="N182" s="71"/>
      <c r="O182" s="35"/>
      <c r="P182" s="16"/>
      <c r="Q182" s="57"/>
      <c r="R182" s="58"/>
      <c r="S182" s="58"/>
      <c r="T182" s="58"/>
      <c r="U182" s="58"/>
      <c r="V182" s="73"/>
      <c r="W182" s="74"/>
      <c r="X182" s="75"/>
      <c r="Y182" s="76"/>
      <c r="Z182" s="74"/>
      <c r="AA182" s="61"/>
      <c r="AB182" s="77"/>
      <c r="AC182" s="35"/>
      <c r="AD182" s="15"/>
      <c r="AE182" s="15"/>
      <c r="AF182" s="15"/>
      <c r="AG182" s="15"/>
      <c r="AH182" s="15"/>
      <c r="AI182" s="15"/>
      <c r="AJ182" s="16"/>
      <c r="AK182" s="32"/>
      <c r="AL182" s="15"/>
      <c r="AM182" s="15"/>
      <c r="AN182" s="16"/>
    </row>
    <row r="183" spans="1:40" x14ac:dyDescent="0.45">
      <c r="A183" s="19">
        <v>171</v>
      </c>
      <c r="B183" s="57"/>
      <c r="C183" s="58"/>
      <c r="D183" s="59"/>
      <c r="E183" s="60"/>
      <c r="F183" s="61"/>
      <c r="G183" s="61"/>
      <c r="H183" s="61"/>
      <c r="I183" s="61"/>
      <c r="J183" s="62"/>
      <c r="K183" s="28"/>
      <c r="L183" s="69"/>
      <c r="M183" s="29"/>
      <c r="N183" s="71"/>
      <c r="O183" s="35"/>
      <c r="P183" s="16"/>
      <c r="Q183" s="57"/>
      <c r="R183" s="58"/>
      <c r="S183" s="58"/>
      <c r="T183" s="58"/>
      <c r="U183" s="58"/>
      <c r="V183" s="73"/>
      <c r="W183" s="74"/>
      <c r="X183" s="75"/>
      <c r="Y183" s="76"/>
      <c r="Z183" s="74"/>
      <c r="AA183" s="61"/>
      <c r="AB183" s="77"/>
      <c r="AC183" s="35"/>
      <c r="AD183" s="15"/>
      <c r="AE183" s="15"/>
      <c r="AF183" s="15"/>
      <c r="AG183" s="15"/>
      <c r="AH183" s="15"/>
      <c r="AI183" s="15"/>
      <c r="AJ183" s="16"/>
      <c r="AK183" s="32"/>
      <c r="AL183" s="15"/>
      <c r="AM183" s="15"/>
      <c r="AN183" s="16"/>
    </row>
    <row r="184" spans="1:40" x14ac:dyDescent="0.45">
      <c r="A184" s="19">
        <v>172</v>
      </c>
      <c r="B184" s="57"/>
      <c r="C184" s="58"/>
      <c r="D184" s="59"/>
      <c r="E184" s="60"/>
      <c r="F184" s="61"/>
      <c r="G184" s="61"/>
      <c r="H184" s="61"/>
      <c r="I184" s="61"/>
      <c r="J184" s="62"/>
      <c r="K184" s="28"/>
      <c r="L184" s="69"/>
      <c r="M184" s="29"/>
      <c r="N184" s="71"/>
      <c r="O184" s="35"/>
      <c r="P184" s="16"/>
      <c r="Q184" s="57"/>
      <c r="R184" s="58"/>
      <c r="S184" s="58"/>
      <c r="T184" s="58"/>
      <c r="U184" s="58"/>
      <c r="V184" s="73"/>
      <c r="W184" s="74"/>
      <c r="X184" s="75"/>
      <c r="Y184" s="76"/>
      <c r="Z184" s="74"/>
      <c r="AA184" s="61"/>
      <c r="AB184" s="77"/>
      <c r="AC184" s="35"/>
      <c r="AD184" s="15"/>
      <c r="AE184" s="15"/>
      <c r="AF184" s="15"/>
      <c r="AG184" s="15"/>
      <c r="AH184" s="15"/>
      <c r="AI184" s="15"/>
      <c r="AJ184" s="16"/>
      <c r="AK184" s="32"/>
      <c r="AL184" s="15"/>
      <c r="AM184" s="15"/>
      <c r="AN184" s="16"/>
    </row>
    <row r="185" spans="1:40" x14ac:dyDescent="0.45">
      <c r="A185" s="19">
        <v>173</v>
      </c>
      <c r="B185" s="57"/>
      <c r="C185" s="58"/>
      <c r="D185" s="59"/>
      <c r="E185" s="60"/>
      <c r="F185" s="61"/>
      <c r="G185" s="61"/>
      <c r="H185" s="61"/>
      <c r="I185" s="61"/>
      <c r="J185" s="62"/>
      <c r="K185" s="28"/>
      <c r="L185" s="69"/>
      <c r="M185" s="29"/>
      <c r="N185" s="71"/>
      <c r="O185" s="35"/>
      <c r="P185" s="16"/>
      <c r="Q185" s="57"/>
      <c r="R185" s="58"/>
      <c r="S185" s="58"/>
      <c r="T185" s="58"/>
      <c r="U185" s="58"/>
      <c r="V185" s="73"/>
      <c r="W185" s="74"/>
      <c r="X185" s="75"/>
      <c r="Y185" s="76"/>
      <c r="Z185" s="74"/>
      <c r="AA185" s="61"/>
      <c r="AB185" s="77"/>
      <c r="AC185" s="35"/>
      <c r="AD185" s="15"/>
      <c r="AE185" s="15"/>
      <c r="AF185" s="15"/>
      <c r="AG185" s="15"/>
      <c r="AH185" s="15"/>
      <c r="AI185" s="15"/>
      <c r="AJ185" s="16"/>
      <c r="AK185" s="32"/>
      <c r="AL185" s="15"/>
      <c r="AM185" s="15"/>
      <c r="AN185" s="16"/>
    </row>
    <row r="186" spans="1:40" x14ac:dyDescent="0.45">
      <c r="A186" s="19">
        <v>174</v>
      </c>
      <c r="B186" s="57"/>
      <c r="C186" s="58"/>
      <c r="D186" s="59"/>
      <c r="E186" s="60"/>
      <c r="F186" s="61"/>
      <c r="G186" s="61"/>
      <c r="H186" s="61"/>
      <c r="I186" s="61"/>
      <c r="J186" s="62"/>
      <c r="K186" s="28"/>
      <c r="L186" s="69"/>
      <c r="M186" s="29"/>
      <c r="N186" s="71"/>
      <c r="O186" s="35"/>
      <c r="P186" s="16"/>
      <c r="Q186" s="57"/>
      <c r="R186" s="58"/>
      <c r="S186" s="58"/>
      <c r="T186" s="58"/>
      <c r="U186" s="58"/>
      <c r="V186" s="73"/>
      <c r="W186" s="74"/>
      <c r="X186" s="75"/>
      <c r="Y186" s="76"/>
      <c r="Z186" s="74"/>
      <c r="AA186" s="61"/>
      <c r="AB186" s="77"/>
      <c r="AC186" s="35"/>
      <c r="AD186" s="15"/>
      <c r="AE186" s="15"/>
      <c r="AF186" s="15"/>
      <c r="AG186" s="15"/>
      <c r="AH186" s="15"/>
      <c r="AI186" s="15"/>
      <c r="AJ186" s="16"/>
      <c r="AK186" s="32"/>
      <c r="AL186" s="15"/>
      <c r="AM186" s="15"/>
      <c r="AN186" s="16"/>
    </row>
    <row r="187" spans="1:40" x14ac:dyDescent="0.45">
      <c r="A187" s="19">
        <v>175</v>
      </c>
      <c r="B187" s="57"/>
      <c r="C187" s="58"/>
      <c r="D187" s="59"/>
      <c r="E187" s="60"/>
      <c r="F187" s="61"/>
      <c r="G187" s="61"/>
      <c r="H187" s="61"/>
      <c r="I187" s="61"/>
      <c r="J187" s="62"/>
      <c r="K187" s="28"/>
      <c r="L187" s="69"/>
      <c r="M187" s="29"/>
      <c r="N187" s="71"/>
      <c r="O187" s="35"/>
      <c r="P187" s="16"/>
      <c r="Q187" s="57"/>
      <c r="R187" s="58"/>
      <c r="S187" s="58"/>
      <c r="T187" s="58"/>
      <c r="U187" s="58"/>
      <c r="V187" s="73"/>
      <c r="W187" s="74"/>
      <c r="X187" s="75"/>
      <c r="Y187" s="76"/>
      <c r="Z187" s="74"/>
      <c r="AA187" s="61"/>
      <c r="AB187" s="77"/>
      <c r="AC187" s="35"/>
      <c r="AD187" s="15"/>
      <c r="AE187" s="15"/>
      <c r="AF187" s="15"/>
      <c r="AG187" s="15"/>
      <c r="AH187" s="15"/>
      <c r="AI187" s="15"/>
      <c r="AJ187" s="16"/>
      <c r="AK187" s="32"/>
      <c r="AL187" s="15"/>
      <c r="AM187" s="15"/>
      <c r="AN187" s="16"/>
    </row>
    <row r="188" spans="1:40" x14ac:dyDescent="0.45">
      <c r="A188" s="19">
        <v>176</v>
      </c>
      <c r="B188" s="57"/>
      <c r="C188" s="58"/>
      <c r="D188" s="59"/>
      <c r="E188" s="60"/>
      <c r="F188" s="61"/>
      <c r="G188" s="61"/>
      <c r="H188" s="61"/>
      <c r="I188" s="61"/>
      <c r="J188" s="62"/>
      <c r="K188" s="28"/>
      <c r="L188" s="69"/>
      <c r="M188" s="29"/>
      <c r="N188" s="71"/>
      <c r="O188" s="35"/>
      <c r="P188" s="16"/>
      <c r="Q188" s="57"/>
      <c r="R188" s="58"/>
      <c r="S188" s="58"/>
      <c r="T188" s="58"/>
      <c r="U188" s="58"/>
      <c r="V188" s="73"/>
      <c r="W188" s="74"/>
      <c r="X188" s="75"/>
      <c r="Y188" s="76"/>
      <c r="Z188" s="74"/>
      <c r="AA188" s="61"/>
      <c r="AB188" s="77"/>
      <c r="AC188" s="35"/>
      <c r="AD188" s="15"/>
      <c r="AE188" s="15"/>
      <c r="AF188" s="15"/>
      <c r="AG188" s="15"/>
      <c r="AH188" s="15"/>
      <c r="AI188" s="15"/>
      <c r="AJ188" s="16"/>
      <c r="AK188" s="32"/>
      <c r="AL188" s="15"/>
      <c r="AM188" s="15"/>
      <c r="AN188" s="16"/>
    </row>
    <row r="189" spans="1:40" x14ac:dyDescent="0.45">
      <c r="A189" s="19">
        <v>177</v>
      </c>
      <c r="B189" s="57"/>
      <c r="C189" s="58"/>
      <c r="D189" s="59"/>
      <c r="E189" s="60"/>
      <c r="F189" s="61"/>
      <c r="G189" s="61"/>
      <c r="H189" s="61"/>
      <c r="I189" s="61"/>
      <c r="J189" s="62"/>
      <c r="K189" s="28"/>
      <c r="L189" s="69"/>
      <c r="M189" s="29"/>
      <c r="N189" s="71"/>
      <c r="O189" s="35"/>
      <c r="P189" s="16"/>
      <c r="Q189" s="57"/>
      <c r="R189" s="58"/>
      <c r="S189" s="58"/>
      <c r="T189" s="58"/>
      <c r="U189" s="58"/>
      <c r="V189" s="73"/>
      <c r="W189" s="74"/>
      <c r="X189" s="75"/>
      <c r="Y189" s="76"/>
      <c r="Z189" s="74"/>
      <c r="AA189" s="61"/>
      <c r="AB189" s="77"/>
      <c r="AC189" s="35"/>
      <c r="AD189" s="15"/>
      <c r="AE189" s="15"/>
      <c r="AF189" s="15"/>
      <c r="AG189" s="15"/>
      <c r="AH189" s="15"/>
      <c r="AI189" s="15"/>
      <c r="AJ189" s="16"/>
      <c r="AK189" s="32"/>
      <c r="AL189" s="15"/>
      <c r="AM189" s="15"/>
      <c r="AN189" s="16"/>
    </row>
    <row r="190" spans="1:40" x14ac:dyDescent="0.45">
      <c r="A190" s="19">
        <v>178</v>
      </c>
      <c r="B190" s="57"/>
      <c r="C190" s="58"/>
      <c r="D190" s="59"/>
      <c r="E190" s="60"/>
      <c r="F190" s="61"/>
      <c r="G190" s="61"/>
      <c r="H190" s="61"/>
      <c r="I190" s="61"/>
      <c r="J190" s="62"/>
      <c r="K190" s="28"/>
      <c r="L190" s="69"/>
      <c r="M190" s="29"/>
      <c r="N190" s="71"/>
      <c r="O190" s="35"/>
      <c r="P190" s="16"/>
      <c r="Q190" s="57"/>
      <c r="R190" s="58"/>
      <c r="S190" s="58"/>
      <c r="T190" s="58"/>
      <c r="U190" s="58"/>
      <c r="V190" s="73"/>
      <c r="W190" s="74"/>
      <c r="X190" s="75"/>
      <c r="Y190" s="76"/>
      <c r="Z190" s="74"/>
      <c r="AA190" s="61"/>
      <c r="AB190" s="77"/>
      <c r="AC190" s="35"/>
      <c r="AD190" s="15"/>
      <c r="AE190" s="15"/>
      <c r="AF190" s="15"/>
      <c r="AG190" s="15"/>
      <c r="AH190" s="15"/>
      <c r="AI190" s="15"/>
      <c r="AJ190" s="16"/>
      <c r="AK190" s="32"/>
      <c r="AL190" s="15"/>
      <c r="AM190" s="15"/>
      <c r="AN190" s="16"/>
    </row>
    <row r="191" spans="1:40" x14ac:dyDescent="0.45">
      <c r="A191" s="19">
        <v>179</v>
      </c>
      <c r="B191" s="57"/>
      <c r="C191" s="58"/>
      <c r="D191" s="59"/>
      <c r="E191" s="60"/>
      <c r="F191" s="61"/>
      <c r="G191" s="61"/>
      <c r="H191" s="61"/>
      <c r="I191" s="61"/>
      <c r="J191" s="62"/>
      <c r="K191" s="28"/>
      <c r="L191" s="69"/>
      <c r="M191" s="29"/>
      <c r="N191" s="71"/>
      <c r="O191" s="35"/>
      <c r="P191" s="16"/>
      <c r="Q191" s="57"/>
      <c r="R191" s="58"/>
      <c r="S191" s="58"/>
      <c r="T191" s="58"/>
      <c r="U191" s="58"/>
      <c r="V191" s="73"/>
      <c r="W191" s="74"/>
      <c r="X191" s="75"/>
      <c r="Y191" s="76"/>
      <c r="Z191" s="74"/>
      <c r="AA191" s="61"/>
      <c r="AB191" s="77"/>
      <c r="AC191" s="35"/>
      <c r="AD191" s="15"/>
      <c r="AE191" s="15"/>
      <c r="AF191" s="15"/>
      <c r="AG191" s="15"/>
      <c r="AH191" s="15"/>
      <c r="AI191" s="15"/>
      <c r="AJ191" s="16"/>
      <c r="AK191" s="32"/>
      <c r="AL191" s="15"/>
      <c r="AM191" s="15"/>
      <c r="AN191" s="16"/>
    </row>
    <row r="192" spans="1:40" x14ac:dyDescent="0.45">
      <c r="A192" s="19">
        <v>180</v>
      </c>
      <c r="B192" s="57"/>
      <c r="C192" s="58"/>
      <c r="D192" s="59"/>
      <c r="E192" s="60"/>
      <c r="F192" s="61"/>
      <c r="G192" s="61"/>
      <c r="H192" s="61"/>
      <c r="I192" s="61"/>
      <c r="J192" s="62"/>
      <c r="K192" s="28"/>
      <c r="L192" s="69"/>
      <c r="M192" s="29"/>
      <c r="N192" s="71"/>
      <c r="O192" s="35"/>
      <c r="P192" s="16"/>
      <c r="Q192" s="57"/>
      <c r="R192" s="58"/>
      <c r="S192" s="58"/>
      <c r="T192" s="58"/>
      <c r="U192" s="58"/>
      <c r="V192" s="73"/>
      <c r="W192" s="74"/>
      <c r="X192" s="75"/>
      <c r="Y192" s="76"/>
      <c r="Z192" s="74"/>
      <c r="AA192" s="61"/>
      <c r="AB192" s="77"/>
      <c r="AC192" s="35"/>
      <c r="AD192" s="15"/>
      <c r="AE192" s="15"/>
      <c r="AF192" s="15"/>
      <c r="AG192" s="15"/>
      <c r="AH192" s="15"/>
      <c r="AI192" s="15"/>
      <c r="AJ192" s="16"/>
      <c r="AK192" s="32"/>
      <c r="AL192" s="15"/>
      <c r="AM192" s="15"/>
      <c r="AN192" s="16"/>
    </row>
    <row r="193" spans="1:40" x14ac:dyDescent="0.45">
      <c r="A193" s="19">
        <v>181</v>
      </c>
      <c r="B193" s="57"/>
      <c r="C193" s="58"/>
      <c r="D193" s="59"/>
      <c r="E193" s="60"/>
      <c r="F193" s="61"/>
      <c r="G193" s="61"/>
      <c r="H193" s="61"/>
      <c r="I193" s="61"/>
      <c r="J193" s="62"/>
      <c r="K193" s="28"/>
      <c r="L193" s="69"/>
      <c r="M193" s="29"/>
      <c r="N193" s="71"/>
      <c r="O193" s="35"/>
      <c r="P193" s="16"/>
      <c r="Q193" s="57"/>
      <c r="R193" s="58"/>
      <c r="S193" s="58"/>
      <c r="T193" s="58"/>
      <c r="U193" s="58"/>
      <c r="V193" s="73"/>
      <c r="W193" s="74"/>
      <c r="X193" s="75"/>
      <c r="Y193" s="76"/>
      <c r="Z193" s="74"/>
      <c r="AA193" s="61"/>
      <c r="AB193" s="77"/>
      <c r="AC193" s="35"/>
      <c r="AD193" s="15"/>
      <c r="AE193" s="15"/>
      <c r="AF193" s="15"/>
      <c r="AG193" s="15"/>
      <c r="AH193" s="15"/>
      <c r="AI193" s="15"/>
      <c r="AJ193" s="16"/>
      <c r="AK193" s="32"/>
      <c r="AL193" s="15"/>
      <c r="AM193" s="15"/>
      <c r="AN193" s="16"/>
    </row>
    <row r="194" spans="1:40" x14ac:dyDescent="0.45">
      <c r="A194" s="19">
        <v>182</v>
      </c>
      <c r="B194" s="57"/>
      <c r="C194" s="58"/>
      <c r="D194" s="59"/>
      <c r="E194" s="60"/>
      <c r="F194" s="61"/>
      <c r="G194" s="61"/>
      <c r="H194" s="61"/>
      <c r="I194" s="61"/>
      <c r="J194" s="62"/>
      <c r="K194" s="28"/>
      <c r="L194" s="69"/>
      <c r="M194" s="29"/>
      <c r="N194" s="71"/>
      <c r="O194" s="35"/>
      <c r="P194" s="16"/>
      <c r="Q194" s="57"/>
      <c r="R194" s="58"/>
      <c r="S194" s="58"/>
      <c r="T194" s="58"/>
      <c r="U194" s="58"/>
      <c r="V194" s="73"/>
      <c r="W194" s="74"/>
      <c r="X194" s="75"/>
      <c r="Y194" s="76"/>
      <c r="Z194" s="74"/>
      <c r="AA194" s="61"/>
      <c r="AB194" s="77"/>
      <c r="AC194" s="35"/>
      <c r="AD194" s="15"/>
      <c r="AE194" s="15"/>
      <c r="AF194" s="15"/>
      <c r="AG194" s="15"/>
      <c r="AH194" s="15"/>
      <c r="AI194" s="15"/>
      <c r="AJ194" s="16"/>
      <c r="AK194" s="32"/>
      <c r="AL194" s="15"/>
      <c r="AM194" s="15"/>
      <c r="AN194" s="16"/>
    </row>
    <row r="195" spans="1:40" x14ac:dyDescent="0.45">
      <c r="A195" s="19">
        <v>183</v>
      </c>
      <c r="B195" s="57"/>
      <c r="C195" s="58"/>
      <c r="D195" s="59"/>
      <c r="E195" s="60"/>
      <c r="F195" s="61"/>
      <c r="G195" s="61"/>
      <c r="H195" s="61"/>
      <c r="I195" s="61"/>
      <c r="J195" s="62"/>
      <c r="K195" s="28"/>
      <c r="L195" s="69"/>
      <c r="M195" s="29"/>
      <c r="N195" s="71"/>
      <c r="O195" s="35"/>
      <c r="P195" s="16"/>
      <c r="Q195" s="57"/>
      <c r="R195" s="58"/>
      <c r="S195" s="58"/>
      <c r="T195" s="58"/>
      <c r="U195" s="58"/>
      <c r="V195" s="73"/>
      <c r="W195" s="74"/>
      <c r="X195" s="75"/>
      <c r="Y195" s="76"/>
      <c r="Z195" s="74"/>
      <c r="AA195" s="61"/>
      <c r="AB195" s="77"/>
      <c r="AC195" s="35"/>
      <c r="AD195" s="15"/>
      <c r="AE195" s="15"/>
      <c r="AF195" s="15"/>
      <c r="AG195" s="15"/>
      <c r="AH195" s="15"/>
      <c r="AI195" s="15"/>
      <c r="AJ195" s="16"/>
      <c r="AK195" s="32"/>
      <c r="AL195" s="15"/>
      <c r="AM195" s="15"/>
      <c r="AN195" s="16"/>
    </row>
    <row r="196" spans="1:40" x14ac:dyDescent="0.45">
      <c r="A196" s="19">
        <v>184</v>
      </c>
      <c r="B196" s="57"/>
      <c r="C196" s="58"/>
      <c r="D196" s="59"/>
      <c r="E196" s="60"/>
      <c r="F196" s="61"/>
      <c r="G196" s="61"/>
      <c r="H196" s="61"/>
      <c r="I196" s="61"/>
      <c r="J196" s="62"/>
      <c r="K196" s="28"/>
      <c r="L196" s="69"/>
      <c r="M196" s="29"/>
      <c r="N196" s="71"/>
      <c r="O196" s="35"/>
      <c r="P196" s="16"/>
      <c r="Q196" s="57"/>
      <c r="R196" s="58"/>
      <c r="S196" s="58"/>
      <c r="T196" s="58"/>
      <c r="U196" s="58"/>
      <c r="V196" s="73"/>
      <c r="W196" s="74"/>
      <c r="X196" s="75"/>
      <c r="Y196" s="76"/>
      <c r="Z196" s="74"/>
      <c r="AA196" s="61"/>
      <c r="AB196" s="77"/>
      <c r="AC196" s="35"/>
      <c r="AD196" s="15"/>
      <c r="AE196" s="15"/>
      <c r="AF196" s="15"/>
      <c r="AG196" s="15"/>
      <c r="AH196" s="15"/>
      <c r="AI196" s="15"/>
      <c r="AJ196" s="16"/>
      <c r="AK196" s="32"/>
      <c r="AL196" s="15"/>
      <c r="AM196" s="15"/>
      <c r="AN196" s="16"/>
    </row>
    <row r="197" spans="1:40" x14ac:dyDescent="0.45">
      <c r="A197" s="19">
        <v>185</v>
      </c>
      <c r="B197" s="57"/>
      <c r="C197" s="58"/>
      <c r="D197" s="59"/>
      <c r="E197" s="60"/>
      <c r="F197" s="61"/>
      <c r="G197" s="61"/>
      <c r="H197" s="61"/>
      <c r="I197" s="61"/>
      <c r="J197" s="62"/>
      <c r="K197" s="28"/>
      <c r="L197" s="69"/>
      <c r="M197" s="29"/>
      <c r="N197" s="71"/>
      <c r="O197" s="35"/>
      <c r="P197" s="16"/>
      <c r="Q197" s="57"/>
      <c r="R197" s="58"/>
      <c r="S197" s="58"/>
      <c r="T197" s="58"/>
      <c r="U197" s="58"/>
      <c r="V197" s="73"/>
      <c r="W197" s="74"/>
      <c r="X197" s="75"/>
      <c r="Y197" s="76"/>
      <c r="Z197" s="74"/>
      <c r="AA197" s="61"/>
      <c r="AB197" s="77"/>
      <c r="AC197" s="35"/>
      <c r="AD197" s="15"/>
      <c r="AE197" s="15"/>
      <c r="AF197" s="15"/>
      <c r="AG197" s="15"/>
      <c r="AH197" s="15"/>
      <c r="AI197" s="15"/>
      <c r="AJ197" s="16"/>
      <c r="AK197" s="32"/>
      <c r="AL197" s="15"/>
      <c r="AM197" s="15"/>
      <c r="AN197" s="16"/>
    </row>
    <row r="198" spans="1:40" x14ac:dyDescent="0.45">
      <c r="A198" s="19">
        <v>186</v>
      </c>
      <c r="B198" s="57"/>
      <c r="C198" s="58"/>
      <c r="D198" s="59"/>
      <c r="E198" s="60"/>
      <c r="F198" s="61"/>
      <c r="G198" s="61"/>
      <c r="H198" s="61"/>
      <c r="I198" s="61"/>
      <c r="J198" s="62"/>
      <c r="K198" s="28"/>
      <c r="L198" s="69"/>
      <c r="M198" s="29"/>
      <c r="N198" s="71"/>
      <c r="O198" s="35"/>
      <c r="P198" s="16"/>
      <c r="Q198" s="57"/>
      <c r="R198" s="58"/>
      <c r="S198" s="58"/>
      <c r="T198" s="58"/>
      <c r="U198" s="58"/>
      <c r="V198" s="73"/>
      <c r="W198" s="74"/>
      <c r="X198" s="75"/>
      <c r="Y198" s="76"/>
      <c r="Z198" s="74"/>
      <c r="AA198" s="61"/>
      <c r="AB198" s="77"/>
      <c r="AC198" s="35"/>
      <c r="AD198" s="15"/>
      <c r="AE198" s="15"/>
      <c r="AF198" s="15"/>
      <c r="AG198" s="15"/>
      <c r="AH198" s="15"/>
      <c r="AI198" s="15"/>
      <c r="AJ198" s="16"/>
      <c r="AK198" s="32"/>
      <c r="AL198" s="15"/>
      <c r="AM198" s="15"/>
      <c r="AN198" s="16"/>
    </row>
    <row r="199" spans="1:40" x14ac:dyDescent="0.45">
      <c r="A199" s="19">
        <v>187</v>
      </c>
      <c r="B199" s="57"/>
      <c r="C199" s="58"/>
      <c r="D199" s="59"/>
      <c r="E199" s="60"/>
      <c r="F199" s="61"/>
      <c r="G199" s="61"/>
      <c r="H199" s="61"/>
      <c r="I199" s="61"/>
      <c r="J199" s="62"/>
      <c r="K199" s="28"/>
      <c r="L199" s="69"/>
      <c r="M199" s="29"/>
      <c r="N199" s="71"/>
      <c r="O199" s="35"/>
      <c r="P199" s="16"/>
      <c r="Q199" s="57"/>
      <c r="R199" s="58"/>
      <c r="S199" s="58"/>
      <c r="T199" s="58"/>
      <c r="U199" s="58"/>
      <c r="V199" s="73"/>
      <c r="W199" s="74"/>
      <c r="X199" s="75"/>
      <c r="Y199" s="76"/>
      <c r="Z199" s="74"/>
      <c r="AA199" s="61"/>
      <c r="AB199" s="77"/>
      <c r="AC199" s="35"/>
      <c r="AD199" s="15"/>
      <c r="AE199" s="15"/>
      <c r="AF199" s="15"/>
      <c r="AG199" s="15"/>
      <c r="AH199" s="15"/>
      <c r="AI199" s="15"/>
      <c r="AJ199" s="16"/>
      <c r="AK199" s="32"/>
      <c r="AL199" s="15"/>
      <c r="AM199" s="15"/>
      <c r="AN199" s="16"/>
    </row>
    <row r="200" spans="1:40" x14ac:dyDescent="0.45">
      <c r="A200" s="19">
        <v>188</v>
      </c>
      <c r="B200" s="57"/>
      <c r="C200" s="58"/>
      <c r="D200" s="59"/>
      <c r="E200" s="60"/>
      <c r="F200" s="61"/>
      <c r="G200" s="61"/>
      <c r="H200" s="61"/>
      <c r="I200" s="61"/>
      <c r="J200" s="62"/>
      <c r="K200" s="28"/>
      <c r="L200" s="69"/>
      <c r="M200" s="29"/>
      <c r="N200" s="71"/>
      <c r="O200" s="35"/>
      <c r="P200" s="16"/>
      <c r="Q200" s="57"/>
      <c r="R200" s="58"/>
      <c r="S200" s="58"/>
      <c r="T200" s="58"/>
      <c r="U200" s="58"/>
      <c r="V200" s="73"/>
      <c r="W200" s="74"/>
      <c r="X200" s="75"/>
      <c r="Y200" s="76"/>
      <c r="Z200" s="74"/>
      <c r="AA200" s="61"/>
      <c r="AB200" s="77"/>
      <c r="AC200" s="35"/>
      <c r="AD200" s="15"/>
      <c r="AE200" s="15"/>
      <c r="AF200" s="15"/>
      <c r="AG200" s="15"/>
      <c r="AH200" s="15"/>
      <c r="AI200" s="15"/>
      <c r="AJ200" s="16"/>
      <c r="AK200" s="32"/>
      <c r="AL200" s="15"/>
      <c r="AM200" s="15"/>
      <c r="AN200" s="16"/>
    </row>
    <row r="201" spans="1:40" x14ac:dyDescent="0.45">
      <c r="A201" s="19">
        <v>189</v>
      </c>
      <c r="B201" s="57"/>
      <c r="C201" s="58"/>
      <c r="D201" s="59"/>
      <c r="E201" s="60"/>
      <c r="F201" s="61"/>
      <c r="G201" s="61"/>
      <c r="H201" s="61"/>
      <c r="I201" s="61"/>
      <c r="J201" s="62"/>
      <c r="K201" s="28"/>
      <c r="L201" s="69"/>
      <c r="M201" s="29"/>
      <c r="N201" s="71"/>
      <c r="O201" s="35"/>
      <c r="P201" s="16"/>
      <c r="Q201" s="57"/>
      <c r="R201" s="58"/>
      <c r="S201" s="58"/>
      <c r="T201" s="58"/>
      <c r="U201" s="58"/>
      <c r="V201" s="73"/>
      <c r="W201" s="74"/>
      <c r="X201" s="75"/>
      <c r="Y201" s="76"/>
      <c r="Z201" s="74"/>
      <c r="AA201" s="61"/>
      <c r="AB201" s="77"/>
      <c r="AC201" s="35"/>
      <c r="AD201" s="15"/>
      <c r="AE201" s="15"/>
      <c r="AF201" s="15"/>
      <c r="AG201" s="15"/>
      <c r="AH201" s="15"/>
      <c r="AI201" s="15"/>
      <c r="AJ201" s="16"/>
      <c r="AK201" s="32"/>
      <c r="AL201" s="15"/>
      <c r="AM201" s="15"/>
      <c r="AN201" s="16"/>
    </row>
    <row r="202" spans="1:40" x14ac:dyDescent="0.45">
      <c r="A202" s="19">
        <v>190</v>
      </c>
      <c r="B202" s="57"/>
      <c r="C202" s="58"/>
      <c r="D202" s="59"/>
      <c r="E202" s="60"/>
      <c r="F202" s="61"/>
      <c r="G202" s="61"/>
      <c r="H202" s="61"/>
      <c r="I202" s="61"/>
      <c r="J202" s="62"/>
      <c r="K202" s="28"/>
      <c r="L202" s="69"/>
      <c r="M202" s="29"/>
      <c r="N202" s="71"/>
      <c r="O202" s="35"/>
      <c r="P202" s="16"/>
      <c r="Q202" s="57"/>
      <c r="R202" s="58"/>
      <c r="S202" s="58"/>
      <c r="T202" s="58"/>
      <c r="U202" s="58"/>
      <c r="V202" s="73"/>
      <c r="W202" s="74"/>
      <c r="X202" s="75"/>
      <c r="Y202" s="76"/>
      <c r="Z202" s="74"/>
      <c r="AA202" s="61"/>
      <c r="AB202" s="77"/>
      <c r="AC202" s="35"/>
      <c r="AD202" s="15"/>
      <c r="AE202" s="15"/>
      <c r="AF202" s="15"/>
      <c r="AG202" s="15"/>
      <c r="AH202" s="15"/>
      <c r="AI202" s="15"/>
      <c r="AJ202" s="16"/>
      <c r="AK202" s="32"/>
      <c r="AL202" s="15"/>
      <c r="AM202" s="15"/>
      <c r="AN202" s="16"/>
    </row>
    <row r="203" spans="1:40" x14ac:dyDescent="0.45">
      <c r="A203" s="19">
        <v>191</v>
      </c>
      <c r="B203" s="57"/>
      <c r="C203" s="58"/>
      <c r="D203" s="59"/>
      <c r="E203" s="60"/>
      <c r="F203" s="61"/>
      <c r="G203" s="61"/>
      <c r="H203" s="61"/>
      <c r="I203" s="61"/>
      <c r="J203" s="62"/>
      <c r="K203" s="28"/>
      <c r="L203" s="69"/>
      <c r="M203" s="29"/>
      <c r="N203" s="71"/>
      <c r="O203" s="35"/>
      <c r="P203" s="16"/>
      <c r="Q203" s="57"/>
      <c r="R203" s="58"/>
      <c r="S203" s="58"/>
      <c r="T203" s="58"/>
      <c r="U203" s="58"/>
      <c r="V203" s="73"/>
      <c r="W203" s="74"/>
      <c r="X203" s="75"/>
      <c r="Y203" s="76"/>
      <c r="Z203" s="74"/>
      <c r="AA203" s="61"/>
      <c r="AB203" s="77"/>
      <c r="AC203" s="35"/>
      <c r="AD203" s="15"/>
      <c r="AE203" s="15"/>
      <c r="AF203" s="15"/>
      <c r="AG203" s="15"/>
      <c r="AH203" s="15"/>
      <c r="AI203" s="15"/>
      <c r="AJ203" s="16"/>
      <c r="AK203" s="32"/>
      <c r="AL203" s="15"/>
      <c r="AM203" s="15"/>
      <c r="AN203" s="16"/>
    </row>
    <row r="204" spans="1:40" x14ac:dyDescent="0.45">
      <c r="A204" s="19">
        <v>192</v>
      </c>
      <c r="B204" s="57"/>
      <c r="C204" s="58"/>
      <c r="D204" s="59"/>
      <c r="E204" s="60"/>
      <c r="F204" s="61"/>
      <c r="G204" s="61"/>
      <c r="H204" s="61"/>
      <c r="I204" s="61"/>
      <c r="J204" s="62"/>
      <c r="K204" s="28"/>
      <c r="L204" s="69"/>
      <c r="M204" s="29"/>
      <c r="N204" s="71"/>
      <c r="O204" s="35"/>
      <c r="P204" s="16"/>
      <c r="Q204" s="57"/>
      <c r="R204" s="58"/>
      <c r="S204" s="58"/>
      <c r="T204" s="58"/>
      <c r="U204" s="58"/>
      <c r="V204" s="73"/>
      <c r="W204" s="74"/>
      <c r="X204" s="75"/>
      <c r="Y204" s="76"/>
      <c r="Z204" s="74"/>
      <c r="AA204" s="61"/>
      <c r="AB204" s="77"/>
      <c r="AC204" s="35"/>
      <c r="AD204" s="15"/>
      <c r="AE204" s="15"/>
      <c r="AF204" s="15"/>
      <c r="AG204" s="15"/>
      <c r="AH204" s="15"/>
      <c r="AI204" s="15"/>
      <c r="AJ204" s="16"/>
      <c r="AK204" s="32"/>
      <c r="AL204" s="15"/>
      <c r="AM204" s="15"/>
      <c r="AN204" s="16"/>
    </row>
    <row r="205" spans="1:40" x14ac:dyDescent="0.45">
      <c r="A205" s="19">
        <v>193</v>
      </c>
      <c r="B205" s="57"/>
      <c r="C205" s="58"/>
      <c r="D205" s="59"/>
      <c r="E205" s="60"/>
      <c r="F205" s="61"/>
      <c r="G205" s="61"/>
      <c r="H205" s="61"/>
      <c r="I205" s="61"/>
      <c r="J205" s="62"/>
      <c r="K205" s="28"/>
      <c r="L205" s="69"/>
      <c r="M205" s="29"/>
      <c r="N205" s="71"/>
      <c r="O205" s="35"/>
      <c r="P205" s="16"/>
      <c r="Q205" s="57"/>
      <c r="R205" s="58"/>
      <c r="S205" s="58"/>
      <c r="T205" s="58"/>
      <c r="U205" s="58"/>
      <c r="V205" s="73"/>
      <c r="W205" s="74"/>
      <c r="X205" s="75"/>
      <c r="Y205" s="76"/>
      <c r="Z205" s="74"/>
      <c r="AA205" s="61"/>
      <c r="AB205" s="77"/>
      <c r="AC205" s="35"/>
      <c r="AD205" s="15"/>
      <c r="AE205" s="15"/>
      <c r="AF205" s="15"/>
      <c r="AG205" s="15"/>
      <c r="AH205" s="15"/>
      <c r="AI205" s="15"/>
      <c r="AJ205" s="16"/>
      <c r="AK205" s="32"/>
      <c r="AL205" s="15"/>
      <c r="AM205" s="15"/>
      <c r="AN205" s="16"/>
    </row>
    <row r="206" spans="1:40" x14ac:dyDescent="0.45">
      <c r="A206" s="19">
        <v>194</v>
      </c>
      <c r="B206" s="57"/>
      <c r="C206" s="58"/>
      <c r="D206" s="59"/>
      <c r="E206" s="60"/>
      <c r="F206" s="61"/>
      <c r="G206" s="61"/>
      <c r="H206" s="61"/>
      <c r="I206" s="61"/>
      <c r="J206" s="62"/>
      <c r="K206" s="28"/>
      <c r="L206" s="69"/>
      <c r="M206" s="29"/>
      <c r="N206" s="71"/>
      <c r="O206" s="35"/>
      <c r="P206" s="16"/>
      <c r="Q206" s="57"/>
      <c r="R206" s="58"/>
      <c r="S206" s="58"/>
      <c r="T206" s="58"/>
      <c r="U206" s="58"/>
      <c r="V206" s="73"/>
      <c r="W206" s="74"/>
      <c r="X206" s="75"/>
      <c r="Y206" s="76"/>
      <c r="Z206" s="74"/>
      <c r="AA206" s="61"/>
      <c r="AB206" s="77"/>
      <c r="AC206" s="35"/>
      <c r="AD206" s="15"/>
      <c r="AE206" s="15"/>
      <c r="AF206" s="15"/>
      <c r="AG206" s="15"/>
      <c r="AH206" s="15"/>
      <c r="AI206" s="15"/>
      <c r="AJ206" s="16"/>
      <c r="AK206" s="32"/>
      <c r="AL206" s="15"/>
      <c r="AM206" s="15"/>
      <c r="AN206" s="16"/>
    </row>
    <row r="207" spans="1:40" x14ac:dyDescent="0.45">
      <c r="A207" s="19">
        <v>195</v>
      </c>
      <c r="B207" s="57"/>
      <c r="C207" s="58"/>
      <c r="D207" s="59"/>
      <c r="E207" s="60"/>
      <c r="F207" s="61"/>
      <c r="G207" s="61"/>
      <c r="H207" s="61"/>
      <c r="I207" s="61"/>
      <c r="J207" s="62"/>
      <c r="K207" s="28"/>
      <c r="L207" s="69"/>
      <c r="M207" s="29"/>
      <c r="N207" s="71"/>
      <c r="O207" s="35"/>
      <c r="P207" s="16"/>
      <c r="Q207" s="57"/>
      <c r="R207" s="58"/>
      <c r="S207" s="58"/>
      <c r="T207" s="58"/>
      <c r="U207" s="58"/>
      <c r="V207" s="73"/>
      <c r="W207" s="74"/>
      <c r="X207" s="75"/>
      <c r="Y207" s="76"/>
      <c r="Z207" s="74"/>
      <c r="AA207" s="61"/>
      <c r="AB207" s="77"/>
      <c r="AC207" s="35"/>
      <c r="AD207" s="15"/>
      <c r="AE207" s="15"/>
      <c r="AF207" s="15"/>
      <c r="AG207" s="15"/>
      <c r="AH207" s="15"/>
      <c r="AI207" s="15"/>
      <c r="AJ207" s="16"/>
      <c r="AK207" s="32"/>
      <c r="AL207" s="15"/>
      <c r="AM207" s="15"/>
      <c r="AN207" s="16"/>
    </row>
    <row r="208" spans="1:40" x14ac:dyDescent="0.45">
      <c r="A208" s="19">
        <v>196</v>
      </c>
      <c r="B208" s="57"/>
      <c r="C208" s="58"/>
      <c r="D208" s="59"/>
      <c r="E208" s="60"/>
      <c r="F208" s="61"/>
      <c r="G208" s="61"/>
      <c r="H208" s="61"/>
      <c r="I208" s="61"/>
      <c r="J208" s="62"/>
      <c r="K208" s="28"/>
      <c r="L208" s="69"/>
      <c r="M208" s="29"/>
      <c r="N208" s="71"/>
      <c r="O208" s="35"/>
      <c r="P208" s="16"/>
      <c r="Q208" s="57"/>
      <c r="R208" s="58"/>
      <c r="S208" s="58"/>
      <c r="T208" s="58"/>
      <c r="U208" s="58"/>
      <c r="V208" s="73"/>
      <c r="W208" s="74"/>
      <c r="X208" s="75"/>
      <c r="Y208" s="76"/>
      <c r="Z208" s="74"/>
      <c r="AA208" s="61"/>
      <c r="AB208" s="77"/>
      <c r="AC208" s="35"/>
      <c r="AD208" s="15"/>
      <c r="AE208" s="15"/>
      <c r="AF208" s="15"/>
      <c r="AG208" s="15"/>
      <c r="AH208" s="15"/>
      <c r="AI208" s="15"/>
      <c r="AJ208" s="16"/>
      <c r="AK208" s="32"/>
      <c r="AL208" s="15"/>
      <c r="AM208" s="15"/>
      <c r="AN208" s="16"/>
    </row>
    <row r="209" spans="1:40" x14ac:dyDescent="0.45">
      <c r="A209" s="19">
        <v>197</v>
      </c>
      <c r="B209" s="57"/>
      <c r="C209" s="58"/>
      <c r="D209" s="59"/>
      <c r="E209" s="60"/>
      <c r="F209" s="61"/>
      <c r="G209" s="61"/>
      <c r="H209" s="61"/>
      <c r="I209" s="61"/>
      <c r="J209" s="62"/>
      <c r="K209" s="28"/>
      <c r="L209" s="69"/>
      <c r="M209" s="29"/>
      <c r="N209" s="71"/>
      <c r="O209" s="35"/>
      <c r="P209" s="16"/>
      <c r="Q209" s="57"/>
      <c r="R209" s="58"/>
      <c r="S209" s="58"/>
      <c r="T209" s="58"/>
      <c r="U209" s="58"/>
      <c r="V209" s="73"/>
      <c r="W209" s="74"/>
      <c r="X209" s="75"/>
      <c r="Y209" s="76"/>
      <c r="Z209" s="74"/>
      <c r="AA209" s="61"/>
      <c r="AB209" s="77"/>
      <c r="AC209" s="35"/>
      <c r="AD209" s="15"/>
      <c r="AE209" s="15"/>
      <c r="AF209" s="15"/>
      <c r="AG209" s="15"/>
      <c r="AH209" s="15"/>
      <c r="AI209" s="15"/>
      <c r="AJ209" s="16"/>
      <c r="AK209" s="32"/>
      <c r="AL209" s="15"/>
      <c r="AM209" s="15"/>
      <c r="AN209" s="16"/>
    </row>
    <row r="210" spans="1:40" x14ac:dyDescent="0.45">
      <c r="A210" s="19">
        <v>198</v>
      </c>
      <c r="B210" s="57"/>
      <c r="C210" s="58"/>
      <c r="D210" s="59"/>
      <c r="E210" s="60"/>
      <c r="F210" s="61"/>
      <c r="G210" s="61"/>
      <c r="H210" s="61"/>
      <c r="I210" s="61"/>
      <c r="J210" s="62"/>
      <c r="K210" s="28"/>
      <c r="L210" s="69"/>
      <c r="M210" s="29"/>
      <c r="N210" s="71"/>
      <c r="O210" s="35"/>
      <c r="P210" s="16"/>
      <c r="Q210" s="57"/>
      <c r="R210" s="58"/>
      <c r="S210" s="58"/>
      <c r="T210" s="58"/>
      <c r="U210" s="58"/>
      <c r="V210" s="73"/>
      <c r="W210" s="74"/>
      <c r="X210" s="75"/>
      <c r="Y210" s="76"/>
      <c r="Z210" s="74"/>
      <c r="AA210" s="61"/>
      <c r="AB210" s="77"/>
      <c r="AC210" s="35"/>
      <c r="AD210" s="15"/>
      <c r="AE210" s="15"/>
      <c r="AF210" s="15"/>
      <c r="AG210" s="15"/>
      <c r="AH210" s="15"/>
      <c r="AI210" s="15"/>
      <c r="AJ210" s="16"/>
      <c r="AK210" s="32"/>
      <c r="AL210" s="15"/>
      <c r="AM210" s="15"/>
      <c r="AN210" s="16"/>
    </row>
    <row r="211" spans="1:40" x14ac:dyDescent="0.45">
      <c r="A211" s="19">
        <v>199</v>
      </c>
      <c r="B211" s="57"/>
      <c r="C211" s="58"/>
      <c r="D211" s="59"/>
      <c r="E211" s="60"/>
      <c r="F211" s="61"/>
      <c r="G211" s="61"/>
      <c r="H211" s="61"/>
      <c r="I211" s="61"/>
      <c r="J211" s="62"/>
      <c r="K211" s="28"/>
      <c r="L211" s="69"/>
      <c r="M211" s="29"/>
      <c r="N211" s="71"/>
      <c r="O211" s="35"/>
      <c r="P211" s="16"/>
      <c r="Q211" s="57"/>
      <c r="R211" s="58"/>
      <c r="S211" s="58"/>
      <c r="T211" s="58"/>
      <c r="U211" s="58"/>
      <c r="V211" s="73"/>
      <c r="W211" s="74"/>
      <c r="X211" s="75"/>
      <c r="Y211" s="76"/>
      <c r="Z211" s="74"/>
      <c r="AA211" s="61"/>
      <c r="AB211" s="77"/>
      <c r="AC211" s="35"/>
      <c r="AD211" s="15"/>
      <c r="AE211" s="15"/>
      <c r="AF211" s="15"/>
      <c r="AG211" s="15"/>
      <c r="AH211" s="15"/>
      <c r="AI211" s="15"/>
      <c r="AJ211" s="16"/>
      <c r="AK211" s="32"/>
      <c r="AL211" s="15"/>
      <c r="AM211" s="15"/>
      <c r="AN211" s="16"/>
    </row>
    <row r="212" spans="1:40" x14ac:dyDescent="0.45">
      <c r="A212" s="19">
        <v>200</v>
      </c>
      <c r="B212" s="57"/>
      <c r="C212" s="58"/>
      <c r="D212" s="59"/>
      <c r="E212" s="60"/>
      <c r="F212" s="61"/>
      <c r="G212" s="61"/>
      <c r="H212" s="61"/>
      <c r="I212" s="61"/>
      <c r="J212" s="62"/>
      <c r="K212" s="28"/>
      <c r="L212" s="69"/>
      <c r="M212" s="29"/>
      <c r="N212" s="71"/>
      <c r="O212" s="35"/>
      <c r="P212" s="16"/>
      <c r="Q212" s="57"/>
      <c r="R212" s="58"/>
      <c r="S212" s="58"/>
      <c r="T212" s="58"/>
      <c r="U212" s="58"/>
      <c r="V212" s="73"/>
      <c r="W212" s="74"/>
      <c r="X212" s="75"/>
      <c r="Y212" s="76"/>
      <c r="Z212" s="74"/>
      <c r="AA212" s="61"/>
      <c r="AB212" s="77"/>
      <c r="AC212" s="35"/>
      <c r="AD212" s="15"/>
      <c r="AE212" s="15"/>
      <c r="AF212" s="15"/>
      <c r="AG212" s="15"/>
      <c r="AH212" s="15"/>
      <c r="AI212" s="15"/>
      <c r="AJ212" s="16"/>
      <c r="AK212" s="32"/>
      <c r="AL212" s="15"/>
      <c r="AM212" s="15"/>
      <c r="AN212" s="16"/>
    </row>
    <row r="213" spans="1:40" x14ac:dyDescent="0.45">
      <c r="B213" s="63"/>
      <c r="C213" s="64"/>
      <c r="D213" s="65"/>
      <c r="E213" s="66"/>
      <c r="F213" s="67"/>
      <c r="G213" s="67"/>
      <c r="H213" s="67"/>
      <c r="I213" s="67"/>
      <c r="J213" s="68"/>
      <c r="K213" s="30"/>
      <c r="L213" s="70"/>
      <c r="M213" s="31"/>
      <c r="N213" s="72"/>
      <c r="O213" s="36"/>
      <c r="P213" s="18"/>
      <c r="Q213" s="63"/>
      <c r="R213" s="64"/>
      <c r="S213" s="64"/>
      <c r="T213" s="64"/>
      <c r="U213" s="64"/>
      <c r="V213" s="64"/>
      <c r="W213" s="67"/>
      <c r="X213" s="67"/>
      <c r="Y213" s="78"/>
      <c r="Z213" s="78"/>
      <c r="AA213" s="78"/>
      <c r="AB213" s="79"/>
      <c r="AC213" s="37"/>
      <c r="AD213" s="17"/>
      <c r="AE213" s="17"/>
      <c r="AF213" s="17"/>
      <c r="AG213" s="17"/>
      <c r="AH213" s="17"/>
      <c r="AI213" s="17"/>
      <c r="AJ213" s="18"/>
      <c r="AK213" s="33"/>
      <c r="AL213" s="17"/>
      <c r="AM213" s="17"/>
      <c r="AN213" s="18"/>
    </row>
    <row r="214" spans="1:40" x14ac:dyDescent="0.45">
      <c r="E214" s="8"/>
    </row>
  </sheetData>
  <mergeCells count="48">
    <mergeCell ref="AD10:AD12"/>
    <mergeCell ref="AC10:AC12"/>
    <mergeCell ref="M10:M12"/>
    <mergeCell ref="O10:O12"/>
    <mergeCell ref="P10:P12"/>
    <mergeCell ref="Z9:Z12"/>
    <mergeCell ref="AA9:AA12"/>
    <mergeCell ref="AB9:AB12"/>
    <mergeCell ref="X9:X12"/>
    <mergeCell ref="N9:N12"/>
    <mergeCell ref="Y9:Y12"/>
    <mergeCell ref="AI10:AI12"/>
    <mergeCell ref="AH10:AH12"/>
    <mergeCell ref="AG10:AG12"/>
    <mergeCell ref="AF10:AF12"/>
    <mergeCell ref="AE10:AE12"/>
    <mergeCell ref="AN10:AN12"/>
    <mergeCell ref="AM10:AM12"/>
    <mergeCell ref="AL10:AL12"/>
    <mergeCell ref="AK10:AK12"/>
    <mergeCell ref="AJ10:AJ12"/>
    <mergeCell ref="N3:N4"/>
    <mergeCell ref="O3:P4"/>
    <mergeCell ref="Q3:AB4"/>
    <mergeCell ref="AC3:AJ4"/>
    <mergeCell ref="AK3:AN4"/>
    <mergeCell ref="Q5:T8"/>
    <mergeCell ref="T9:T12"/>
    <mergeCell ref="U9:U12"/>
    <mergeCell ref="V9:V12"/>
    <mergeCell ref="W9:W12"/>
    <mergeCell ref="Q9:Q12"/>
    <mergeCell ref="R9:R12"/>
    <mergeCell ref="S9:S12"/>
    <mergeCell ref="E3:J4"/>
    <mergeCell ref="K3:M4"/>
    <mergeCell ref="L9:L12"/>
    <mergeCell ref="B5:C8"/>
    <mergeCell ref="B9:B12"/>
    <mergeCell ref="C9:C12"/>
    <mergeCell ref="D9:D12"/>
    <mergeCell ref="B3:D4"/>
    <mergeCell ref="E9:E12"/>
    <mergeCell ref="F9:F12"/>
    <mergeCell ref="G9:G12"/>
    <mergeCell ref="H9:H12"/>
    <mergeCell ref="I9:I12"/>
    <mergeCell ref="J9:J12"/>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25683" r:id="rId4">
          <objectPr defaultSize="0" r:id="rId5">
            <anchor moveWithCells="1">
              <from>
                <xdr:col>31</xdr:col>
                <xdr:colOff>114300</xdr:colOff>
                <xdr:row>9</xdr:row>
                <xdr:rowOff>66675</xdr:rowOff>
              </from>
              <to>
                <xdr:col>31</xdr:col>
                <xdr:colOff>1514475</xdr:colOff>
                <xdr:row>11</xdr:row>
                <xdr:rowOff>171450</xdr:rowOff>
              </to>
            </anchor>
          </objectPr>
        </oleObject>
      </mc:Choice>
      <mc:Fallback>
        <oleObject progId="Equation.DSMT4" shapeId="25683" r:id="rId4"/>
      </mc:Fallback>
    </mc:AlternateContent>
    <mc:AlternateContent xmlns:mc="http://schemas.openxmlformats.org/markup-compatibility/2006">
      <mc:Choice Requires="x14">
        <oleObject progId="Equation.DSMT4" shapeId="25685" r:id="rId6">
          <objectPr defaultSize="0" r:id="rId7">
            <anchor moveWithCells="1">
              <from>
                <xdr:col>35</xdr:col>
                <xdr:colOff>85725</xdr:colOff>
                <xdr:row>9</xdr:row>
                <xdr:rowOff>57150</xdr:rowOff>
              </from>
              <to>
                <xdr:col>35</xdr:col>
                <xdr:colOff>1390650</xdr:colOff>
                <xdr:row>11</xdr:row>
                <xdr:rowOff>161925</xdr:rowOff>
              </to>
            </anchor>
          </objectPr>
        </oleObject>
      </mc:Choice>
      <mc:Fallback>
        <oleObject progId="Equation.DSMT4" shapeId="25685" r:id="rId6"/>
      </mc:Fallback>
    </mc:AlternateContent>
    <mc:AlternateContent xmlns:mc="http://schemas.openxmlformats.org/markup-compatibility/2006">
      <mc:Choice Requires="x14">
        <oleObject progId="Equation.DSMT4" shapeId="25687" r:id="rId8">
          <objectPr defaultSize="0" r:id="rId9">
            <anchor moveWithCells="1">
              <from>
                <xdr:col>34</xdr:col>
                <xdr:colOff>104775</xdr:colOff>
                <xdr:row>9</xdr:row>
                <xdr:rowOff>66675</xdr:rowOff>
              </from>
              <to>
                <xdr:col>34</xdr:col>
                <xdr:colOff>1485900</xdr:colOff>
                <xdr:row>11</xdr:row>
                <xdr:rowOff>180975</xdr:rowOff>
              </to>
            </anchor>
          </objectPr>
        </oleObject>
      </mc:Choice>
      <mc:Fallback>
        <oleObject progId="Equation.DSMT4" shapeId="25687" r:id="rId8"/>
      </mc:Fallback>
    </mc:AlternateContent>
    <mc:AlternateContent xmlns:mc="http://schemas.openxmlformats.org/markup-compatibility/2006">
      <mc:Choice Requires="x14">
        <oleObject progId="Equation.DSMT4" shapeId="25688" r:id="rId10">
          <objectPr defaultSize="0" r:id="rId11">
            <anchor moveWithCells="1">
              <from>
                <xdr:col>29</xdr:col>
                <xdr:colOff>133350</xdr:colOff>
                <xdr:row>9</xdr:row>
                <xdr:rowOff>180975</xdr:rowOff>
              </from>
              <to>
                <xdr:col>29</xdr:col>
                <xdr:colOff>1085850</xdr:colOff>
                <xdr:row>11</xdr:row>
                <xdr:rowOff>28575</xdr:rowOff>
              </to>
            </anchor>
          </objectPr>
        </oleObject>
      </mc:Choice>
      <mc:Fallback>
        <oleObject progId="Equation.DSMT4" shapeId="25688" r:id="rId10"/>
      </mc:Fallback>
    </mc:AlternateContent>
    <mc:AlternateContent xmlns:mc="http://schemas.openxmlformats.org/markup-compatibility/2006">
      <mc:Choice Requires="x14">
        <oleObject progId="Equation.DSMT4" shapeId="25689" r:id="rId12">
          <objectPr defaultSize="0" autoPict="0" r:id="rId13">
            <anchor moveWithCells="1">
              <from>
                <xdr:col>30</xdr:col>
                <xdr:colOff>142875</xdr:colOff>
                <xdr:row>9</xdr:row>
                <xdr:rowOff>28575</xdr:rowOff>
              </from>
              <to>
                <xdr:col>30</xdr:col>
                <xdr:colOff>1362075</xdr:colOff>
                <xdr:row>11</xdr:row>
                <xdr:rowOff>152400</xdr:rowOff>
              </to>
            </anchor>
          </objectPr>
        </oleObject>
      </mc:Choice>
      <mc:Fallback>
        <oleObject progId="Equation.DSMT4" shapeId="25689" r:id="rId12"/>
      </mc:Fallback>
    </mc:AlternateContent>
    <mc:AlternateContent xmlns:mc="http://schemas.openxmlformats.org/markup-compatibility/2006">
      <mc:Choice Requires="x14">
        <oleObject progId="Equation.DSMT4" shapeId="25690" r:id="rId14">
          <objectPr defaultSize="0" r:id="rId15">
            <anchor moveWithCells="1">
              <from>
                <xdr:col>32</xdr:col>
                <xdr:colOff>133350</xdr:colOff>
                <xdr:row>9</xdr:row>
                <xdr:rowOff>57150</xdr:rowOff>
              </from>
              <to>
                <xdr:col>32</xdr:col>
                <xdr:colOff>1400175</xdr:colOff>
                <xdr:row>12</xdr:row>
                <xdr:rowOff>9525</xdr:rowOff>
              </to>
            </anchor>
          </objectPr>
        </oleObject>
      </mc:Choice>
      <mc:Fallback>
        <oleObject progId="Equation.DSMT4" shapeId="25690" r:id="rId14"/>
      </mc:Fallback>
    </mc:AlternateContent>
    <mc:AlternateContent xmlns:mc="http://schemas.openxmlformats.org/markup-compatibility/2006">
      <mc:Choice Requires="x14">
        <oleObject progId="Equation.DSMT4" shapeId="25691" r:id="rId16">
          <objectPr defaultSize="0" r:id="rId17">
            <anchor moveWithCells="1">
              <from>
                <xdr:col>33</xdr:col>
                <xdr:colOff>85725</xdr:colOff>
                <xdr:row>10</xdr:row>
                <xdr:rowOff>47625</xdr:rowOff>
              </from>
              <to>
                <xdr:col>33</xdr:col>
                <xdr:colOff>2162175</xdr:colOff>
                <xdr:row>11</xdr:row>
                <xdr:rowOff>76200</xdr:rowOff>
              </to>
            </anchor>
          </objectPr>
        </oleObject>
      </mc:Choice>
      <mc:Fallback>
        <oleObject progId="Equation.DSMT4" shapeId="25691" r:id="rId16"/>
      </mc:Fallback>
    </mc:AlternateContent>
    <mc:AlternateContent xmlns:mc="http://schemas.openxmlformats.org/markup-compatibility/2006">
      <mc:Choice Requires="x14">
        <oleObject progId="Equation.DSMT4" shapeId="25698" r:id="rId18">
          <objectPr defaultSize="0" r:id="rId19">
            <anchor moveWithCells="1">
              <from>
                <xdr:col>28</xdr:col>
                <xdr:colOff>114300</xdr:colOff>
                <xdr:row>9</xdr:row>
                <xdr:rowOff>66675</xdr:rowOff>
              </from>
              <to>
                <xdr:col>28</xdr:col>
                <xdr:colOff>2362200</xdr:colOff>
                <xdr:row>11</xdr:row>
                <xdr:rowOff>142875</xdr:rowOff>
              </to>
            </anchor>
          </objectPr>
        </oleObject>
      </mc:Choice>
      <mc:Fallback>
        <oleObject progId="Equation.DSMT4" shapeId="25698" r:id="rId18"/>
      </mc:Fallback>
    </mc:AlternateContent>
    <mc:AlternateContent xmlns:mc="http://schemas.openxmlformats.org/markup-compatibility/2006">
      <mc:Choice Requires="x14">
        <oleObject progId="Equation.DSMT4" shapeId="25699" r:id="rId20">
          <objectPr defaultSize="0" r:id="rId21">
            <anchor moveWithCells="1">
              <from>
                <xdr:col>14</xdr:col>
                <xdr:colOff>209550</xdr:colOff>
                <xdr:row>9</xdr:row>
                <xdr:rowOff>133350</xdr:rowOff>
              </from>
              <to>
                <xdr:col>14</xdr:col>
                <xdr:colOff>1009650</xdr:colOff>
                <xdr:row>11</xdr:row>
                <xdr:rowOff>19050</xdr:rowOff>
              </to>
            </anchor>
          </objectPr>
        </oleObject>
      </mc:Choice>
      <mc:Fallback>
        <oleObject progId="Equation.DSMT4" shapeId="25699" r:id="rId20"/>
      </mc:Fallback>
    </mc:AlternateContent>
    <mc:AlternateContent xmlns:mc="http://schemas.openxmlformats.org/markup-compatibility/2006">
      <mc:Choice Requires="x14">
        <oleObject progId="Equation.DSMT4" shapeId="25700" r:id="rId22">
          <objectPr defaultSize="0" autoPict="0" r:id="rId23">
            <anchor moveWithCells="1">
              <from>
                <xdr:col>15</xdr:col>
                <xdr:colOff>114300</xdr:colOff>
                <xdr:row>9</xdr:row>
                <xdr:rowOff>0</xdr:rowOff>
              </from>
              <to>
                <xdr:col>15</xdr:col>
                <xdr:colOff>1485900</xdr:colOff>
                <xdr:row>12</xdr:row>
                <xdr:rowOff>19050</xdr:rowOff>
              </to>
            </anchor>
          </objectPr>
        </oleObject>
      </mc:Choice>
      <mc:Fallback>
        <oleObject progId="Equation.DSMT4" shapeId="25700" r:id="rId22"/>
      </mc:Fallback>
    </mc:AlternateContent>
    <mc:AlternateContent xmlns:mc="http://schemas.openxmlformats.org/markup-compatibility/2006">
      <mc:Choice Requires="x14">
        <oleObject progId="Equation.DSMT4" shapeId="25702" r:id="rId24">
          <objectPr defaultSize="0" r:id="rId25">
            <anchor moveWithCells="1">
              <from>
                <xdr:col>37</xdr:col>
                <xdr:colOff>114300</xdr:colOff>
                <xdr:row>9</xdr:row>
                <xdr:rowOff>95250</xdr:rowOff>
              </from>
              <to>
                <xdr:col>37</xdr:col>
                <xdr:colOff>1152525</xdr:colOff>
                <xdr:row>11</xdr:row>
                <xdr:rowOff>123825</xdr:rowOff>
              </to>
            </anchor>
          </objectPr>
        </oleObject>
      </mc:Choice>
      <mc:Fallback>
        <oleObject progId="Equation.DSMT4" shapeId="25702" r:id="rId24"/>
      </mc:Fallback>
    </mc:AlternateContent>
    <mc:AlternateContent xmlns:mc="http://schemas.openxmlformats.org/markup-compatibility/2006">
      <mc:Choice Requires="x14">
        <oleObject progId="Equation.DSMT4" shapeId="25703" r:id="rId26">
          <objectPr defaultSize="0" r:id="rId27">
            <anchor moveWithCells="1">
              <from>
                <xdr:col>38</xdr:col>
                <xdr:colOff>114300</xdr:colOff>
                <xdr:row>9</xdr:row>
                <xdr:rowOff>104775</xdr:rowOff>
              </from>
              <to>
                <xdr:col>38</xdr:col>
                <xdr:colOff>971550</xdr:colOff>
                <xdr:row>11</xdr:row>
                <xdr:rowOff>171450</xdr:rowOff>
              </to>
            </anchor>
          </objectPr>
        </oleObject>
      </mc:Choice>
      <mc:Fallback>
        <oleObject progId="Equation.DSMT4" shapeId="25703" r:id="rId26"/>
      </mc:Fallback>
    </mc:AlternateContent>
    <mc:AlternateContent xmlns:mc="http://schemas.openxmlformats.org/markup-compatibility/2006">
      <mc:Choice Requires="x14">
        <oleObject progId="Equation.DSMT4" shapeId="25704" r:id="rId28">
          <objectPr defaultSize="0" r:id="rId29">
            <anchor moveWithCells="1">
              <from>
                <xdr:col>39</xdr:col>
                <xdr:colOff>285750</xdr:colOff>
                <xdr:row>9</xdr:row>
                <xdr:rowOff>114300</xdr:rowOff>
              </from>
              <to>
                <xdr:col>39</xdr:col>
                <xdr:colOff>819150</xdr:colOff>
                <xdr:row>11</xdr:row>
                <xdr:rowOff>142875</xdr:rowOff>
              </to>
            </anchor>
          </objectPr>
        </oleObject>
      </mc:Choice>
      <mc:Fallback>
        <oleObject progId="Equation.DSMT4" shapeId="25704" r:id="rId28"/>
      </mc:Fallback>
    </mc:AlternateContent>
    <mc:AlternateContent xmlns:mc="http://schemas.openxmlformats.org/markup-compatibility/2006">
      <mc:Choice Requires="x14">
        <oleObject progId="Equation.DSMT4" shapeId="25705" r:id="rId30">
          <objectPr defaultSize="0" autoPict="0" r:id="rId31">
            <anchor moveWithCells="1">
              <from>
                <xdr:col>10</xdr:col>
                <xdr:colOff>57150</xdr:colOff>
                <xdr:row>9</xdr:row>
                <xdr:rowOff>76200</xdr:rowOff>
              </from>
              <to>
                <xdr:col>10</xdr:col>
                <xdr:colOff>1571625</xdr:colOff>
                <xdr:row>11</xdr:row>
                <xdr:rowOff>114300</xdr:rowOff>
              </to>
            </anchor>
          </objectPr>
        </oleObject>
      </mc:Choice>
      <mc:Fallback>
        <oleObject progId="Equation.DSMT4" shapeId="25705" r:id="rId30"/>
      </mc:Fallback>
    </mc:AlternateContent>
    <mc:AlternateContent xmlns:mc="http://schemas.openxmlformats.org/markup-compatibility/2006">
      <mc:Choice Requires="x14">
        <oleObject progId="Equation.DSMT4" shapeId="25706" r:id="rId32">
          <objectPr defaultSize="0" r:id="rId33">
            <anchor moveWithCells="1">
              <from>
                <xdr:col>12</xdr:col>
                <xdr:colOff>114300</xdr:colOff>
                <xdr:row>9</xdr:row>
                <xdr:rowOff>47625</xdr:rowOff>
              </from>
              <to>
                <xdr:col>12</xdr:col>
                <xdr:colOff>2133600</xdr:colOff>
                <xdr:row>11</xdr:row>
                <xdr:rowOff>142875</xdr:rowOff>
              </to>
            </anchor>
          </objectPr>
        </oleObject>
      </mc:Choice>
      <mc:Fallback>
        <oleObject progId="Equation.DSMT4" shapeId="25706" r:id="rId32"/>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6350-AC8F-4272-BDA8-57B6A0F9A20E}">
  <dimension ref="A1:AX160"/>
  <sheetViews>
    <sheetView showGridLines="0" zoomScale="115" zoomScaleNormal="115" workbookViewId="0">
      <pane ySplit="1" topLeftCell="A2" activePane="bottomLeft" state="frozen"/>
      <selection pane="bottomLeft" activeCell="A2" sqref="A2"/>
    </sheetView>
  </sheetViews>
  <sheetFormatPr defaultColWidth="11.265625" defaultRowHeight="15.4" x14ac:dyDescent="0.45"/>
  <cols>
    <col min="1" max="1" width="8.59765625" style="38" bestFit="1" customWidth="1"/>
    <col min="2" max="2" width="11.265625" style="38" bestFit="1" customWidth="1"/>
    <col min="3" max="3" width="8.73046875" style="38" bestFit="1" customWidth="1"/>
    <col min="4" max="4" width="8.86328125" style="38" bestFit="1" customWidth="1"/>
    <col min="5" max="5" width="13.59765625" style="38" bestFit="1" customWidth="1"/>
    <col min="6" max="6" width="16.3984375" style="38" bestFit="1" customWidth="1"/>
    <col min="7" max="7" width="13.73046875" style="38" bestFit="1" customWidth="1"/>
    <col min="8" max="8" width="15.59765625" style="38" bestFit="1" customWidth="1"/>
    <col min="9" max="9" width="8.265625" style="38" bestFit="1" customWidth="1"/>
    <col min="10" max="10" width="7.59765625" style="38" bestFit="1" customWidth="1"/>
    <col min="11" max="11" width="11" style="38" bestFit="1" customWidth="1"/>
    <col min="12" max="12" width="11.265625" style="38" bestFit="1" customWidth="1"/>
    <col min="13" max="13" width="10.1328125" style="38" bestFit="1" customWidth="1"/>
    <col min="14" max="14" width="11.265625" style="38"/>
    <col min="15" max="15" width="8.265625" style="38" bestFit="1" customWidth="1"/>
    <col min="16" max="16" width="9.265625" style="38" bestFit="1" customWidth="1"/>
    <col min="17" max="17" width="8.59765625" style="38" bestFit="1" customWidth="1"/>
    <col min="18" max="19" width="8.1328125" style="38" bestFit="1" customWidth="1"/>
    <col min="20" max="21" width="11.265625" style="38"/>
    <col min="22" max="22" width="11" style="38" bestFit="1" customWidth="1"/>
    <col min="23" max="23" width="8.1328125" style="38" bestFit="1" customWidth="1"/>
    <col min="24" max="24" width="8.73046875" style="38" bestFit="1" customWidth="1"/>
    <col min="25" max="25" width="10.1328125" style="38" bestFit="1" customWidth="1"/>
    <col min="26" max="27" width="8.1328125" style="38" bestFit="1" customWidth="1"/>
    <col min="28" max="28" width="8.73046875" style="38" bestFit="1" customWidth="1"/>
    <col min="29" max="29" width="10.86328125" style="38" bestFit="1" customWidth="1"/>
    <col min="30" max="30" width="10.1328125" style="38" bestFit="1" customWidth="1"/>
    <col min="31" max="31" width="10.265625" style="38" bestFit="1" customWidth="1"/>
    <col min="32" max="32" width="10.59765625" style="38" bestFit="1" customWidth="1"/>
    <col min="33" max="33" width="11" style="38" bestFit="1" customWidth="1"/>
    <col min="34" max="34" width="11.59765625" style="38" bestFit="1" customWidth="1"/>
    <col min="35" max="35" width="10.59765625" style="38" bestFit="1" customWidth="1"/>
    <col min="36" max="36" width="10.265625" style="38" bestFit="1" customWidth="1"/>
    <col min="37" max="37" width="8.3984375" style="38" bestFit="1" customWidth="1"/>
    <col min="38" max="38" width="11.265625" style="38"/>
    <col min="39" max="39" width="9" style="38" bestFit="1" customWidth="1"/>
    <col min="40" max="40" width="8.3984375" style="38" bestFit="1" customWidth="1"/>
    <col min="41" max="41" width="10.59765625" style="38" bestFit="1" customWidth="1"/>
    <col min="42" max="42" width="9.265625" style="38" bestFit="1" customWidth="1"/>
    <col min="43" max="43" width="8.59765625" style="38" bestFit="1" customWidth="1"/>
    <col min="44" max="44" width="9.59765625" style="38" bestFit="1" customWidth="1"/>
    <col min="45" max="45" width="10" style="38" bestFit="1" customWidth="1"/>
    <col min="46" max="46" width="11.59765625" style="38" bestFit="1" customWidth="1"/>
    <col min="47" max="47" width="12" style="38" bestFit="1" customWidth="1"/>
    <col min="48" max="48" width="9.1328125" style="38" bestFit="1" customWidth="1"/>
    <col min="49" max="49" width="8.1328125" style="38" bestFit="1" customWidth="1"/>
    <col min="50" max="50" width="11" style="38" bestFit="1" customWidth="1"/>
    <col min="51" max="16384" width="11.265625" style="38"/>
  </cols>
  <sheetData>
    <row r="1" spans="1:50" x14ac:dyDescent="0.45">
      <c r="A1" s="38" t="s">
        <v>70</v>
      </c>
      <c r="B1" s="38" t="s">
        <v>71</v>
      </c>
      <c r="C1" s="38" t="s">
        <v>72</v>
      </c>
      <c r="D1" s="38" t="s">
        <v>73</v>
      </c>
      <c r="E1" s="38" t="s">
        <v>74</v>
      </c>
      <c r="F1" s="38" t="s">
        <v>235</v>
      </c>
      <c r="G1" s="38" t="s">
        <v>75</v>
      </c>
      <c r="H1" s="38" t="s">
        <v>461</v>
      </c>
      <c r="I1" s="38" t="s">
        <v>76</v>
      </c>
      <c r="J1" s="38" t="s">
        <v>77</v>
      </c>
      <c r="K1" s="38" t="s">
        <v>78</v>
      </c>
      <c r="L1" s="38" t="s">
        <v>79</v>
      </c>
      <c r="M1" s="38" t="s">
        <v>80</v>
      </c>
      <c r="N1" s="38" t="s">
        <v>81</v>
      </c>
      <c r="O1" s="38" t="s">
        <v>82</v>
      </c>
      <c r="P1" s="38" t="s">
        <v>83</v>
      </c>
      <c r="Q1" s="38" t="s">
        <v>84</v>
      </c>
      <c r="R1" s="38" t="s">
        <v>85</v>
      </c>
      <c r="S1" s="38" t="s">
        <v>86</v>
      </c>
      <c r="T1" s="38" t="s">
        <v>87</v>
      </c>
      <c r="U1" s="38" t="s">
        <v>88</v>
      </c>
      <c r="V1" s="38" t="s">
        <v>89</v>
      </c>
      <c r="W1" s="38" t="s">
        <v>90</v>
      </c>
      <c r="X1" s="38" t="s">
        <v>91</v>
      </c>
      <c r="Y1" s="38" t="s">
        <v>92</v>
      </c>
      <c r="Z1" s="38" t="s">
        <v>93</v>
      </c>
      <c r="AA1" s="38" t="s">
        <v>94</v>
      </c>
      <c r="AB1" s="38" t="s">
        <v>95</v>
      </c>
      <c r="AC1" s="38" t="s">
        <v>96</v>
      </c>
      <c r="AD1" s="38" t="s">
        <v>97</v>
      </c>
      <c r="AE1" s="38" t="s">
        <v>98</v>
      </c>
      <c r="AF1" s="38" t="s">
        <v>99</v>
      </c>
      <c r="AG1" s="38" t="s">
        <v>100</v>
      </c>
      <c r="AH1" s="38" t="s">
        <v>101</v>
      </c>
      <c r="AI1" s="38" t="s">
        <v>102</v>
      </c>
      <c r="AJ1" s="38" t="s">
        <v>103</v>
      </c>
      <c r="AK1" s="38" t="s">
        <v>104</v>
      </c>
      <c r="AL1" s="38" t="s">
        <v>105</v>
      </c>
      <c r="AM1" s="38" t="s">
        <v>106</v>
      </c>
      <c r="AN1" s="38" t="s">
        <v>107</v>
      </c>
      <c r="AO1" s="38" t="s">
        <v>108</v>
      </c>
      <c r="AP1" s="38" t="s">
        <v>109</v>
      </c>
      <c r="AQ1" s="38" t="s">
        <v>110</v>
      </c>
      <c r="AR1" s="38" t="s">
        <v>111</v>
      </c>
      <c r="AS1" s="38" t="s">
        <v>112</v>
      </c>
      <c r="AT1" s="38" t="s">
        <v>113</v>
      </c>
      <c r="AU1" s="38" t="s">
        <v>114</v>
      </c>
      <c r="AV1" s="38" t="s">
        <v>115</v>
      </c>
      <c r="AW1" s="38" t="s">
        <v>116</v>
      </c>
      <c r="AX1" s="38" t="s">
        <v>117</v>
      </c>
    </row>
    <row r="2" spans="1:50" x14ac:dyDescent="0.45">
      <c r="A2" s="38" t="s">
        <v>118</v>
      </c>
      <c r="B2" s="38">
        <v>1</v>
      </c>
      <c r="C2" s="38" t="s">
        <v>119</v>
      </c>
      <c r="D2" s="38">
        <v>1</v>
      </c>
      <c r="E2" s="38">
        <v>19600</v>
      </c>
      <c r="F2" s="38">
        <f>E2/1000</f>
        <v>19.600000000000001</v>
      </c>
      <c r="G2" s="38">
        <v>9235468.75</v>
      </c>
      <c r="H2" s="38">
        <f>G2/(1000*1000)</f>
        <v>9.2354687500000008</v>
      </c>
      <c r="I2" s="38">
        <v>2567</v>
      </c>
      <c r="J2" s="38">
        <v>2567</v>
      </c>
      <c r="K2" s="38" t="s">
        <v>120</v>
      </c>
      <c r="L2" s="38" t="s">
        <v>120</v>
      </c>
      <c r="M2" s="38" t="s">
        <v>120</v>
      </c>
      <c r="N2" s="38">
        <v>60.379257000000003</v>
      </c>
      <c r="O2" s="38" t="s">
        <v>121</v>
      </c>
      <c r="P2" s="38" t="s">
        <v>121</v>
      </c>
      <c r="Q2" s="38" t="s">
        <v>120</v>
      </c>
      <c r="R2" s="38" t="s">
        <v>120</v>
      </c>
      <c r="S2" s="38" t="s">
        <v>120</v>
      </c>
      <c r="T2" s="38">
        <v>81.059149000000005</v>
      </c>
      <c r="U2" s="38">
        <v>84.421887999999996</v>
      </c>
      <c r="V2" s="38" t="s">
        <v>120</v>
      </c>
      <c r="W2" s="38" t="s">
        <v>120</v>
      </c>
      <c r="X2" s="38" t="s">
        <v>120</v>
      </c>
      <c r="Y2" s="38" t="s">
        <v>120</v>
      </c>
      <c r="Z2" s="38" t="s">
        <v>120</v>
      </c>
      <c r="AA2" s="38" t="s">
        <v>120</v>
      </c>
      <c r="AB2" s="38" t="s">
        <v>120</v>
      </c>
      <c r="AC2" s="38" t="s">
        <v>120</v>
      </c>
      <c r="AD2" s="38" t="s">
        <v>120</v>
      </c>
      <c r="AE2" s="38" t="s">
        <v>120</v>
      </c>
      <c r="AF2" s="38" t="s">
        <v>120</v>
      </c>
      <c r="AG2" s="38" t="s">
        <v>120</v>
      </c>
      <c r="AH2" s="38" t="s">
        <v>120</v>
      </c>
      <c r="AI2" s="38" t="s">
        <v>120</v>
      </c>
      <c r="AJ2" s="38" t="s">
        <v>120</v>
      </c>
      <c r="AK2" s="38" t="s">
        <v>120</v>
      </c>
      <c r="AL2" s="38" t="s">
        <v>120</v>
      </c>
      <c r="AM2" s="38" t="s">
        <v>120</v>
      </c>
      <c r="AN2" s="38" t="s">
        <v>120</v>
      </c>
      <c r="AO2" s="38" t="s">
        <v>120</v>
      </c>
      <c r="AP2" s="38" t="s">
        <v>120</v>
      </c>
      <c r="AQ2" s="38" t="s">
        <v>120</v>
      </c>
      <c r="AR2" s="38" t="s">
        <v>120</v>
      </c>
      <c r="AS2" s="38" t="s">
        <v>120</v>
      </c>
      <c r="AT2" s="38" t="s">
        <v>120</v>
      </c>
      <c r="AU2" s="38" t="s">
        <v>120</v>
      </c>
      <c r="AV2" s="38" t="s">
        <v>120</v>
      </c>
      <c r="AW2" s="38" t="s">
        <v>120</v>
      </c>
      <c r="AX2" s="38" t="s">
        <v>120</v>
      </c>
    </row>
    <row r="3" spans="1:50" x14ac:dyDescent="0.45">
      <c r="A3" s="38" t="s">
        <v>122</v>
      </c>
      <c r="B3" s="38">
        <v>2</v>
      </c>
      <c r="C3" s="38" t="s">
        <v>119</v>
      </c>
      <c r="D3" s="38">
        <v>2</v>
      </c>
      <c r="E3" s="38">
        <v>23550</v>
      </c>
      <c r="F3" s="38">
        <f t="shared" ref="F3:F66" si="0">E3/1000</f>
        <v>23.55</v>
      </c>
      <c r="G3" s="38">
        <v>10445468.75</v>
      </c>
      <c r="H3" s="38">
        <f t="shared" ref="H3:H66" si="1">G3/(1000*1000)</f>
        <v>10.44546875</v>
      </c>
      <c r="I3" s="38">
        <v>2568</v>
      </c>
      <c r="J3" s="38">
        <v>2568</v>
      </c>
      <c r="K3" s="38" t="s">
        <v>120</v>
      </c>
      <c r="L3" s="38" t="s">
        <v>120</v>
      </c>
      <c r="M3" s="38" t="s">
        <v>120</v>
      </c>
      <c r="N3" s="38">
        <v>67.902198999999996</v>
      </c>
      <c r="O3" s="38" t="s">
        <v>121</v>
      </c>
      <c r="P3" s="38" t="s">
        <v>121</v>
      </c>
      <c r="Q3" s="38" t="s">
        <v>120</v>
      </c>
      <c r="R3" s="38" t="s">
        <v>120</v>
      </c>
      <c r="S3" s="38" t="s">
        <v>120</v>
      </c>
      <c r="T3" s="38">
        <v>81.821432000000001</v>
      </c>
      <c r="U3" s="38">
        <v>84.029600000000002</v>
      </c>
      <c r="V3" s="38" t="s">
        <v>120</v>
      </c>
      <c r="W3" s="38" t="s">
        <v>120</v>
      </c>
      <c r="X3" s="38" t="s">
        <v>120</v>
      </c>
      <c r="Y3" s="38" t="s">
        <v>120</v>
      </c>
      <c r="Z3" s="38" t="s">
        <v>120</v>
      </c>
      <c r="AA3" s="38" t="s">
        <v>120</v>
      </c>
      <c r="AB3" s="38" t="s">
        <v>120</v>
      </c>
      <c r="AC3" s="38" t="s">
        <v>120</v>
      </c>
      <c r="AD3" s="38" t="s">
        <v>120</v>
      </c>
      <c r="AE3" s="38" t="s">
        <v>120</v>
      </c>
      <c r="AF3" s="38" t="s">
        <v>120</v>
      </c>
      <c r="AG3" s="38" t="s">
        <v>120</v>
      </c>
      <c r="AH3" s="38" t="s">
        <v>120</v>
      </c>
      <c r="AI3" s="38" t="s">
        <v>120</v>
      </c>
      <c r="AJ3" s="38" t="s">
        <v>120</v>
      </c>
      <c r="AK3" s="38" t="s">
        <v>120</v>
      </c>
      <c r="AL3" s="38" t="s">
        <v>120</v>
      </c>
      <c r="AM3" s="38" t="s">
        <v>120</v>
      </c>
      <c r="AN3" s="38" t="s">
        <v>120</v>
      </c>
      <c r="AO3" s="38" t="s">
        <v>120</v>
      </c>
      <c r="AP3" s="38" t="s">
        <v>120</v>
      </c>
      <c r="AQ3" s="38" t="s">
        <v>120</v>
      </c>
      <c r="AR3" s="38" t="s">
        <v>120</v>
      </c>
      <c r="AS3" s="38" t="s">
        <v>120</v>
      </c>
      <c r="AT3" s="38" t="s">
        <v>120</v>
      </c>
      <c r="AU3" s="38" t="s">
        <v>120</v>
      </c>
      <c r="AV3" s="38" t="s">
        <v>120</v>
      </c>
      <c r="AW3" s="38" t="s">
        <v>120</v>
      </c>
      <c r="AX3" s="38" t="s">
        <v>120</v>
      </c>
    </row>
    <row r="4" spans="1:50" x14ac:dyDescent="0.45">
      <c r="A4" s="38" t="s">
        <v>123</v>
      </c>
      <c r="B4" s="38">
        <v>3</v>
      </c>
      <c r="C4" s="38" t="s">
        <v>119</v>
      </c>
      <c r="D4" s="38">
        <v>3</v>
      </c>
      <c r="E4" s="38">
        <v>20050</v>
      </c>
      <c r="F4" s="38">
        <f t="shared" si="0"/>
        <v>20.05</v>
      </c>
      <c r="G4" s="38">
        <v>11585625</v>
      </c>
      <c r="H4" s="38">
        <f t="shared" si="1"/>
        <v>11.585625</v>
      </c>
      <c r="I4" s="38">
        <v>2569</v>
      </c>
      <c r="J4" s="38">
        <v>2569</v>
      </c>
      <c r="K4" s="38" t="s">
        <v>120</v>
      </c>
      <c r="L4" s="38" t="s">
        <v>120</v>
      </c>
      <c r="M4" s="38" t="s">
        <v>120</v>
      </c>
      <c r="N4" s="38">
        <v>54.088684000000001</v>
      </c>
      <c r="O4" s="38" t="s">
        <v>121</v>
      </c>
      <c r="P4" s="38" t="s">
        <v>121</v>
      </c>
      <c r="Q4" s="38" t="s">
        <v>120</v>
      </c>
      <c r="R4" s="38" t="s">
        <v>120</v>
      </c>
      <c r="S4" s="38" t="s">
        <v>120</v>
      </c>
      <c r="T4" s="38">
        <v>87.977547000000001</v>
      </c>
      <c r="U4" s="38">
        <v>84.011551999999995</v>
      </c>
      <c r="V4" s="38" t="s">
        <v>120</v>
      </c>
      <c r="W4" s="38" t="s">
        <v>120</v>
      </c>
      <c r="X4" s="38" t="s">
        <v>120</v>
      </c>
      <c r="Y4" s="38" t="s">
        <v>120</v>
      </c>
      <c r="Z4" s="38" t="s">
        <v>120</v>
      </c>
      <c r="AA4" s="38" t="s">
        <v>120</v>
      </c>
      <c r="AB4" s="38" t="s">
        <v>120</v>
      </c>
      <c r="AC4" s="38" t="s">
        <v>120</v>
      </c>
      <c r="AD4" s="38" t="s">
        <v>120</v>
      </c>
      <c r="AE4" s="38" t="s">
        <v>120</v>
      </c>
      <c r="AF4" s="38" t="s">
        <v>120</v>
      </c>
      <c r="AG4" s="38" t="s">
        <v>120</v>
      </c>
      <c r="AH4" s="38" t="s">
        <v>120</v>
      </c>
      <c r="AI4" s="38" t="s">
        <v>120</v>
      </c>
      <c r="AJ4" s="38" t="s">
        <v>120</v>
      </c>
      <c r="AK4" s="38" t="s">
        <v>120</v>
      </c>
      <c r="AL4" s="38" t="s">
        <v>120</v>
      </c>
      <c r="AM4" s="38" t="s">
        <v>120</v>
      </c>
      <c r="AN4" s="38" t="s">
        <v>120</v>
      </c>
      <c r="AO4" s="38" t="s">
        <v>120</v>
      </c>
      <c r="AP4" s="38" t="s">
        <v>120</v>
      </c>
      <c r="AQ4" s="38" t="s">
        <v>120</v>
      </c>
      <c r="AR4" s="38" t="s">
        <v>120</v>
      </c>
      <c r="AS4" s="38" t="s">
        <v>120</v>
      </c>
      <c r="AT4" s="38" t="s">
        <v>120</v>
      </c>
      <c r="AU4" s="38" t="s">
        <v>120</v>
      </c>
      <c r="AV4" s="38" t="s">
        <v>120</v>
      </c>
      <c r="AW4" s="38" t="s">
        <v>120</v>
      </c>
      <c r="AX4" s="38" t="s">
        <v>120</v>
      </c>
    </row>
    <row r="5" spans="1:50" x14ac:dyDescent="0.45">
      <c r="A5" s="38" t="s">
        <v>124</v>
      </c>
      <c r="B5" s="38">
        <v>4</v>
      </c>
      <c r="C5" s="38" t="s">
        <v>119</v>
      </c>
      <c r="D5" s="38">
        <v>4</v>
      </c>
      <c r="E5" s="38">
        <v>21700</v>
      </c>
      <c r="F5" s="38">
        <f t="shared" si="0"/>
        <v>21.7</v>
      </c>
      <c r="G5" s="38">
        <v>11447187.5</v>
      </c>
      <c r="H5" s="38">
        <f t="shared" si="1"/>
        <v>11.4471875</v>
      </c>
      <c r="I5" s="38">
        <v>2570</v>
      </c>
      <c r="J5" s="38">
        <v>2570</v>
      </c>
      <c r="K5" s="38" t="s">
        <v>120</v>
      </c>
      <c r="L5" s="38" t="s">
        <v>120</v>
      </c>
      <c r="M5" s="38" t="s">
        <v>120</v>
      </c>
      <c r="N5" s="38">
        <v>53.386631000000001</v>
      </c>
      <c r="O5" s="38" t="s">
        <v>121</v>
      </c>
      <c r="P5" s="38" t="s">
        <v>121</v>
      </c>
      <c r="Q5" s="38" t="s">
        <v>120</v>
      </c>
      <c r="R5" s="38" t="s">
        <v>120</v>
      </c>
      <c r="S5" s="38" t="s">
        <v>120</v>
      </c>
      <c r="T5" s="38">
        <v>83.772160999999997</v>
      </c>
      <c r="U5" s="38">
        <v>83.532331999999997</v>
      </c>
      <c r="V5" s="38" t="s">
        <v>120</v>
      </c>
      <c r="W5" s="38" t="s">
        <v>120</v>
      </c>
      <c r="X5" s="38" t="s">
        <v>120</v>
      </c>
      <c r="Y5" s="38" t="s">
        <v>120</v>
      </c>
      <c r="Z5" s="38" t="s">
        <v>120</v>
      </c>
      <c r="AA5" s="38" t="s">
        <v>120</v>
      </c>
      <c r="AB5" s="38" t="s">
        <v>120</v>
      </c>
      <c r="AC5" s="38" t="s">
        <v>120</v>
      </c>
      <c r="AD5" s="38" t="s">
        <v>120</v>
      </c>
      <c r="AE5" s="38" t="s">
        <v>120</v>
      </c>
      <c r="AF5" s="38" t="s">
        <v>120</v>
      </c>
      <c r="AG5" s="38" t="s">
        <v>120</v>
      </c>
      <c r="AH5" s="38" t="s">
        <v>120</v>
      </c>
      <c r="AI5" s="38" t="s">
        <v>120</v>
      </c>
      <c r="AJ5" s="38" t="s">
        <v>120</v>
      </c>
      <c r="AK5" s="38" t="s">
        <v>120</v>
      </c>
      <c r="AL5" s="38" t="s">
        <v>120</v>
      </c>
      <c r="AM5" s="38" t="s">
        <v>120</v>
      </c>
      <c r="AN5" s="38" t="s">
        <v>120</v>
      </c>
      <c r="AO5" s="38" t="s">
        <v>120</v>
      </c>
      <c r="AP5" s="38" t="s">
        <v>120</v>
      </c>
      <c r="AQ5" s="38" t="s">
        <v>120</v>
      </c>
      <c r="AR5" s="38" t="s">
        <v>120</v>
      </c>
      <c r="AS5" s="38" t="s">
        <v>120</v>
      </c>
      <c r="AT5" s="38" t="s">
        <v>120</v>
      </c>
      <c r="AU5" s="38" t="s">
        <v>120</v>
      </c>
      <c r="AV5" s="38" t="s">
        <v>120</v>
      </c>
      <c r="AW5" s="38" t="s">
        <v>120</v>
      </c>
      <c r="AX5" s="38" t="s">
        <v>120</v>
      </c>
    </row>
    <row r="6" spans="1:50" x14ac:dyDescent="0.45">
      <c r="A6" s="38" t="s">
        <v>125</v>
      </c>
      <c r="B6" s="38">
        <v>5</v>
      </c>
      <c r="C6" s="38" t="s">
        <v>119</v>
      </c>
      <c r="D6" s="38">
        <v>5</v>
      </c>
      <c r="E6" s="38">
        <v>18600</v>
      </c>
      <c r="F6" s="38">
        <f t="shared" si="0"/>
        <v>18.600000000000001</v>
      </c>
      <c r="G6" s="38">
        <v>12049218.75</v>
      </c>
      <c r="H6" s="38">
        <f t="shared" si="1"/>
        <v>12.04921875</v>
      </c>
      <c r="I6" s="38">
        <v>2571</v>
      </c>
      <c r="J6" s="38">
        <v>2571</v>
      </c>
      <c r="K6" s="38" t="s">
        <v>120</v>
      </c>
      <c r="L6" s="38" t="s">
        <v>120</v>
      </c>
      <c r="M6" s="38" t="s">
        <v>120</v>
      </c>
      <c r="N6" s="38">
        <v>65.864470999999995</v>
      </c>
      <c r="O6" s="38" t="s">
        <v>121</v>
      </c>
      <c r="P6" s="38" t="s">
        <v>121</v>
      </c>
      <c r="Q6" s="38" t="s">
        <v>120</v>
      </c>
      <c r="R6" s="38" t="s">
        <v>120</v>
      </c>
      <c r="S6" s="38" t="s">
        <v>120</v>
      </c>
      <c r="T6" s="38">
        <v>85.266959</v>
      </c>
      <c r="U6" s="38">
        <v>83.071986999999993</v>
      </c>
      <c r="V6" s="38" t="s">
        <v>120</v>
      </c>
      <c r="W6" s="38" t="s">
        <v>120</v>
      </c>
      <c r="X6" s="38" t="s">
        <v>120</v>
      </c>
      <c r="Y6" s="38" t="s">
        <v>120</v>
      </c>
      <c r="Z6" s="38" t="s">
        <v>120</v>
      </c>
      <c r="AA6" s="38" t="s">
        <v>120</v>
      </c>
      <c r="AB6" s="38" t="s">
        <v>120</v>
      </c>
      <c r="AC6" s="38" t="s">
        <v>120</v>
      </c>
      <c r="AD6" s="38" t="s">
        <v>120</v>
      </c>
      <c r="AE6" s="38" t="s">
        <v>120</v>
      </c>
      <c r="AF6" s="38" t="s">
        <v>120</v>
      </c>
      <c r="AG6" s="38" t="s">
        <v>120</v>
      </c>
      <c r="AH6" s="38" t="s">
        <v>120</v>
      </c>
      <c r="AI6" s="38" t="s">
        <v>120</v>
      </c>
      <c r="AJ6" s="38" t="s">
        <v>120</v>
      </c>
      <c r="AK6" s="38" t="s">
        <v>120</v>
      </c>
      <c r="AL6" s="38" t="s">
        <v>120</v>
      </c>
      <c r="AM6" s="38" t="s">
        <v>120</v>
      </c>
      <c r="AN6" s="38" t="s">
        <v>120</v>
      </c>
      <c r="AO6" s="38" t="s">
        <v>120</v>
      </c>
      <c r="AP6" s="38" t="s">
        <v>120</v>
      </c>
      <c r="AQ6" s="38" t="s">
        <v>120</v>
      </c>
      <c r="AR6" s="38" t="s">
        <v>120</v>
      </c>
      <c r="AS6" s="38" t="s">
        <v>120</v>
      </c>
      <c r="AT6" s="38" t="s">
        <v>120</v>
      </c>
      <c r="AU6" s="38" t="s">
        <v>120</v>
      </c>
      <c r="AV6" s="38" t="s">
        <v>120</v>
      </c>
      <c r="AW6" s="38" t="s">
        <v>120</v>
      </c>
      <c r="AX6" s="38" t="s">
        <v>120</v>
      </c>
    </row>
    <row r="7" spans="1:50" x14ac:dyDescent="0.45">
      <c r="A7" s="38" t="s">
        <v>126</v>
      </c>
      <c r="B7" s="38">
        <v>6</v>
      </c>
      <c r="C7" s="38" t="s">
        <v>119</v>
      </c>
      <c r="D7" s="38">
        <v>6</v>
      </c>
      <c r="E7" s="38">
        <v>13175</v>
      </c>
      <c r="F7" s="38">
        <f t="shared" si="0"/>
        <v>13.175000000000001</v>
      </c>
      <c r="G7" s="38">
        <v>4960781.25</v>
      </c>
      <c r="H7" s="38">
        <f t="shared" si="1"/>
        <v>4.9607812500000001</v>
      </c>
      <c r="I7" s="38">
        <v>2572</v>
      </c>
      <c r="J7" s="38">
        <v>2572</v>
      </c>
      <c r="K7" s="38" t="s">
        <v>120</v>
      </c>
      <c r="L7" s="38" t="s">
        <v>120</v>
      </c>
      <c r="M7" s="38" t="s">
        <v>120</v>
      </c>
      <c r="N7" s="38">
        <v>55.396495999999999</v>
      </c>
      <c r="O7" s="38" t="s">
        <v>121</v>
      </c>
      <c r="P7" s="38" t="s">
        <v>121</v>
      </c>
      <c r="Q7" s="38" t="s">
        <v>120</v>
      </c>
      <c r="R7" s="38" t="s">
        <v>120</v>
      </c>
      <c r="S7" s="38" t="s">
        <v>120</v>
      </c>
      <c r="T7" s="38">
        <v>88</v>
      </c>
      <c r="U7" s="38">
        <v>83.913917999999995</v>
      </c>
      <c r="V7" s="38" t="s">
        <v>120</v>
      </c>
      <c r="W7" s="38" t="s">
        <v>120</v>
      </c>
      <c r="X7" s="38" t="s">
        <v>120</v>
      </c>
      <c r="Y7" s="38" t="s">
        <v>120</v>
      </c>
      <c r="Z7" s="38" t="s">
        <v>120</v>
      </c>
      <c r="AA7" s="38" t="s">
        <v>120</v>
      </c>
      <c r="AB7" s="38" t="s">
        <v>120</v>
      </c>
      <c r="AC7" s="38" t="s">
        <v>120</v>
      </c>
      <c r="AD7" s="38" t="s">
        <v>120</v>
      </c>
      <c r="AE7" s="38" t="s">
        <v>120</v>
      </c>
      <c r="AF7" s="38" t="s">
        <v>120</v>
      </c>
      <c r="AG7" s="38" t="s">
        <v>120</v>
      </c>
      <c r="AH7" s="38" t="s">
        <v>120</v>
      </c>
      <c r="AI7" s="38" t="s">
        <v>120</v>
      </c>
      <c r="AJ7" s="38" t="s">
        <v>120</v>
      </c>
      <c r="AK7" s="38" t="s">
        <v>120</v>
      </c>
      <c r="AL7" s="38" t="s">
        <v>120</v>
      </c>
      <c r="AM7" s="38" t="s">
        <v>120</v>
      </c>
      <c r="AN7" s="38" t="s">
        <v>120</v>
      </c>
      <c r="AO7" s="38" t="s">
        <v>120</v>
      </c>
      <c r="AP7" s="38" t="s">
        <v>120</v>
      </c>
      <c r="AQ7" s="38" t="s">
        <v>120</v>
      </c>
      <c r="AR7" s="38" t="s">
        <v>120</v>
      </c>
      <c r="AS7" s="38" t="s">
        <v>120</v>
      </c>
      <c r="AT7" s="38" t="s">
        <v>120</v>
      </c>
      <c r="AU7" s="38" t="s">
        <v>120</v>
      </c>
      <c r="AV7" s="38" t="s">
        <v>120</v>
      </c>
      <c r="AW7" s="38" t="s">
        <v>120</v>
      </c>
      <c r="AX7" s="38" t="s">
        <v>120</v>
      </c>
    </row>
    <row r="8" spans="1:50" x14ac:dyDescent="0.45">
      <c r="A8" s="38" t="s">
        <v>127</v>
      </c>
      <c r="B8" s="38">
        <v>7</v>
      </c>
      <c r="C8" s="38" t="s">
        <v>119</v>
      </c>
      <c r="D8" s="38">
        <v>7</v>
      </c>
      <c r="E8" s="38">
        <v>6200</v>
      </c>
      <c r="F8" s="38">
        <f t="shared" si="0"/>
        <v>6.2</v>
      </c>
      <c r="G8" s="38">
        <v>976250</v>
      </c>
      <c r="H8" s="38">
        <f t="shared" si="1"/>
        <v>0.97624999999999995</v>
      </c>
      <c r="I8" s="38">
        <v>2573</v>
      </c>
      <c r="J8" s="38">
        <v>2573</v>
      </c>
      <c r="K8" s="38" t="s">
        <v>120</v>
      </c>
      <c r="L8" s="38" t="s">
        <v>120</v>
      </c>
      <c r="M8" s="38" t="s">
        <v>120</v>
      </c>
      <c r="N8" s="38">
        <v>63.369571999999998</v>
      </c>
      <c r="O8" s="38" t="s">
        <v>121</v>
      </c>
      <c r="P8" s="38" t="s">
        <v>121</v>
      </c>
      <c r="Q8" s="38" t="s">
        <v>120</v>
      </c>
      <c r="R8" s="38" t="s">
        <v>120</v>
      </c>
      <c r="S8" s="38" t="s">
        <v>120</v>
      </c>
      <c r="T8" s="38">
        <v>88</v>
      </c>
      <c r="U8" s="38">
        <v>83.516831999999994</v>
      </c>
      <c r="V8" s="38" t="s">
        <v>120</v>
      </c>
      <c r="W8" s="38" t="s">
        <v>120</v>
      </c>
      <c r="X8" s="38" t="s">
        <v>120</v>
      </c>
      <c r="Y8" s="38" t="s">
        <v>120</v>
      </c>
      <c r="Z8" s="38" t="s">
        <v>120</v>
      </c>
      <c r="AA8" s="38" t="s">
        <v>120</v>
      </c>
      <c r="AB8" s="38" t="s">
        <v>120</v>
      </c>
      <c r="AC8" s="38" t="s">
        <v>120</v>
      </c>
      <c r="AD8" s="38" t="s">
        <v>120</v>
      </c>
      <c r="AE8" s="38" t="s">
        <v>120</v>
      </c>
      <c r="AF8" s="38" t="s">
        <v>120</v>
      </c>
      <c r="AG8" s="38" t="s">
        <v>120</v>
      </c>
      <c r="AH8" s="38" t="s">
        <v>120</v>
      </c>
      <c r="AI8" s="38" t="s">
        <v>120</v>
      </c>
      <c r="AJ8" s="38" t="s">
        <v>120</v>
      </c>
      <c r="AK8" s="38" t="s">
        <v>120</v>
      </c>
      <c r="AL8" s="38" t="s">
        <v>120</v>
      </c>
      <c r="AM8" s="38" t="s">
        <v>120</v>
      </c>
      <c r="AN8" s="38" t="s">
        <v>120</v>
      </c>
      <c r="AO8" s="38" t="s">
        <v>120</v>
      </c>
      <c r="AP8" s="38" t="s">
        <v>120</v>
      </c>
      <c r="AQ8" s="38" t="s">
        <v>120</v>
      </c>
      <c r="AR8" s="38" t="s">
        <v>120</v>
      </c>
      <c r="AS8" s="38" t="s">
        <v>120</v>
      </c>
      <c r="AT8" s="38" t="s">
        <v>120</v>
      </c>
      <c r="AU8" s="38" t="s">
        <v>120</v>
      </c>
      <c r="AV8" s="38" t="s">
        <v>120</v>
      </c>
      <c r="AW8" s="38" t="s">
        <v>120</v>
      </c>
      <c r="AX8" s="38" t="s">
        <v>120</v>
      </c>
    </row>
    <row r="9" spans="1:50" x14ac:dyDescent="0.45">
      <c r="A9" s="38" t="s">
        <v>128</v>
      </c>
      <c r="B9" s="38">
        <v>8</v>
      </c>
      <c r="C9" s="38" t="s">
        <v>119</v>
      </c>
      <c r="D9" s="38">
        <v>8</v>
      </c>
      <c r="E9" s="38">
        <v>23425</v>
      </c>
      <c r="F9" s="38">
        <f t="shared" si="0"/>
        <v>23.425000000000001</v>
      </c>
      <c r="G9" s="38">
        <v>8629218.75</v>
      </c>
      <c r="H9" s="38">
        <f t="shared" si="1"/>
        <v>8.6292187499999997</v>
      </c>
      <c r="I9" s="38">
        <v>2574</v>
      </c>
      <c r="J9" s="38">
        <v>2574</v>
      </c>
      <c r="K9" s="38" t="s">
        <v>120</v>
      </c>
      <c r="L9" s="38" t="s">
        <v>120</v>
      </c>
      <c r="M9" s="38" t="s">
        <v>120</v>
      </c>
      <c r="N9" s="38">
        <v>53.371898999999999</v>
      </c>
      <c r="O9" s="38" t="s">
        <v>121</v>
      </c>
      <c r="P9" s="38" t="s">
        <v>121</v>
      </c>
      <c r="Q9" s="38" t="s">
        <v>120</v>
      </c>
      <c r="R9" s="38" t="s">
        <v>120</v>
      </c>
      <c r="S9" s="38" t="s">
        <v>120</v>
      </c>
      <c r="T9" s="38">
        <v>86.727531999999997</v>
      </c>
      <c r="U9" s="38">
        <v>83.355788000000004</v>
      </c>
      <c r="V9" s="38" t="s">
        <v>120</v>
      </c>
      <c r="W9" s="38" t="s">
        <v>120</v>
      </c>
      <c r="X9" s="38" t="s">
        <v>120</v>
      </c>
      <c r="Y9" s="38" t="s">
        <v>120</v>
      </c>
      <c r="Z9" s="38" t="s">
        <v>120</v>
      </c>
      <c r="AA9" s="38" t="s">
        <v>120</v>
      </c>
      <c r="AB9" s="38" t="s">
        <v>120</v>
      </c>
      <c r="AC9" s="38" t="s">
        <v>120</v>
      </c>
      <c r="AD9" s="38" t="s">
        <v>120</v>
      </c>
      <c r="AE9" s="38" t="s">
        <v>120</v>
      </c>
      <c r="AF9" s="38" t="s">
        <v>120</v>
      </c>
      <c r="AG9" s="38" t="s">
        <v>120</v>
      </c>
      <c r="AH9" s="38" t="s">
        <v>120</v>
      </c>
      <c r="AI9" s="38" t="s">
        <v>120</v>
      </c>
      <c r="AJ9" s="38" t="s">
        <v>120</v>
      </c>
      <c r="AK9" s="38" t="s">
        <v>120</v>
      </c>
      <c r="AL9" s="38" t="s">
        <v>120</v>
      </c>
      <c r="AM9" s="38" t="s">
        <v>120</v>
      </c>
      <c r="AN9" s="38" t="s">
        <v>120</v>
      </c>
      <c r="AO9" s="38" t="s">
        <v>120</v>
      </c>
      <c r="AP9" s="38" t="s">
        <v>120</v>
      </c>
      <c r="AQ9" s="38" t="s">
        <v>120</v>
      </c>
      <c r="AR9" s="38" t="s">
        <v>120</v>
      </c>
      <c r="AS9" s="38" t="s">
        <v>120</v>
      </c>
      <c r="AT9" s="38" t="s">
        <v>120</v>
      </c>
      <c r="AU9" s="38" t="s">
        <v>120</v>
      </c>
      <c r="AV9" s="38" t="s">
        <v>120</v>
      </c>
      <c r="AW9" s="38" t="s">
        <v>120</v>
      </c>
      <c r="AX9" s="38" t="s">
        <v>120</v>
      </c>
    </row>
    <row r="10" spans="1:50" x14ac:dyDescent="0.45">
      <c r="A10" s="38" t="s">
        <v>129</v>
      </c>
      <c r="B10" s="38">
        <v>9</v>
      </c>
      <c r="C10" s="38" t="s">
        <v>119</v>
      </c>
      <c r="D10" s="38">
        <v>9</v>
      </c>
      <c r="E10" s="38">
        <v>26250</v>
      </c>
      <c r="F10" s="38">
        <f t="shared" si="0"/>
        <v>26.25</v>
      </c>
      <c r="G10" s="38">
        <v>17620312.5</v>
      </c>
      <c r="H10" s="38">
        <f t="shared" si="1"/>
        <v>17.620312500000001</v>
      </c>
      <c r="I10" s="38">
        <v>2575</v>
      </c>
      <c r="J10" s="38">
        <v>2575</v>
      </c>
      <c r="K10" s="38" t="s">
        <v>120</v>
      </c>
      <c r="L10" s="38" t="s">
        <v>120</v>
      </c>
      <c r="M10" s="38" t="s">
        <v>120</v>
      </c>
      <c r="N10" s="38">
        <v>51.945838999999999</v>
      </c>
      <c r="O10" s="38" t="s">
        <v>121</v>
      </c>
      <c r="P10" s="38" t="s">
        <v>121</v>
      </c>
      <c r="Q10" s="38" t="s">
        <v>120</v>
      </c>
      <c r="R10" s="38" t="s">
        <v>120</v>
      </c>
      <c r="S10" s="38" t="s">
        <v>120</v>
      </c>
      <c r="T10" s="38">
        <v>79.826695999999998</v>
      </c>
      <c r="U10" s="38">
        <v>82.262120999999993</v>
      </c>
      <c r="V10" s="38" t="s">
        <v>120</v>
      </c>
      <c r="W10" s="38" t="s">
        <v>120</v>
      </c>
      <c r="X10" s="38" t="s">
        <v>120</v>
      </c>
      <c r="Y10" s="38" t="s">
        <v>120</v>
      </c>
      <c r="Z10" s="38" t="s">
        <v>120</v>
      </c>
      <c r="AA10" s="38" t="s">
        <v>120</v>
      </c>
      <c r="AB10" s="38" t="s">
        <v>120</v>
      </c>
      <c r="AC10" s="38" t="s">
        <v>120</v>
      </c>
      <c r="AD10" s="38" t="s">
        <v>120</v>
      </c>
      <c r="AE10" s="38" t="s">
        <v>120</v>
      </c>
      <c r="AF10" s="38" t="s">
        <v>120</v>
      </c>
      <c r="AG10" s="38" t="s">
        <v>120</v>
      </c>
      <c r="AH10" s="38" t="s">
        <v>120</v>
      </c>
      <c r="AI10" s="38" t="s">
        <v>120</v>
      </c>
      <c r="AJ10" s="38" t="s">
        <v>120</v>
      </c>
      <c r="AK10" s="38" t="s">
        <v>120</v>
      </c>
      <c r="AL10" s="38" t="s">
        <v>120</v>
      </c>
      <c r="AM10" s="38" t="s">
        <v>120</v>
      </c>
      <c r="AN10" s="38" t="s">
        <v>120</v>
      </c>
      <c r="AO10" s="38" t="s">
        <v>120</v>
      </c>
      <c r="AP10" s="38" t="s">
        <v>120</v>
      </c>
      <c r="AQ10" s="38" t="s">
        <v>120</v>
      </c>
      <c r="AR10" s="38" t="s">
        <v>120</v>
      </c>
      <c r="AS10" s="38" t="s">
        <v>120</v>
      </c>
      <c r="AT10" s="38" t="s">
        <v>120</v>
      </c>
      <c r="AU10" s="38" t="s">
        <v>120</v>
      </c>
      <c r="AV10" s="38" t="s">
        <v>120</v>
      </c>
      <c r="AW10" s="38" t="s">
        <v>120</v>
      </c>
      <c r="AX10" s="38" t="s">
        <v>120</v>
      </c>
    </row>
    <row r="11" spans="1:50" x14ac:dyDescent="0.45">
      <c r="A11" s="38" t="s">
        <v>130</v>
      </c>
      <c r="B11" s="38">
        <v>10</v>
      </c>
      <c r="C11" s="38" t="s">
        <v>119</v>
      </c>
      <c r="D11" s="38">
        <v>10</v>
      </c>
      <c r="E11" s="38">
        <v>17150</v>
      </c>
      <c r="F11" s="38">
        <f t="shared" si="0"/>
        <v>17.149999999999999</v>
      </c>
      <c r="G11" s="38">
        <v>8473593.75</v>
      </c>
      <c r="H11" s="38">
        <f t="shared" si="1"/>
        <v>8.4735937499999991</v>
      </c>
      <c r="I11" s="38">
        <v>2576</v>
      </c>
      <c r="J11" s="38">
        <v>2576</v>
      </c>
      <c r="K11" s="38" t="s">
        <v>120</v>
      </c>
      <c r="L11" s="38" t="s">
        <v>120</v>
      </c>
      <c r="M11" s="38" t="s">
        <v>120</v>
      </c>
      <c r="N11" s="38">
        <v>50.481113000000001</v>
      </c>
      <c r="O11" s="38" t="s">
        <v>121</v>
      </c>
      <c r="P11" s="38" t="s">
        <v>121</v>
      </c>
      <c r="Q11" s="38" t="s">
        <v>120</v>
      </c>
      <c r="R11" s="38" t="s">
        <v>120</v>
      </c>
      <c r="S11" s="38" t="s">
        <v>120</v>
      </c>
      <c r="T11" s="38">
        <v>86.475914000000003</v>
      </c>
      <c r="U11" s="38">
        <v>83.695907000000005</v>
      </c>
      <c r="V11" s="38" t="s">
        <v>120</v>
      </c>
      <c r="W11" s="38" t="s">
        <v>120</v>
      </c>
      <c r="X11" s="38" t="s">
        <v>120</v>
      </c>
      <c r="Y11" s="38" t="s">
        <v>120</v>
      </c>
      <c r="Z11" s="38" t="s">
        <v>120</v>
      </c>
      <c r="AA11" s="38" t="s">
        <v>120</v>
      </c>
      <c r="AB11" s="38" t="s">
        <v>120</v>
      </c>
      <c r="AC11" s="38" t="s">
        <v>120</v>
      </c>
      <c r="AD11" s="38" t="s">
        <v>120</v>
      </c>
      <c r="AE11" s="38" t="s">
        <v>120</v>
      </c>
      <c r="AF11" s="38" t="s">
        <v>120</v>
      </c>
      <c r="AG11" s="38" t="s">
        <v>120</v>
      </c>
      <c r="AH11" s="38" t="s">
        <v>120</v>
      </c>
      <c r="AI11" s="38" t="s">
        <v>120</v>
      </c>
      <c r="AJ11" s="38" t="s">
        <v>120</v>
      </c>
      <c r="AK11" s="38" t="s">
        <v>120</v>
      </c>
      <c r="AL11" s="38" t="s">
        <v>120</v>
      </c>
      <c r="AM11" s="38" t="s">
        <v>120</v>
      </c>
      <c r="AN11" s="38" t="s">
        <v>120</v>
      </c>
      <c r="AO11" s="38" t="s">
        <v>120</v>
      </c>
      <c r="AP11" s="38" t="s">
        <v>120</v>
      </c>
      <c r="AQ11" s="38" t="s">
        <v>120</v>
      </c>
      <c r="AR11" s="38" t="s">
        <v>120</v>
      </c>
      <c r="AS11" s="38" t="s">
        <v>120</v>
      </c>
      <c r="AT11" s="38" t="s">
        <v>120</v>
      </c>
      <c r="AU11" s="38" t="s">
        <v>120</v>
      </c>
      <c r="AV11" s="38" t="s">
        <v>120</v>
      </c>
      <c r="AW11" s="38" t="s">
        <v>120</v>
      </c>
      <c r="AX11" s="38" t="s">
        <v>120</v>
      </c>
    </row>
    <row r="12" spans="1:50" x14ac:dyDescent="0.45">
      <c r="A12" s="38" t="s">
        <v>131</v>
      </c>
      <c r="B12" s="38">
        <v>11</v>
      </c>
      <c r="C12" s="38" t="s">
        <v>119</v>
      </c>
      <c r="D12" s="38">
        <v>11</v>
      </c>
      <c r="E12" s="38">
        <v>13600</v>
      </c>
      <c r="F12" s="38">
        <f t="shared" si="0"/>
        <v>13.6</v>
      </c>
      <c r="G12" s="38">
        <v>4996718.75</v>
      </c>
      <c r="H12" s="38">
        <f t="shared" si="1"/>
        <v>4.9967187500000003</v>
      </c>
      <c r="I12" s="38">
        <v>2577</v>
      </c>
      <c r="J12" s="38">
        <v>2577</v>
      </c>
      <c r="K12" s="38" t="s">
        <v>120</v>
      </c>
      <c r="L12" s="38" t="s">
        <v>120</v>
      </c>
      <c r="M12" s="38" t="s">
        <v>120</v>
      </c>
      <c r="N12" s="38">
        <v>68.474463999999998</v>
      </c>
      <c r="O12" s="38" t="s">
        <v>121</v>
      </c>
      <c r="P12" s="38" t="s">
        <v>121</v>
      </c>
      <c r="Q12" s="38" t="s">
        <v>120</v>
      </c>
      <c r="R12" s="38" t="s">
        <v>120</v>
      </c>
      <c r="S12" s="38" t="s">
        <v>120</v>
      </c>
      <c r="T12" s="38">
        <v>88</v>
      </c>
      <c r="U12" s="38">
        <v>82.839831000000004</v>
      </c>
      <c r="V12" s="38" t="s">
        <v>120</v>
      </c>
      <c r="W12" s="38" t="s">
        <v>120</v>
      </c>
      <c r="X12" s="38" t="s">
        <v>120</v>
      </c>
      <c r="Y12" s="38" t="s">
        <v>120</v>
      </c>
      <c r="Z12" s="38" t="s">
        <v>120</v>
      </c>
      <c r="AA12" s="38" t="s">
        <v>120</v>
      </c>
      <c r="AB12" s="38" t="s">
        <v>120</v>
      </c>
      <c r="AC12" s="38" t="s">
        <v>120</v>
      </c>
      <c r="AD12" s="38" t="s">
        <v>120</v>
      </c>
      <c r="AE12" s="38" t="s">
        <v>120</v>
      </c>
      <c r="AF12" s="38" t="s">
        <v>120</v>
      </c>
      <c r="AG12" s="38" t="s">
        <v>120</v>
      </c>
      <c r="AH12" s="38" t="s">
        <v>120</v>
      </c>
      <c r="AI12" s="38" t="s">
        <v>120</v>
      </c>
      <c r="AJ12" s="38" t="s">
        <v>120</v>
      </c>
      <c r="AK12" s="38" t="s">
        <v>120</v>
      </c>
      <c r="AL12" s="38" t="s">
        <v>120</v>
      </c>
      <c r="AM12" s="38" t="s">
        <v>120</v>
      </c>
      <c r="AN12" s="38" t="s">
        <v>120</v>
      </c>
      <c r="AO12" s="38" t="s">
        <v>120</v>
      </c>
      <c r="AP12" s="38" t="s">
        <v>120</v>
      </c>
      <c r="AQ12" s="38" t="s">
        <v>120</v>
      </c>
      <c r="AR12" s="38" t="s">
        <v>120</v>
      </c>
      <c r="AS12" s="38" t="s">
        <v>120</v>
      </c>
      <c r="AT12" s="38" t="s">
        <v>120</v>
      </c>
      <c r="AU12" s="38" t="s">
        <v>120</v>
      </c>
      <c r="AV12" s="38" t="s">
        <v>120</v>
      </c>
      <c r="AW12" s="38" t="s">
        <v>120</v>
      </c>
      <c r="AX12" s="38" t="s">
        <v>120</v>
      </c>
    </row>
    <row r="13" spans="1:50" x14ac:dyDescent="0.45">
      <c r="A13" s="38" t="s">
        <v>132</v>
      </c>
      <c r="B13" s="38">
        <v>12</v>
      </c>
      <c r="C13" s="38" t="s">
        <v>119</v>
      </c>
      <c r="D13" s="38">
        <v>12</v>
      </c>
      <c r="E13" s="38">
        <v>22050</v>
      </c>
      <c r="F13" s="38">
        <f t="shared" si="0"/>
        <v>22.05</v>
      </c>
      <c r="G13" s="38">
        <v>12197031.25</v>
      </c>
      <c r="H13" s="38">
        <f t="shared" si="1"/>
        <v>12.19703125</v>
      </c>
      <c r="I13" s="38">
        <v>2578</v>
      </c>
      <c r="J13" s="38">
        <v>2578</v>
      </c>
      <c r="K13" s="38" t="s">
        <v>120</v>
      </c>
      <c r="L13" s="38" t="s">
        <v>120</v>
      </c>
      <c r="M13" s="38" t="s">
        <v>120</v>
      </c>
      <c r="N13" s="38">
        <v>46.103938999999997</v>
      </c>
      <c r="O13" s="38" t="s">
        <v>121</v>
      </c>
      <c r="P13" s="38" t="s">
        <v>121</v>
      </c>
      <c r="Q13" s="38" t="s">
        <v>120</v>
      </c>
      <c r="R13" s="38" t="s">
        <v>120</v>
      </c>
      <c r="S13" s="38" t="s">
        <v>120</v>
      </c>
      <c r="T13" s="38">
        <v>81.322774999999993</v>
      </c>
      <c r="U13" s="38">
        <v>81.895520000000005</v>
      </c>
      <c r="V13" s="38" t="s">
        <v>120</v>
      </c>
      <c r="W13" s="38" t="s">
        <v>120</v>
      </c>
      <c r="X13" s="38" t="s">
        <v>120</v>
      </c>
      <c r="Y13" s="38" t="s">
        <v>120</v>
      </c>
      <c r="Z13" s="38" t="s">
        <v>120</v>
      </c>
      <c r="AA13" s="38" t="s">
        <v>120</v>
      </c>
      <c r="AB13" s="38" t="s">
        <v>120</v>
      </c>
      <c r="AC13" s="38" t="s">
        <v>120</v>
      </c>
      <c r="AD13" s="38" t="s">
        <v>120</v>
      </c>
      <c r="AE13" s="38" t="s">
        <v>120</v>
      </c>
      <c r="AF13" s="38" t="s">
        <v>120</v>
      </c>
      <c r="AG13" s="38" t="s">
        <v>120</v>
      </c>
      <c r="AH13" s="38" t="s">
        <v>120</v>
      </c>
      <c r="AI13" s="38" t="s">
        <v>120</v>
      </c>
      <c r="AJ13" s="38" t="s">
        <v>120</v>
      </c>
      <c r="AK13" s="38" t="s">
        <v>120</v>
      </c>
      <c r="AL13" s="38" t="s">
        <v>120</v>
      </c>
      <c r="AM13" s="38" t="s">
        <v>120</v>
      </c>
      <c r="AN13" s="38" t="s">
        <v>120</v>
      </c>
      <c r="AO13" s="38" t="s">
        <v>120</v>
      </c>
      <c r="AP13" s="38" t="s">
        <v>120</v>
      </c>
      <c r="AQ13" s="38" t="s">
        <v>120</v>
      </c>
      <c r="AR13" s="38" t="s">
        <v>120</v>
      </c>
      <c r="AS13" s="38" t="s">
        <v>120</v>
      </c>
      <c r="AT13" s="38" t="s">
        <v>120</v>
      </c>
      <c r="AU13" s="38" t="s">
        <v>120</v>
      </c>
      <c r="AV13" s="38" t="s">
        <v>120</v>
      </c>
      <c r="AW13" s="38" t="s">
        <v>120</v>
      </c>
      <c r="AX13" s="38" t="s">
        <v>120</v>
      </c>
    </row>
    <row r="14" spans="1:50" x14ac:dyDescent="0.45">
      <c r="A14" s="38" t="s">
        <v>133</v>
      </c>
      <c r="B14" s="38">
        <v>13</v>
      </c>
      <c r="C14" s="38" t="s">
        <v>119</v>
      </c>
      <c r="D14" s="38">
        <v>13</v>
      </c>
      <c r="E14" s="38">
        <v>22350</v>
      </c>
      <c r="F14" s="38">
        <f t="shared" si="0"/>
        <v>22.35</v>
      </c>
      <c r="G14" s="38">
        <v>13160937.5</v>
      </c>
      <c r="H14" s="38">
        <f t="shared" si="1"/>
        <v>13.160937499999999</v>
      </c>
      <c r="I14" s="38">
        <v>2579</v>
      </c>
      <c r="J14" s="38">
        <v>2579</v>
      </c>
      <c r="K14" s="38" t="s">
        <v>120</v>
      </c>
      <c r="L14" s="38" t="s">
        <v>120</v>
      </c>
      <c r="M14" s="38" t="s">
        <v>120</v>
      </c>
      <c r="N14" s="38">
        <v>64.515349999999998</v>
      </c>
      <c r="O14" s="38" t="s">
        <v>121</v>
      </c>
      <c r="P14" s="38" t="s">
        <v>121</v>
      </c>
      <c r="Q14" s="38" t="s">
        <v>120</v>
      </c>
      <c r="R14" s="38" t="s">
        <v>120</v>
      </c>
      <c r="S14" s="38" t="s">
        <v>120</v>
      </c>
      <c r="T14" s="38">
        <v>87.582699000000005</v>
      </c>
      <c r="U14" s="38">
        <v>82.654602999999994</v>
      </c>
      <c r="V14" s="38" t="s">
        <v>120</v>
      </c>
      <c r="W14" s="38" t="s">
        <v>120</v>
      </c>
      <c r="X14" s="38" t="s">
        <v>120</v>
      </c>
      <c r="Y14" s="38" t="s">
        <v>120</v>
      </c>
      <c r="Z14" s="38" t="s">
        <v>120</v>
      </c>
      <c r="AA14" s="38" t="s">
        <v>120</v>
      </c>
      <c r="AB14" s="38" t="s">
        <v>120</v>
      </c>
      <c r="AC14" s="38" t="s">
        <v>120</v>
      </c>
      <c r="AD14" s="38" t="s">
        <v>120</v>
      </c>
      <c r="AE14" s="38" t="s">
        <v>120</v>
      </c>
      <c r="AF14" s="38" t="s">
        <v>120</v>
      </c>
      <c r="AG14" s="38" t="s">
        <v>120</v>
      </c>
      <c r="AH14" s="38" t="s">
        <v>120</v>
      </c>
      <c r="AI14" s="38" t="s">
        <v>120</v>
      </c>
      <c r="AJ14" s="38" t="s">
        <v>120</v>
      </c>
      <c r="AK14" s="38" t="s">
        <v>120</v>
      </c>
      <c r="AL14" s="38" t="s">
        <v>120</v>
      </c>
      <c r="AM14" s="38" t="s">
        <v>120</v>
      </c>
      <c r="AN14" s="38" t="s">
        <v>120</v>
      </c>
      <c r="AO14" s="38" t="s">
        <v>120</v>
      </c>
      <c r="AP14" s="38" t="s">
        <v>120</v>
      </c>
      <c r="AQ14" s="38" t="s">
        <v>120</v>
      </c>
      <c r="AR14" s="38" t="s">
        <v>120</v>
      </c>
      <c r="AS14" s="38" t="s">
        <v>120</v>
      </c>
      <c r="AT14" s="38" t="s">
        <v>120</v>
      </c>
      <c r="AU14" s="38" t="s">
        <v>120</v>
      </c>
      <c r="AV14" s="38" t="s">
        <v>120</v>
      </c>
      <c r="AW14" s="38" t="s">
        <v>120</v>
      </c>
      <c r="AX14" s="38" t="s">
        <v>120</v>
      </c>
    </row>
    <row r="15" spans="1:50" x14ac:dyDescent="0.45">
      <c r="A15" s="38" t="s">
        <v>134</v>
      </c>
      <c r="B15" s="38">
        <v>14</v>
      </c>
      <c r="C15" s="38" t="s">
        <v>119</v>
      </c>
      <c r="D15" s="38">
        <v>14</v>
      </c>
      <c r="E15" s="38">
        <v>14350</v>
      </c>
      <c r="F15" s="38">
        <f t="shared" si="0"/>
        <v>14.35</v>
      </c>
      <c r="G15" s="38">
        <v>5737812.5</v>
      </c>
      <c r="H15" s="38">
        <f t="shared" si="1"/>
        <v>5.7378125000000004</v>
      </c>
      <c r="I15" s="38">
        <v>2580</v>
      </c>
      <c r="J15" s="38">
        <v>2580</v>
      </c>
      <c r="K15" s="38" t="s">
        <v>120</v>
      </c>
      <c r="L15" s="38" t="s">
        <v>120</v>
      </c>
      <c r="M15" s="38" t="s">
        <v>120</v>
      </c>
      <c r="N15" s="38">
        <v>56.893120000000003</v>
      </c>
      <c r="O15" s="38" t="s">
        <v>121</v>
      </c>
      <c r="P15" s="38" t="s">
        <v>121</v>
      </c>
      <c r="Q15" s="38" t="s">
        <v>120</v>
      </c>
      <c r="R15" s="38" t="s">
        <v>120</v>
      </c>
      <c r="S15" s="38" t="s">
        <v>120</v>
      </c>
      <c r="T15" s="38">
        <v>79.822627999999995</v>
      </c>
      <c r="U15" s="38">
        <v>83.018932000000007</v>
      </c>
      <c r="V15" s="38" t="s">
        <v>120</v>
      </c>
      <c r="W15" s="38" t="s">
        <v>120</v>
      </c>
      <c r="X15" s="38" t="s">
        <v>120</v>
      </c>
      <c r="Y15" s="38" t="s">
        <v>120</v>
      </c>
      <c r="Z15" s="38" t="s">
        <v>120</v>
      </c>
      <c r="AA15" s="38" t="s">
        <v>120</v>
      </c>
      <c r="AB15" s="38" t="s">
        <v>120</v>
      </c>
      <c r="AC15" s="38" t="s">
        <v>120</v>
      </c>
      <c r="AD15" s="38" t="s">
        <v>120</v>
      </c>
      <c r="AE15" s="38" t="s">
        <v>120</v>
      </c>
      <c r="AF15" s="38" t="s">
        <v>120</v>
      </c>
      <c r="AG15" s="38" t="s">
        <v>120</v>
      </c>
      <c r="AH15" s="38" t="s">
        <v>120</v>
      </c>
      <c r="AI15" s="38" t="s">
        <v>120</v>
      </c>
      <c r="AJ15" s="38" t="s">
        <v>120</v>
      </c>
      <c r="AK15" s="38" t="s">
        <v>120</v>
      </c>
      <c r="AL15" s="38" t="s">
        <v>120</v>
      </c>
      <c r="AM15" s="38" t="s">
        <v>120</v>
      </c>
      <c r="AN15" s="38" t="s">
        <v>120</v>
      </c>
      <c r="AO15" s="38" t="s">
        <v>120</v>
      </c>
      <c r="AP15" s="38" t="s">
        <v>120</v>
      </c>
      <c r="AQ15" s="38" t="s">
        <v>120</v>
      </c>
      <c r="AR15" s="38" t="s">
        <v>120</v>
      </c>
      <c r="AS15" s="38" t="s">
        <v>120</v>
      </c>
      <c r="AT15" s="38" t="s">
        <v>120</v>
      </c>
      <c r="AU15" s="38" t="s">
        <v>120</v>
      </c>
      <c r="AV15" s="38" t="s">
        <v>120</v>
      </c>
      <c r="AW15" s="38" t="s">
        <v>120</v>
      </c>
      <c r="AX15" s="38" t="s">
        <v>120</v>
      </c>
    </row>
    <row r="16" spans="1:50" x14ac:dyDescent="0.45">
      <c r="A16" s="38" t="s">
        <v>135</v>
      </c>
      <c r="B16" s="38">
        <v>15</v>
      </c>
      <c r="C16" s="38" t="s">
        <v>119</v>
      </c>
      <c r="D16" s="38">
        <v>15</v>
      </c>
      <c r="E16" s="38">
        <v>22250</v>
      </c>
      <c r="F16" s="38">
        <f t="shared" si="0"/>
        <v>22.25</v>
      </c>
      <c r="G16" s="38">
        <v>7853281.25</v>
      </c>
      <c r="H16" s="38">
        <f t="shared" si="1"/>
        <v>7.8532812500000002</v>
      </c>
      <c r="I16" s="38">
        <v>2581</v>
      </c>
      <c r="J16" s="38">
        <v>2581</v>
      </c>
      <c r="K16" s="38" t="s">
        <v>120</v>
      </c>
      <c r="L16" s="38" t="s">
        <v>120</v>
      </c>
      <c r="M16" s="38" t="s">
        <v>120</v>
      </c>
      <c r="N16" s="38">
        <v>49.270114999999997</v>
      </c>
      <c r="O16" s="38" t="s">
        <v>121</v>
      </c>
      <c r="P16" s="38" t="s">
        <v>121</v>
      </c>
      <c r="Q16" s="38" t="s">
        <v>120</v>
      </c>
      <c r="R16" s="38" t="s">
        <v>120</v>
      </c>
      <c r="S16" s="38" t="s">
        <v>120</v>
      </c>
      <c r="T16" s="38">
        <v>82.823721000000006</v>
      </c>
      <c r="U16" s="38">
        <v>83.191761</v>
      </c>
      <c r="V16" s="38" t="s">
        <v>120</v>
      </c>
      <c r="W16" s="38" t="s">
        <v>120</v>
      </c>
      <c r="X16" s="38" t="s">
        <v>120</v>
      </c>
      <c r="Y16" s="38" t="s">
        <v>120</v>
      </c>
      <c r="Z16" s="38" t="s">
        <v>120</v>
      </c>
      <c r="AA16" s="38" t="s">
        <v>120</v>
      </c>
      <c r="AB16" s="38" t="s">
        <v>120</v>
      </c>
      <c r="AC16" s="38" t="s">
        <v>120</v>
      </c>
      <c r="AD16" s="38" t="s">
        <v>120</v>
      </c>
      <c r="AE16" s="38" t="s">
        <v>120</v>
      </c>
      <c r="AF16" s="38" t="s">
        <v>120</v>
      </c>
      <c r="AG16" s="38" t="s">
        <v>120</v>
      </c>
      <c r="AH16" s="38" t="s">
        <v>120</v>
      </c>
      <c r="AI16" s="38" t="s">
        <v>120</v>
      </c>
      <c r="AJ16" s="38" t="s">
        <v>120</v>
      </c>
      <c r="AK16" s="38" t="s">
        <v>120</v>
      </c>
      <c r="AL16" s="38" t="s">
        <v>120</v>
      </c>
      <c r="AM16" s="38" t="s">
        <v>120</v>
      </c>
      <c r="AN16" s="38" t="s">
        <v>120</v>
      </c>
      <c r="AO16" s="38" t="s">
        <v>120</v>
      </c>
      <c r="AP16" s="38" t="s">
        <v>120</v>
      </c>
      <c r="AQ16" s="38" t="s">
        <v>120</v>
      </c>
      <c r="AR16" s="38" t="s">
        <v>120</v>
      </c>
      <c r="AS16" s="38" t="s">
        <v>120</v>
      </c>
      <c r="AT16" s="38" t="s">
        <v>120</v>
      </c>
      <c r="AU16" s="38" t="s">
        <v>120</v>
      </c>
      <c r="AV16" s="38" t="s">
        <v>120</v>
      </c>
      <c r="AW16" s="38" t="s">
        <v>120</v>
      </c>
      <c r="AX16" s="38" t="s">
        <v>120</v>
      </c>
    </row>
    <row r="17" spans="1:50" x14ac:dyDescent="0.45">
      <c r="A17" s="38" t="s">
        <v>136</v>
      </c>
      <c r="B17" s="38">
        <v>16</v>
      </c>
      <c r="C17" s="38" t="s">
        <v>119</v>
      </c>
      <c r="D17" s="38">
        <v>16</v>
      </c>
      <c r="E17" s="38">
        <v>13625</v>
      </c>
      <c r="F17" s="38">
        <f t="shared" si="0"/>
        <v>13.625</v>
      </c>
      <c r="G17" s="38">
        <v>4259531.25</v>
      </c>
      <c r="H17" s="38">
        <f t="shared" si="1"/>
        <v>4.2595312500000002</v>
      </c>
      <c r="I17" s="38">
        <v>2582</v>
      </c>
      <c r="J17" s="38">
        <v>2582</v>
      </c>
      <c r="K17" s="38" t="s">
        <v>120</v>
      </c>
      <c r="L17" s="38" t="s">
        <v>120</v>
      </c>
      <c r="M17" s="38" t="s">
        <v>120</v>
      </c>
      <c r="N17" s="38">
        <v>40.888241000000001</v>
      </c>
      <c r="O17" s="38" t="s">
        <v>121</v>
      </c>
      <c r="P17" s="38" t="s">
        <v>121</v>
      </c>
      <c r="Q17" s="38" t="s">
        <v>120</v>
      </c>
      <c r="R17" s="38" t="s">
        <v>120</v>
      </c>
      <c r="S17" s="38" t="s">
        <v>120</v>
      </c>
      <c r="T17" s="38">
        <v>85.792315000000002</v>
      </c>
      <c r="U17" s="38">
        <v>83.243476999999999</v>
      </c>
      <c r="V17" s="38" t="s">
        <v>120</v>
      </c>
      <c r="W17" s="38" t="s">
        <v>120</v>
      </c>
      <c r="X17" s="38" t="s">
        <v>120</v>
      </c>
      <c r="Y17" s="38" t="s">
        <v>120</v>
      </c>
      <c r="Z17" s="38" t="s">
        <v>120</v>
      </c>
      <c r="AA17" s="38" t="s">
        <v>120</v>
      </c>
      <c r="AB17" s="38" t="s">
        <v>120</v>
      </c>
      <c r="AC17" s="38" t="s">
        <v>120</v>
      </c>
      <c r="AD17" s="38" t="s">
        <v>120</v>
      </c>
      <c r="AE17" s="38" t="s">
        <v>120</v>
      </c>
      <c r="AF17" s="38" t="s">
        <v>120</v>
      </c>
      <c r="AG17" s="38" t="s">
        <v>120</v>
      </c>
      <c r="AH17" s="38" t="s">
        <v>120</v>
      </c>
      <c r="AI17" s="38" t="s">
        <v>120</v>
      </c>
      <c r="AJ17" s="38" t="s">
        <v>120</v>
      </c>
      <c r="AK17" s="38" t="s">
        <v>120</v>
      </c>
      <c r="AL17" s="38" t="s">
        <v>120</v>
      </c>
      <c r="AM17" s="38" t="s">
        <v>120</v>
      </c>
      <c r="AN17" s="38" t="s">
        <v>120</v>
      </c>
      <c r="AO17" s="38" t="s">
        <v>120</v>
      </c>
      <c r="AP17" s="38" t="s">
        <v>120</v>
      </c>
      <c r="AQ17" s="38" t="s">
        <v>120</v>
      </c>
      <c r="AR17" s="38" t="s">
        <v>120</v>
      </c>
      <c r="AS17" s="38" t="s">
        <v>120</v>
      </c>
      <c r="AT17" s="38" t="s">
        <v>120</v>
      </c>
      <c r="AU17" s="38" t="s">
        <v>120</v>
      </c>
      <c r="AV17" s="38" t="s">
        <v>120</v>
      </c>
      <c r="AW17" s="38" t="s">
        <v>120</v>
      </c>
      <c r="AX17" s="38" t="s">
        <v>120</v>
      </c>
    </row>
    <row r="18" spans="1:50" x14ac:dyDescent="0.45">
      <c r="A18" s="38" t="s">
        <v>137</v>
      </c>
      <c r="B18" s="38">
        <v>17</v>
      </c>
      <c r="C18" s="38" t="s">
        <v>119</v>
      </c>
      <c r="D18" s="38">
        <v>17</v>
      </c>
      <c r="E18" s="38">
        <v>6375</v>
      </c>
      <c r="F18" s="38">
        <f t="shared" si="0"/>
        <v>6.375</v>
      </c>
      <c r="G18" s="38">
        <v>1025468.75</v>
      </c>
      <c r="H18" s="38">
        <f t="shared" si="1"/>
        <v>1.0254687499999999</v>
      </c>
      <c r="I18" s="38">
        <v>2583</v>
      </c>
      <c r="J18" s="38">
        <v>2583</v>
      </c>
      <c r="K18" s="38" t="s">
        <v>120</v>
      </c>
      <c r="L18" s="38" t="s">
        <v>120</v>
      </c>
      <c r="M18" s="38" t="s">
        <v>120</v>
      </c>
      <c r="N18" s="38">
        <v>69.389426999999998</v>
      </c>
      <c r="O18" s="38" t="s">
        <v>121</v>
      </c>
      <c r="P18" s="38" t="s">
        <v>121</v>
      </c>
      <c r="Q18" s="38" t="s">
        <v>120</v>
      </c>
      <c r="R18" s="38" t="s">
        <v>120</v>
      </c>
      <c r="S18" s="38" t="s">
        <v>120</v>
      </c>
      <c r="T18" s="38">
        <v>73.878116000000006</v>
      </c>
      <c r="U18" s="38">
        <v>82.816376000000005</v>
      </c>
      <c r="V18" s="38" t="s">
        <v>120</v>
      </c>
      <c r="W18" s="38" t="s">
        <v>120</v>
      </c>
      <c r="X18" s="38" t="s">
        <v>120</v>
      </c>
      <c r="Y18" s="38" t="s">
        <v>120</v>
      </c>
      <c r="Z18" s="38" t="s">
        <v>120</v>
      </c>
      <c r="AA18" s="38" t="s">
        <v>120</v>
      </c>
      <c r="AB18" s="38" t="s">
        <v>120</v>
      </c>
      <c r="AC18" s="38" t="s">
        <v>120</v>
      </c>
      <c r="AD18" s="38" t="s">
        <v>120</v>
      </c>
      <c r="AE18" s="38" t="s">
        <v>120</v>
      </c>
      <c r="AF18" s="38" t="s">
        <v>120</v>
      </c>
      <c r="AG18" s="38" t="s">
        <v>120</v>
      </c>
      <c r="AH18" s="38" t="s">
        <v>120</v>
      </c>
      <c r="AI18" s="38" t="s">
        <v>120</v>
      </c>
      <c r="AJ18" s="38" t="s">
        <v>120</v>
      </c>
      <c r="AK18" s="38" t="s">
        <v>120</v>
      </c>
      <c r="AL18" s="38" t="s">
        <v>120</v>
      </c>
      <c r="AM18" s="38" t="s">
        <v>120</v>
      </c>
      <c r="AN18" s="38" t="s">
        <v>120</v>
      </c>
      <c r="AO18" s="38" t="s">
        <v>120</v>
      </c>
      <c r="AP18" s="38" t="s">
        <v>120</v>
      </c>
      <c r="AQ18" s="38" t="s">
        <v>120</v>
      </c>
      <c r="AR18" s="38" t="s">
        <v>120</v>
      </c>
      <c r="AS18" s="38" t="s">
        <v>120</v>
      </c>
      <c r="AT18" s="38" t="s">
        <v>120</v>
      </c>
      <c r="AU18" s="38" t="s">
        <v>120</v>
      </c>
      <c r="AV18" s="38" t="s">
        <v>120</v>
      </c>
      <c r="AW18" s="38" t="s">
        <v>120</v>
      </c>
      <c r="AX18" s="38" t="s">
        <v>120</v>
      </c>
    </row>
    <row r="19" spans="1:50" x14ac:dyDescent="0.45">
      <c r="A19" s="38" t="s">
        <v>138</v>
      </c>
      <c r="B19" s="38">
        <v>18</v>
      </c>
      <c r="C19" s="38" t="s">
        <v>119</v>
      </c>
      <c r="D19" s="38">
        <v>18</v>
      </c>
      <c r="E19" s="38">
        <v>18525</v>
      </c>
      <c r="F19" s="38">
        <f t="shared" si="0"/>
        <v>18.524999999999999</v>
      </c>
      <c r="G19" s="38">
        <v>7745156.25</v>
      </c>
      <c r="H19" s="38">
        <f t="shared" si="1"/>
        <v>7.74515625</v>
      </c>
      <c r="I19" s="38">
        <v>2584</v>
      </c>
      <c r="J19" s="38">
        <v>2584</v>
      </c>
      <c r="K19" s="38" t="s">
        <v>120</v>
      </c>
      <c r="L19" s="38" t="s">
        <v>120</v>
      </c>
      <c r="M19" s="38" t="s">
        <v>120</v>
      </c>
      <c r="N19" s="38">
        <v>52.719948000000002</v>
      </c>
      <c r="O19" s="38" t="s">
        <v>121</v>
      </c>
      <c r="P19" s="38" t="s">
        <v>121</v>
      </c>
      <c r="Q19" s="38" t="s">
        <v>120</v>
      </c>
      <c r="R19" s="38" t="s">
        <v>120</v>
      </c>
      <c r="S19" s="38" t="s">
        <v>120</v>
      </c>
      <c r="T19" s="38">
        <v>72.569914999999995</v>
      </c>
      <c r="U19" s="38">
        <v>82.393519999999995</v>
      </c>
      <c r="V19" s="38" t="s">
        <v>120</v>
      </c>
      <c r="W19" s="38" t="s">
        <v>120</v>
      </c>
      <c r="X19" s="38" t="s">
        <v>120</v>
      </c>
      <c r="Y19" s="38" t="s">
        <v>120</v>
      </c>
      <c r="Z19" s="38" t="s">
        <v>120</v>
      </c>
      <c r="AA19" s="38" t="s">
        <v>120</v>
      </c>
      <c r="AB19" s="38" t="s">
        <v>120</v>
      </c>
      <c r="AC19" s="38" t="s">
        <v>120</v>
      </c>
      <c r="AD19" s="38" t="s">
        <v>120</v>
      </c>
      <c r="AE19" s="38" t="s">
        <v>120</v>
      </c>
      <c r="AF19" s="38" t="s">
        <v>120</v>
      </c>
      <c r="AG19" s="38" t="s">
        <v>120</v>
      </c>
      <c r="AH19" s="38" t="s">
        <v>120</v>
      </c>
      <c r="AI19" s="38" t="s">
        <v>120</v>
      </c>
      <c r="AJ19" s="38" t="s">
        <v>120</v>
      </c>
      <c r="AK19" s="38" t="s">
        <v>120</v>
      </c>
      <c r="AL19" s="38" t="s">
        <v>120</v>
      </c>
      <c r="AM19" s="38" t="s">
        <v>120</v>
      </c>
      <c r="AN19" s="38" t="s">
        <v>120</v>
      </c>
      <c r="AO19" s="38" t="s">
        <v>120</v>
      </c>
      <c r="AP19" s="38" t="s">
        <v>120</v>
      </c>
      <c r="AQ19" s="38" t="s">
        <v>120</v>
      </c>
      <c r="AR19" s="38" t="s">
        <v>120</v>
      </c>
      <c r="AS19" s="38" t="s">
        <v>120</v>
      </c>
      <c r="AT19" s="38" t="s">
        <v>120</v>
      </c>
      <c r="AU19" s="38" t="s">
        <v>120</v>
      </c>
      <c r="AV19" s="38" t="s">
        <v>120</v>
      </c>
      <c r="AW19" s="38" t="s">
        <v>120</v>
      </c>
      <c r="AX19" s="38" t="s">
        <v>120</v>
      </c>
    </row>
    <row r="20" spans="1:50" x14ac:dyDescent="0.45">
      <c r="A20" s="38" t="s">
        <v>139</v>
      </c>
      <c r="B20" s="38">
        <v>19</v>
      </c>
      <c r="C20" s="38" t="s">
        <v>119</v>
      </c>
      <c r="D20" s="38">
        <v>19</v>
      </c>
      <c r="E20" s="38">
        <v>23200</v>
      </c>
      <c r="F20" s="38">
        <f t="shared" si="0"/>
        <v>23.2</v>
      </c>
      <c r="G20" s="38">
        <v>13525625</v>
      </c>
      <c r="H20" s="38">
        <f t="shared" si="1"/>
        <v>13.525625</v>
      </c>
      <c r="I20" s="38">
        <v>2585</v>
      </c>
      <c r="J20" s="38">
        <v>2585</v>
      </c>
      <c r="K20" s="38" t="s">
        <v>120</v>
      </c>
      <c r="L20" s="38" t="s">
        <v>120</v>
      </c>
      <c r="M20" s="38" t="s">
        <v>120</v>
      </c>
      <c r="N20" s="38">
        <v>53.061408999999998</v>
      </c>
      <c r="O20" s="38" t="s">
        <v>121</v>
      </c>
      <c r="P20" s="38" t="s">
        <v>121</v>
      </c>
      <c r="Q20" s="38" t="s">
        <v>120</v>
      </c>
      <c r="R20" s="38" t="s">
        <v>120</v>
      </c>
      <c r="S20" s="38" t="s">
        <v>120</v>
      </c>
      <c r="T20" s="38">
        <v>77.945437999999996</v>
      </c>
      <c r="U20" s="38">
        <v>82.455680000000001</v>
      </c>
      <c r="V20" s="38" t="s">
        <v>120</v>
      </c>
      <c r="W20" s="38" t="s">
        <v>120</v>
      </c>
      <c r="X20" s="38" t="s">
        <v>120</v>
      </c>
      <c r="Y20" s="38" t="s">
        <v>120</v>
      </c>
      <c r="Z20" s="38" t="s">
        <v>120</v>
      </c>
      <c r="AA20" s="38" t="s">
        <v>120</v>
      </c>
      <c r="AB20" s="38" t="s">
        <v>120</v>
      </c>
      <c r="AC20" s="38" t="s">
        <v>120</v>
      </c>
      <c r="AD20" s="38" t="s">
        <v>120</v>
      </c>
      <c r="AE20" s="38" t="s">
        <v>120</v>
      </c>
      <c r="AF20" s="38" t="s">
        <v>120</v>
      </c>
      <c r="AG20" s="38" t="s">
        <v>120</v>
      </c>
      <c r="AH20" s="38" t="s">
        <v>120</v>
      </c>
      <c r="AI20" s="38" t="s">
        <v>120</v>
      </c>
      <c r="AJ20" s="38" t="s">
        <v>120</v>
      </c>
      <c r="AK20" s="38" t="s">
        <v>120</v>
      </c>
      <c r="AL20" s="38" t="s">
        <v>120</v>
      </c>
      <c r="AM20" s="38" t="s">
        <v>120</v>
      </c>
      <c r="AN20" s="38" t="s">
        <v>120</v>
      </c>
      <c r="AO20" s="38" t="s">
        <v>120</v>
      </c>
      <c r="AP20" s="38" t="s">
        <v>120</v>
      </c>
      <c r="AQ20" s="38" t="s">
        <v>120</v>
      </c>
      <c r="AR20" s="38" t="s">
        <v>120</v>
      </c>
      <c r="AS20" s="38" t="s">
        <v>120</v>
      </c>
      <c r="AT20" s="38" t="s">
        <v>120</v>
      </c>
      <c r="AU20" s="38" t="s">
        <v>120</v>
      </c>
      <c r="AV20" s="38" t="s">
        <v>120</v>
      </c>
      <c r="AW20" s="38" t="s">
        <v>120</v>
      </c>
      <c r="AX20" s="38" t="s">
        <v>120</v>
      </c>
    </row>
    <row r="21" spans="1:50" x14ac:dyDescent="0.45">
      <c r="A21" s="38" t="s">
        <v>140</v>
      </c>
      <c r="B21" s="38">
        <v>20</v>
      </c>
      <c r="C21" s="38" t="s">
        <v>119</v>
      </c>
      <c r="D21" s="38">
        <v>20</v>
      </c>
      <c r="E21" s="38">
        <v>15600</v>
      </c>
      <c r="F21" s="38">
        <f t="shared" si="0"/>
        <v>15.6</v>
      </c>
      <c r="G21" s="38">
        <v>5458437.5</v>
      </c>
      <c r="H21" s="38">
        <f t="shared" si="1"/>
        <v>5.4584374999999996</v>
      </c>
      <c r="I21" s="38">
        <v>2586</v>
      </c>
      <c r="J21" s="38">
        <v>2586</v>
      </c>
      <c r="K21" s="38" t="s">
        <v>120</v>
      </c>
      <c r="L21" s="38" t="s">
        <v>120</v>
      </c>
      <c r="M21" s="38" t="s">
        <v>120</v>
      </c>
      <c r="N21" s="38">
        <v>45.870010000000001</v>
      </c>
      <c r="O21" s="38" t="s">
        <v>121</v>
      </c>
      <c r="P21" s="38" t="s">
        <v>121</v>
      </c>
      <c r="Q21" s="38" t="s">
        <v>120</v>
      </c>
      <c r="R21" s="38" t="s">
        <v>120</v>
      </c>
      <c r="S21" s="38" t="s">
        <v>120</v>
      </c>
      <c r="T21" s="38">
        <v>83.050736000000001</v>
      </c>
      <c r="U21" s="38">
        <v>83.034110999999996</v>
      </c>
      <c r="V21" s="38" t="s">
        <v>120</v>
      </c>
      <c r="W21" s="38" t="s">
        <v>120</v>
      </c>
      <c r="X21" s="38" t="s">
        <v>120</v>
      </c>
      <c r="Y21" s="38" t="s">
        <v>120</v>
      </c>
      <c r="Z21" s="38" t="s">
        <v>120</v>
      </c>
      <c r="AA21" s="38" t="s">
        <v>120</v>
      </c>
      <c r="AB21" s="38" t="s">
        <v>120</v>
      </c>
      <c r="AC21" s="38" t="s">
        <v>120</v>
      </c>
      <c r="AD21" s="38" t="s">
        <v>120</v>
      </c>
      <c r="AE21" s="38" t="s">
        <v>120</v>
      </c>
      <c r="AF21" s="38" t="s">
        <v>120</v>
      </c>
      <c r="AG21" s="38" t="s">
        <v>120</v>
      </c>
      <c r="AH21" s="38" t="s">
        <v>120</v>
      </c>
      <c r="AI21" s="38" t="s">
        <v>120</v>
      </c>
      <c r="AJ21" s="38" t="s">
        <v>120</v>
      </c>
      <c r="AK21" s="38" t="s">
        <v>120</v>
      </c>
      <c r="AL21" s="38" t="s">
        <v>120</v>
      </c>
      <c r="AM21" s="38" t="s">
        <v>120</v>
      </c>
      <c r="AN21" s="38" t="s">
        <v>120</v>
      </c>
      <c r="AO21" s="38" t="s">
        <v>120</v>
      </c>
      <c r="AP21" s="38" t="s">
        <v>120</v>
      </c>
      <c r="AQ21" s="38" t="s">
        <v>120</v>
      </c>
      <c r="AR21" s="38" t="s">
        <v>120</v>
      </c>
      <c r="AS21" s="38" t="s">
        <v>120</v>
      </c>
      <c r="AT21" s="38" t="s">
        <v>120</v>
      </c>
      <c r="AU21" s="38" t="s">
        <v>120</v>
      </c>
      <c r="AV21" s="38" t="s">
        <v>120</v>
      </c>
      <c r="AW21" s="38" t="s">
        <v>120</v>
      </c>
      <c r="AX21" s="38" t="s">
        <v>120</v>
      </c>
    </row>
    <row r="22" spans="1:50" x14ac:dyDescent="0.45">
      <c r="A22" s="38" t="s">
        <v>141</v>
      </c>
      <c r="B22" s="38">
        <v>21</v>
      </c>
      <c r="C22" s="38" t="s">
        <v>119</v>
      </c>
      <c r="D22" s="38">
        <v>21</v>
      </c>
      <c r="E22" s="38">
        <v>16850</v>
      </c>
      <c r="F22" s="38">
        <f t="shared" si="0"/>
        <v>16.850000000000001</v>
      </c>
      <c r="G22" s="38">
        <v>6704687.5</v>
      </c>
      <c r="H22" s="38">
        <f t="shared" si="1"/>
        <v>6.7046875000000004</v>
      </c>
      <c r="I22" s="38">
        <v>2587</v>
      </c>
      <c r="J22" s="38">
        <v>2587</v>
      </c>
      <c r="K22" s="38" t="s">
        <v>120</v>
      </c>
      <c r="L22" s="38" t="s">
        <v>120</v>
      </c>
      <c r="M22" s="38" t="s">
        <v>120</v>
      </c>
      <c r="N22" s="38">
        <v>60.315463999999999</v>
      </c>
      <c r="O22" s="38" t="s">
        <v>121</v>
      </c>
      <c r="P22" s="38" t="s">
        <v>121</v>
      </c>
      <c r="Q22" s="38" t="s">
        <v>120</v>
      </c>
      <c r="R22" s="38" t="s">
        <v>120</v>
      </c>
      <c r="S22" s="38" t="s">
        <v>120</v>
      </c>
      <c r="T22" s="38">
        <v>74.154072999999997</v>
      </c>
      <c r="U22" s="38">
        <v>81.962480999999997</v>
      </c>
      <c r="V22" s="38" t="s">
        <v>120</v>
      </c>
      <c r="W22" s="38" t="s">
        <v>120</v>
      </c>
      <c r="X22" s="38" t="s">
        <v>120</v>
      </c>
      <c r="Y22" s="38" t="s">
        <v>120</v>
      </c>
      <c r="Z22" s="38" t="s">
        <v>120</v>
      </c>
      <c r="AA22" s="38" t="s">
        <v>120</v>
      </c>
      <c r="AB22" s="38" t="s">
        <v>120</v>
      </c>
      <c r="AC22" s="38" t="s">
        <v>120</v>
      </c>
      <c r="AD22" s="38" t="s">
        <v>120</v>
      </c>
      <c r="AE22" s="38" t="s">
        <v>120</v>
      </c>
      <c r="AF22" s="38" t="s">
        <v>120</v>
      </c>
      <c r="AG22" s="38" t="s">
        <v>120</v>
      </c>
      <c r="AH22" s="38" t="s">
        <v>120</v>
      </c>
      <c r="AI22" s="38" t="s">
        <v>120</v>
      </c>
      <c r="AJ22" s="38" t="s">
        <v>120</v>
      </c>
      <c r="AK22" s="38" t="s">
        <v>120</v>
      </c>
      <c r="AL22" s="38" t="s">
        <v>120</v>
      </c>
      <c r="AM22" s="38" t="s">
        <v>120</v>
      </c>
      <c r="AN22" s="38" t="s">
        <v>120</v>
      </c>
      <c r="AO22" s="38" t="s">
        <v>120</v>
      </c>
      <c r="AP22" s="38" t="s">
        <v>120</v>
      </c>
      <c r="AQ22" s="38" t="s">
        <v>120</v>
      </c>
      <c r="AR22" s="38" t="s">
        <v>120</v>
      </c>
      <c r="AS22" s="38" t="s">
        <v>120</v>
      </c>
      <c r="AT22" s="38" t="s">
        <v>120</v>
      </c>
      <c r="AU22" s="38" t="s">
        <v>120</v>
      </c>
      <c r="AV22" s="38" t="s">
        <v>120</v>
      </c>
      <c r="AW22" s="38" t="s">
        <v>120</v>
      </c>
      <c r="AX22" s="38" t="s">
        <v>120</v>
      </c>
    </row>
    <row r="23" spans="1:50" x14ac:dyDescent="0.45">
      <c r="A23" s="38" t="s">
        <v>142</v>
      </c>
      <c r="B23" s="38">
        <v>22</v>
      </c>
      <c r="C23" s="38" t="s">
        <v>119</v>
      </c>
      <c r="D23" s="38">
        <v>22</v>
      </c>
      <c r="E23" s="38">
        <v>16625</v>
      </c>
      <c r="F23" s="38">
        <f t="shared" si="0"/>
        <v>16.625</v>
      </c>
      <c r="G23" s="38">
        <v>8842031.25</v>
      </c>
      <c r="H23" s="38">
        <f t="shared" si="1"/>
        <v>8.8420312499999998</v>
      </c>
      <c r="I23" s="38">
        <v>2588</v>
      </c>
      <c r="J23" s="38">
        <v>2588</v>
      </c>
      <c r="K23" s="38" t="s">
        <v>120</v>
      </c>
      <c r="L23" s="38" t="s">
        <v>120</v>
      </c>
      <c r="M23" s="38" t="s">
        <v>120</v>
      </c>
      <c r="N23" s="38">
        <v>24.582066000000001</v>
      </c>
      <c r="O23" s="38" t="s">
        <v>121</v>
      </c>
      <c r="P23" s="38" t="s">
        <v>121</v>
      </c>
      <c r="Q23" s="38" t="s">
        <v>120</v>
      </c>
      <c r="R23" s="38" t="s">
        <v>120</v>
      </c>
      <c r="S23" s="38" t="s">
        <v>120</v>
      </c>
      <c r="T23" s="38">
        <v>85.818297999999999</v>
      </c>
      <c r="U23" s="38">
        <v>81.926225000000002</v>
      </c>
      <c r="V23" s="38" t="s">
        <v>120</v>
      </c>
      <c r="W23" s="38" t="s">
        <v>120</v>
      </c>
      <c r="X23" s="38" t="s">
        <v>120</v>
      </c>
      <c r="Y23" s="38" t="s">
        <v>120</v>
      </c>
      <c r="Z23" s="38" t="s">
        <v>120</v>
      </c>
      <c r="AA23" s="38" t="s">
        <v>120</v>
      </c>
      <c r="AB23" s="38" t="s">
        <v>120</v>
      </c>
      <c r="AC23" s="38" t="s">
        <v>120</v>
      </c>
      <c r="AD23" s="38" t="s">
        <v>120</v>
      </c>
      <c r="AE23" s="38" t="s">
        <v>120</v>
      </c>
      <c r="AF23" s="38" t="s">
        <v>120</v>
      </c>
      <c r="AG23" s="38" t="s">
        <v>120</v>
      </c>
      <c r="AH23" s="38" t="s">
        <v>120</v>
      </c>
      <c r="AI23" s="38" t="s">
        <v>120</v>
      </c>
      <c r="AJ23" s="38" t="s">
        <v>120</v>
      </c>
      <c r="AK23" s="38" t="s">
        <v>120</v>
      </c>
      <c r="AL23" s="38" t="s">
        <v>120</v>
      </c>
      <c r="AM23" s="38" t="s">
        <v>120</v>
      </c>
      <c r="AN23" s="38" t="s">
        <v>120</v>
      </c>
      <c r="AO23" s="38" t="s">
        <v>120</v>
      </c>
      <c r="AP23" s="38" t="s">
        <v>120</v>
      </c>
      <c r="AQ23" s="38" t="s">
        <v>120</v>
      </c>
      <c r="AR23" s="38" t="s">
        <v>120</v>
      </c>
      <c r="AS23" s="38" t="s">
        <v>120</v>
      </c>
      <c r="AT23" s="38" t="s">
        <v>120</v>
      </c>
      <c r="AU23" s="38" t="s">
        <v>120</v>
      </c>
      <c r="AV23" s="38" t="s">
        <v>120</v>
      </c>
      <c r="AW23" s="38" t="s">
        <v>120</v>
      </c>
      <c r="AX23" s="38" t="s">
        <v>120</v>
      </c>
    </row>
    <row r="24" spans="1:50" x14ac:dyDescent="0.45">
      <c r="A24" s="38" t="s">
        <v>143</v>
      </c>
      <c r="B24" s="38">
        <v>23</v>
      </c>
      <c r="C24" s="38" t="s">
        <v>119</v>
      </c>
      <c r="D24" s="38">
        <v>23</v>
      </c>
      <c r="E24" s="38">
        <v>23900</v>
      </c>
      <c r="F24" s="38">
        <f t="shared" si="0"/>
        <v>23.9</v>
      </c>
      <c r="G24" s="38">
        <v>14137343.75</v>
      </c>
      <c r="H24" s="38">
        <f t="shared" si="1"/>
        <v>14.137343749999999</v>
      </c>
      <c r="I24" s="38">
        <v>2589</v>
      </c>
      <c r="J24" s="38">
        <v>2589</v>
      </c>
      <c r="K24" s="38" t="s">
        <v>120</v>
      </c>
      <c r="L24" s="38" t="s">
        <v>120</v>
      </c>
      <c r="M24" s="38" t="s">
        <v>120</v>
      </c>
      <c r="N24" s="38">
        <v>48.036788999999999</v>
      </c>
      <c r="O24" s="38" t="s">
        <v>121</v>
      </c>
      <c r="P24" s="38" t="s">
        <v>121</v>
      </c>
      <c r="Q24" s="38" t="s">
        <v>120</v>
      </c>
      <c r="R24" s="38" t="s">
        <v>120</v>
      </c>
      <c r="S24" s="38" t="s">
        <v>120</v>
      </c>
      <c r="T24" s="38">
        <v>78.776263</v>
      </c>
      <c r="U24" s="38">
        <v>81.408623000000006</v>
      </c>
      <c r="V24" s="38" t="s">
        <v>120</v>
      </c>
      <c r="W24" s="38" t="s">
        <v>120</v>
      </c>
      <c r="X24" s="38" t="s">
        <v>120</v>
      </c>
      <c r="Y24" s="38" t="s">
        <v>120</v>
      </c>
      <c r="Z24" s="38" t="s">
        <v>120</v>
      </c>
      <c r="AA24" s="38" t="s">
        <v>120</v>
      </c>
      <c r="AB24" s="38" t="s">
        <v>120</v>
      </c>
      <c r="AC24" s="38" t="s">
        <v>120</v>
      </c>
      <c r="AD24" s="38" t="s">
        <v>120</v>
      </c>
      <c r="AE24" s="38" t="s">
        <v>120</v>
      </c>
      <c r="AF24" s="38" t="s">
        <v>120</v>
      </c>
      <c r="AG24" s="38" t="s">
        <v>120</v>
      </c>
      <c r="AH24" s="38" t="s">
        <v>120</v>
      </c>
      <c r="AI24" s="38" t="s">
        <v>120</v>
      </c>
      <c r="AJ24" s="38" t="s">
        <v>120</v>
      </c>
      <c r="AK24" s="38" t="s">
        <v>120</v>
      </c>
      <c r="AL24" s="38" t="s">
        <v>120</v>
      </c>
      <c r="AM24" s="38" t="s">
        <v>120</v>
      </c>
      <c r="AN24" s="38" t="s">
        <v>120</v>
      </c>
      <c r="AO24" s="38" t="s">
        <v>120</v>
      </c>
      <c r="AP24" s="38" t="s">
        <v>120</v>
      </c>
      <c r="AQ24" s="38" t="s">
        <v>120</v>
      </c>
      <c r="AR24" s="38" t="s">
        <v>120</v>
      </c>
      <c r="AS24" s="38" t="s">
        <v>120</v>
      </c>
      <c r="AT24" s="38" t="s">
        <v>120</v>
      </c>
      <c r="AU24" s="38" t="s">
        <v>120</v>
      </c>
      <c r="AV24" s="38" t="s">
        <v>120</v>
      </c>
      <c r="AW24" s="38" t="s">
        <v>120</v>
      </c>
      <c r="AX24" s="38" t="s">
        <v>120</v>
      </c>
    </row>
    <row r="25" spans="1:50" x14ac:dyDescent="0.45">
      <c r="A25" s="38" t="s">
        <v>144</v>
      </c>
      <c r="B25" s="38">
        <v>24</v>
      </c>
      <c r="C25" s="38" t="s">
        <v>119</v>
      </c>
      <c r="D25" s="38">
        <v>24</v>
      </c>
      <c r="E25" s="38">
        <v>9125</v>
      </c>
      <c r="F25" s="38">
        <f t="shared" si="0"/>
        <v>9.125</v>
      </c>
      <c r="G25" s="38">
        <v>2591875</v>
      </c>
      <c r="H25" s="38">
        <f t="shared" si="1"/>
        <v>2.5918749999999999</v>
      </c>
      <c r="I25" s="38">
        <v>2590</v>
      </c>
      <c r="J25" s="38">
        <v>2590</v>
      </c>
      <c r="K25" s="38" t="s">
        <v>120</v>
      </c>
      <c r="L25" s="38" t="s">
        <v>120</v>
      </c>
      <c r="M25" s="38" t="s">
        <v>120</v>
      </c>
      <c r="N25" s="38">
        <v>64.199012999999994</v>
      </c>
      <c r="O25" s="38" t="s">
        <v>121</v>
      </c>
      <c r="P25" s="38" t="s">
        <v>121</v>
      </c>
      <c r="Q25" s="38" t="s">
        <v>120</v>
      </c>
      <c r="R25" s="38" t="s">
        <v>120</v>
      </c>
      <c r="S25" s="38" t="s">
        <v>120</v>
      </c>
      <c r="T25" s="38">
        <v>74.504925</v>
      </c>
      <c r="U25" s="38">
        <v>81.487868000000006</v>
      </c>
      <c r="V25" s="38" t="s">
        <v>120</v>
      </c>
      <c r="W25" s="38" t="s">
        <v>120</v>
      </c>
      <c r="X25" s="38" t="s">
        <v>120</v>
      </c>
      <c r="Y25" s="38" t="s">
        <v>120</v>
      </c>
      <c r="Z25" s="38" t="s">
        <v>120</v>
      </c>
      <c r="AA25" s="38" t="s">
        <v>120</v>
      </c>
      <c r="AB25" s="38" t="s">
        <v>120</v>
      </c>
      <c r="AC25" s="38" t="s">
        <v>120</v>
      </c>
      <c r="AD25" s="38" t="s">
        <v>120</v>
      </c>
      <c r="AE25" s="38" t="s">
        <v>120</v>
      </c>
      <c r="AF25" s="38" t="s">
        <v>120</v>
      </c>
      <c r="AG25" s="38" t="s">
        <v>120</v>
      </c>
      <c r="AH25" s="38" t="s">
        <v>120</v>
      </c>
      <c r="AI25" s="38" t="s">
        <v>120</v>
      </c>
      <c r="AJ25" s="38" t="s">
        <v>120</v>
      </c>
      <c r="AK25" s="38" t="s">
        <v>120</v>
      </c>
      <c r="AL25" s="38" t="s">
        <v>120</v>
      </c>
      <c r="AM25" s="38" t="s">
        <v>120</v>
      </c>
      <c r="AN25" s="38" t="s">
        <v>120</v>
      </c>
      <c r="AO25" s="38" t="s">
        <v>120</v>
      </c>
      <c r="AP25" s="38" t="s">
        <v>120</v>
      </c>
      <c r="AQ25" s="38" t="s">
        <v>120</v>
      </c>
      <c r="AR25" s="38" t="s">
        <v>120</v>
      </c>
      <c r="AS25" s="38" t="s">
        <v>120</v>
      </c>
      <c r="AT25" s="38" t="s">
        <v>120</v>
      </c>
      <c r="AU25" s="38" t="s">
        <v>120</v>
      </c>
      <c r="AV25" s="38" t="s">
        <v>120</v>
      </c>
      <c r="AW25" s="38" t="s">
        <v>120</v>
      </c>
      <c r="AX25" s="38" t="s">
        <v>120</v>
      </c>
    </row>
    <row r="26" spans="1:50" x14ac:dyDescent="0.45">
      <c r="A26" s="38" t="s">
        <v>145</v>
      </c>
      <c r="B26" s="38">
        <v>25</v>
      </c>
      <c r="C26" s="38" t="s">
        <v>119</v>
      </c>
      <c r="D26" s="38">
        <v>25</v>
      </c>
      <c r="E26" s="38">
        <v>25925</v>
      </c>
      <c r="F26" s="38">
        <f t="shared" si="0"/>
        <v>25.925000000000001</v>
      </c>
      <c r="G26" s="38">
        <v>16939375</v>
      </c>
      <c r="H26" s="38">
        <f t="shared" si="1"/>
        <v>16.939374999999998</v>
      </c>
      <c r="I26" s="38">
        <v>2591</v>
      </c>
      <c r="J26" s="38">
        <v>2591</v>
      </c>
      <c r="K26" s="38" t="s">
        <v>120</v>
      </c>
      <c r="L26" s="38" t="s">
        <v>120</v>
      </c>
      <c r="M26" s="38" t="s">
        <v>120</v>
      </c>
      <c r="N26" s="38">
        <v>48.997917000000001</v>
      </c>
      <c r="O26" s="38" t="s">
        <v>121</v>
      </c>
      <c r="P26" s="38" t="s">
        <v>121</v>
      </c>
      <c r="Q26" s="38" t="s">
        <v>120</v>
      </c>
      <c r="R26" s="38" t="s">
        <v>120</v>
      </c>
      <c r="S26" s="38" t="s">
        <v>120</v>
      </c>
      <c r="T26" s="38">
        <v>81.976894999999999</v>
      </c>
      <c r="U26" s="38">
        <v>82.257124000000005</v>
      </c>
      <c r="V26" s="38" t="s">
        <v>120</v>
      </c>
      <c r="W26" s="38" t="s">
        <v>120</v>
      </c>
      <c r="X26" s="38" t="s">
        <v>120</v>
      </c>
      <c r="Y26" s="38" t="s">
        <v>120</v>
      </c>
      <c r="Z26" s="38" t="s">
        <v>120</v>
      </c>
      <c r="AA26" s="38" t="s">
        <v>120</v>
      </c>
      <c r="AB26" s="38" t="s">
        <v>120</v>
      </c>
      <c r="AC26" s="38" t="s">
        <v>120</v>
      </c>
      <c r="AD26" s="38" t="s">
        <v>120</v>
      </c>
      <c r="AE26" s="38" t="s">
        <v>120</v>
      </c>
      <c r="AF26" s="38" t="s">
        <v>120</v>
      </c>
      <c r="AG26" s="38" t="s">
        <v>120</v>
      </c>
      <c r="AH26" s="38" t="s">
        <v>120</v>
      </c>
      <c r="AI26" s="38" t="s">
        <v>120</v>
      </c>
      <c r="AJ26" s="38" t="s">
        <v>120</v>
      </c>
      <c r="AK26" s="38" t="s">
        <v>120</v>
      </c>
      <c r="AL26" s="38" t="s">
        <v>120</v>
      </c>
      <c r="AM26" s="38" t="s">
        <v>120</v>
      </c>
      <c r="AN26" s="38" t="s">
        <v>120</v>
      </c>
      <c r="AO26" s="38" t="s">
        <v>120</v>
      </c>
      <c r="AP26" s="38" t="s">
        <v>120</v>
      </c>
      <c r="AQ26" s="38" t="s">
        <v>120</v>
      </c>
      <c r="AR26" s="38" t="s">
        <v>120</v>
      </c>
      <c r="AS26" s="38" t="s">
        <v>120</v>
      </c>
      <c r="AT26" s="38" t="s">
        <v>120</v>
      </c>
      <c r="AU26" s="38" t="s">
        <v>120</v>
      </c>
      <c r="AV26" s="38" t="s">
        <v>120</v>
      </c>
      <c r="AW26" s="38" t="s">
        <v>120</v>
      </c>
      <c r="AX26" s="38" t="s">
        <v>120</v>
      </c>
    </row>
    <row r="27" spans="1:50" x14ac:dyDescent="0.45">
      <c r="A27" s="38" t="s">
        <v>146</v>
      </c>
      <c r="B27" s="38">
        <v>26</v>
      </c>
      <c r="C27" s="38" t="s">
        <v>119</v>
      </c>
      <c r="D27" s="38">
        <v>26</v>
      </c>
      <c r="E27" s="38">
        <v>11450</v>
      </c>
      <c r="F27" s="38">
        <f t="shared" si="0"/>
        <v>11.45</v>
      </c>
      <c r="G27" s="38">
        <v>4299531.25</v>
      </c>
      <c r="H27" s="38">
        <f t="shared" si="1"/>
        <v>4.2995312500000002</v>
      </c>
      <c r="I27" s="38">
        <v>2592</v>
      </c>
      <c r="J27" s="38">
        <v>2592</v>
      </c>
      <c r="K27" s="38" t="s">
        <v>120</v>
      </c>
      <c r="L27" s="38" t="s">
        <v>120</v>
      </c>
      <c r="M27" s="38" t="s">
        <v>120</v>
      </c>
      <c r="N27" s="38">
        <v>59.302306999999999</v>
      </c>
      <c r="O27" s="38" t="s">
        <v>121</v>
      </c>
      <c r="P27" s="38" t="s">
        <v>121</v>
      </c>
      <c r="Q27" s="38" t="s">
        <v>120</v>
      </c>
      <c r="R27" s="38" t="s">
        <v>120</v>
      </c>
      <c r="S27" s="38" t="s">
        <v>120</v>
      </c>
      <c r="T27" s="38">
        <v>70.089906999999997</v>
      </c>
      <c r="U27" s="38">
        <v>81.842967000000002</v>
      </c>
      <c r="V27" s="38" t="s">
        <v>120</v>
      </c>
      <c r="W27" s="38" t="s">
        <v>120</v>
      </c>
      <c r="X27" s="38" t="s">
        <v>120</v>
      </c>
      <c r="Y27" s="38" t="s">
        <v>120</v>
      </c>
      <c r="Z27" s="38" t="s">
        <v>120</v>
      </c>
      <c r="AA27" s="38" t="s">
        <v>120</v>
      </c>
      <c r="AB27" s="38" t="s">
        <v>120</v>
      </c>
      <c r="AC27" s="38" t="s">
        <v>120</v>
      </c>
      <c r="AD27" s="38" t="s">
        <v>120</v>
      </c>
      <c r="AE27" s="38" t="s">
        <v>120</v>
      </c>
      <c r="AF27" s="38" t="s">
        <v>120</v>
      </c>
      <c r="AG27" s="38" t="s">
        <v>120</v>
      </c>
      <c r="AH27" s="38" t="s">
        <v>120</v>
      </c>
      <c r="AI27" s="38" t="s">
        <v>120</v>
      </c>
      <c r="AJ27" s="38" t="s">
        <v>120</v>
      </c>
      <c r="AK27" s="38" t="s">
        <v>120</v>
      </c>
      <c r="AL27" s="38" t="s">
        <v>120</v>
      </c>
      <c r="AM27" s="38" t="s">
        <v>120</v>
      </c>
      <c r="AN27" s="38" t="s">
        <v>120</v>
      </c>
      <c r="AO27" s="38" t="s">
        <v>120</v>
      </c>
      <c r="AP27" s="38" t="s">
        <v>120</v>
      </c>
      <c r="AQ27" s="38" t="s">
        <v>120</v>
      </c>
      <c r="AR27" s="38" t="s">
        <v>120</v>
      </c>
      <c r="AS27" s="38" t="s">
        <v>120</v>
      </c>
      <c r="AT27" s="38" t="s">
        <v>120</v>
      </c>
      <c r="AU27" s="38" t="s">
        <v>120</v>
      </c>
      <c r="AV27" s="38" t="s">
        <v>120</v>
      </c>
      <c r="AW27" s="38" t="s">
        <v>120</v>
      </c>
      <c r="AX27" s="38" t="s">
        <v>120</v>
      </c>
    </row>
    <row r="28" spans="1:50" x14ac:dyDescent="0.45">
      <c r="A28" s="38" t="s">
        <v>147</v>
      </c>
      <c r="B28" s="38">
        <v>27</v>
      </c>
      <c r="C28" s="38" t="s">
        <v>119</v>
      </c>
      <c r="D28" s="38">
        <v>27</v>
      </c>
      <c r="E28" s="38">
        <v>20175</v>
      </c>
      <c r="F28" s="38">
        <f t="shared" si="0"/>
        <v>20.175000000000001</v>
      </c>
      <c r="G28" s="38">
        <v>10688906.25</v>
      </c>
      <c r="H28" s="38">
        <f t="shared" si="1"/>
        <v>10.68890625</v>
      </c>
      <c r="I28" s="38">
        <v>2593</v>
      </c>
      <c r="J28" s="38">
        <v>2593</v>
      </c>
      <c r="K28" s="38" t="s">
        <v>120</v>
      </c>
      <c r="L28" s="38" t="s">
        <v>120</v>
      </c>
      <c r="M28" s="38" t="s">
        <v>120</v>
      </c>
      <c r="N28" s="38">
        <v>42.952015000000003</v>
      </c>
      <c r="O28" s="38" t="s">
        <v>121</v>
      </c>
      <c r="P28" s="38" t="s">
        <v>121</v>
      </c>
      <c r="Q28" s="38" t="s">
        <v>120</v>
      </c>
      <c r="R28" s="38" t="s">
        <v>120</v>
      </c>
      <c r="S28" s="38" t="s">
        <v>120</v>
      </c>
      <c r="T28" s="38">
        <v>76</v>
      </c>
      <c r="U28" s="38">
        <v>80.844127999999998</v>
      </c>
      <c r="V28" s="38" t="s">
        <v>120</v>
      </c>
      <c r="W28" s="38" t="s">
        <v>120</v>
      </c>
      <c r="X28" s="38" t="s">
        <v>120</v>
      </c>
      <c r="Y28" s="38" t="s">
        <v>120</v>
      </c>
      <c r="Z28" s="38" t="s">
        <v>120</v>
      </c>
      <c r="AA28" s="38" t="s">
        <v>120</v>
      </c>
      <c r="AB28" s="38" t="s">
        <v>120</v>
      </c>
      <c r="AC28" s="38" t="s">
        <v>120</v>
      </c>
      <c r="AD28" s="38" t="s">
        <v>120</v>
      </c>
      <c r="AE28" s="38" t="s">
        <v>120</v>
      </c>
      <c r="AF28" s="38" t="s">
        <v>120</v>
      </c>
      <c r="AG28" s="38" t="s">
        <v>120</v>
      </c>
      <c r="AH28" s="38" t="s">
        <v>120</v>
      </c>
      <c r="AI28" s="38" t="s">
        <v>120</v>
      </c>
      <c r="AJ28" s="38" t="s">
        <v>120</v>
      </c>
      <c r="AK28" s="38" t="s">
        <v>120</v>
      </c>
      <c r="AL28" s="38" t="s">
        <v>120</v>
      </c>
      <c r="AM28" s="38" t="s">
        <v>120</v>
      </c>
      <c r="AN28" s="38" t="s">
        <v>120</v>
      </c>
      <c r="AO28" s="38" t="s">
        <v>120</v>
      </c>
      <c r="AP28" s="38" t="s">
        <v>120</v>
      </c>
      <c r="AQ28" s="38" t="s">
        <v>120</v>
      </c>
      <c r="AR28" s="38" t="s">
        <v>120</v>
      </c>
      <c r="AS28" s="38" t="s">
        <v>120</v>
      </c>
      <c r="AT28" s="38" t="s">
        <v>120</v>
      </c>
      <c r="AU28" s="38" t="s">
        <v>120</v>
      </c>
      <c r="AV28" s="38" t="s">
        <v>120</v>
      </c>
      <c r="AW28" s="38" t="s">
        <v>120</v>
      </c>
      <c r="AX28" s="38" t="s">
        <v>120</v>
      </c>
    </row>
    <row r="29" spans="1:50" x14ac:dyDescent="0.45">
      <c r="A29" s="38" t="s">
        <v>148</v>
      </c>
      <c r="B29" s="38">
        <v>28</v>
      </c>
      <c r="C29" s="38" t="s">
        <v>119</v>
      </c>
      <c r="D29" s="38">
        <v>28</v>
      </c>
      <c r="E29" s="38">
        <v>20275</v>
      </c>
      <c r="F29" s="38">
        <f t="shared" si="0"/>
        <v>20.274999999999999</v>
      </c>
      <c r="G29" s="38">
        <v>9517500</v>
      </c>
      <c r="H29" s="38">
        <f t="shared" si="1"/>
        <v>9.5175000000000001</v>
      </c>
      <c r="I29" s="38">
        <v>2594</v>
      </c>
      <c r="J29" s="38">
        <v>2594</v>
      </c>
      <c r="K29" s="38" t="s">
        <v>120</v>
      </c>
      <c r="L29" s="38" t="s">
        <v>120</v>
      </c>
      <c r="M29" s="38" t="s">
        <v>120</v>
      </c>
      <c r="N29" s="38">
        <v>30.37921</v>
      </c>
      <c r="O29" s="38" t="s">
        <v>121</v>
      </c>
      <c r="P29" s="38" t="s">
        <v>121</v>
      </c>
      <c r="Q29" s="38" t="s">
        <v>120</v>
      </c>
      <c r="R29" s="38" t="s">
        <v>120</v>
      </c>
      <c r="S29" s="38" t="s">
        <v>120</v>
      </c>
      <c r="T29" s="38">
        <v>77.573936000000003</v>
      </c>
      <c r="U29" s="38">
        <v>81.664255999999995</v>
      </c>
      <c r="V29" s="38" t="s">
        <v>120</v>
      </c>
      <c r="W29" s="38" t="s">
        <v>120</v>
      </c>
      <c r="X29" s="38" t="s">
        <v>120</v>
      </c>
      <c r="Y29" s="38" t="s">
        <v>120</v>
      </c>
      <c r="Z29" s="38" t="s">
        <v>120</v>
      </c>
      <c r="AA29" s="38" t="s">
        <v>120</v>
      </c>
      <c r="AB29" s="38" t="s">
        <v>120</v>
      </c>
      <c r="AC29" s="38" t="s">
        <v>120</v>
      </c>
      <c r="AD29" s="38" t="s">
        <v>120</v>
      </c>
      <c r="AE29" s="38" t="s">
        <v>120</v>
      </c>
      <c r="AF29" s="38" t="s">
        <v>120</v>
      </c>
      <c r="AG29" s="38" t="s">
        <v>120</v>
      </c>
      <c r="AH29" s="38" t="s">
        <v>120</v>
      </c>
      <c r="AI29" s="38" t="s">
        <v>120</v>
      </c>
      <c r="AJ29" s="38" t="s">
        <v>120</v>
      </c>
      <c r="AK29" s="38" t="s">
        <v>120</v>
      </c>
      <c r="AL29" s="38" t="s">
        <v>120</v>
      </c>
      <c r="AM29" s="38" t="s">
        <v>120</v>
      </c>
      <c r="AN29" s="38" t="s">
        <v>120</v>
      </c>
      <c r="AO29" s="38" t="s">
        <v>120</v>
      </c>
      <c r="AP29" s="38" t="s">
        <v>120</v>
      </c>
      <c r="AQ29" s="38" t="s">
        <v>120</v>
      </c>
      <c r="AR29" s="38" t="s">
        <v>120</v>
      </c>
      <c r="AS29" s="38" t="s">
        <v>120</v>
      </c>
      <c r="AT29" s="38" t="s">
        <v>120</v>
      </c>
      <c r="AU29" s="38" t="s">
        <v>120</v>
      </c>
      <c r="AV29" s="38" t="s">
        <v>120</v>
      </c>
      <c r="AW29" s="38" t="s">
        <v>120</v>
      </c>
      <c r="AX29" s="38" t="s">
        <v>120</v>
      </c>
    </row>
    <row r="30" spans="1:50" x14ac:dyDescent="0.45">
      <c r="A30" s="38" t="s">
        <v>149</v>
      </c>
      <c r="B30" s="38">
        <v>29</v>
      </c>
      <c r="C30" s="38" t="s">
        <v>119</v>
      </c>
      <c r="D30" s="38">
        <v>29</v>
      </c>
      <c r="E30" s="38">
        <v>18650</v>
      </c>
      <c r="F30" s="38">
        <f t="shared" si="0"/>
        <v>18.649999999999999</v>
      </c>
      <c r="G30" s="38">
        <v>5990625</v>
      </c>
      <c r="H30" s="38">
        <f t="shared" si="1"/>
        <v>5.9906249999999996</v>
      </c>
      <c r="I30" s="38">
        <v>2595</v>
      </c>
      <c r="J30" s="38">
        <v>2595</v>
      </c>
      <c r="K30" s="38" t="s">
        <v>120</v>
      </c>
      <c r="L30" s="38" t="s">
        <v>120</v>
      </c>
      <c r="M30" s="38" t="s">
        <v>120</v>
      </c>
      <c r="N30" s="38">
        <v>28.810085000000001</v>
      </c>
      <c r="O30" s="38" t="s">
        <v>121</v>
      </c>
      <c r="P30" s="38" t="s">
        <v>121</v>
      </c>
      <c r="Q30" s="38" t="s">
        <v>120</v>
      </c>
      <c r="R30" s="38" t="s">
        <v>120</v>
      </c>
      <c r="S30" s="38" t="s">
        <v>120</v>
      </c>
      <c r="T30" s="38">
        <v>76.458326999999997</v>
      </c>
      <c r="U30" s="38">
        <v>81.482692</v>
      </c>
      <c r="V30" s="38" t="s">
        <v>120</v>
      </c>
      <c r="W30" s="38" t="s">
        <v>120</v>
      </c>
      <c r="X30" s="38" t="s">
        <v>120</v>
      </c>
      <c r="Y30" s="38" t="s">
        <v>120</v>
      </c>
      <c r="Z30" s="38" t="s">
        <v>120</v>
      </c>
      <c r="AA30" s="38" t="s">
        <v>120</v>
      </c>
      <c r="AB30" s="38" t="s">
        <v>120</v>
      </c>
      <c r="AC30" s="38" t="s">
        <v>120</v>
      </c>
      <c r="AD30" s="38" t="s">
        <v>120</v>
      </c>
      <c r="AE30" s="38" t="s">
        <v>120</v>
      </c>
      <c r="AF30" s="38" t="s">
        <v>120</v>
      </c>
      <c r="AG30" s="38" t="s">
        <v>120</v>
      </c>
      <c r="AH30" s="38" t="s">
        <v>120</v>
      </c>
      <c r="AI30" s="38" t="s">
        <v>120</v>
      </c>
      <c r="AJ30" s="38" t="s">
        <v>120</v>
      </c>
      <c r="AK30" s="38" t="s">
        <v>120</v>
      </c>
      <c r="AL30" s="38" t="s">
        <v>120</v>
      </c>
      <c r="AM30" s="38" t="s">
        <v>120</v>
      </c>
      <c r="AN30" s="38" t="s">
        <v>120</v>
      </c>
      <c r="AO30" s="38" t="s">
        <v>120</v>
      </c>
      <c r="AP30" s="38" t="s">
        <v>120</v>
      </c>
      <c r="AQ30" s="38" t="s">
        <v>120</v>
      </c>
      <c r="AR30" s="38" t="s">
        <v>120</v>
      </c>
      <c r="AS30" s="38" t="s">
        <v>120</v>
      </c>
      <c r="AT30" s="38" t="s">
        <v>120</v>
      </c>
      <c r="AU30" s="38" t="s">
        <v>120</v>
      </c>
      <c r="AV30" s="38" t="s">
        <v>120</v>
      </c>
      <c r="AW30" s="38" t="s">
        <v>120</v>
      </c>
      <c r="AX30" s="38" t="s">
        <v>120</v>
      </c>
    </row>
    <row r="31" spans="1:50" x14ac:dyDescent="0.45">
      <c r="A31" s="38" t="s">
        <v>150</v>
      </c>
      <c r="B31" s="38">
        <v>30</v>
      </c>
      <c r="C31" s="38" t="s">
        <v>119</v>
      </c>
      <c r="D31" s="38">
        <v>30</v>
      </c>
      <c r="E31" s="38">
        <v>14975</v>
      </c>
      <c r="F31" s="38">
        <f t="shared" si="0"/>
        <v>14.975</v>
      </c>
      <c r="G31" s="38">
        <v>5223125</v>
      </c>
      <c r="H31" s="38">
        <f t="shared" si="1"/>
        <v>5.2231249999999996</v>
      </c>
      <c r="I31" s="38">
        <v>2596</v>
      </c>
      <c r="J31" s="38">
        <v>2596</v>
      </c>
      <c r="K31" s="38" t="s">
        <v>120</v>
      </c>
      <c r="L31" s="38" t="s">
        <v>120</v>
      </c>
      <c r="M31" s="38" t="s">
        <v>120</v>
      </c>
      <c r="N31" s="38">
        <v>49.278556999999999</v>
      </c>
      <c r="O31" s="38" t="s">
        <v>121</v>
      </c>
      <c r="P31" s="38" t="s">
        <v>121</v>
      </c>
      <c r="Q31" s="38" t="s">
        <v>120</v>
      </c>
      <c r="R31" s="38" t="s">
        <v>120</v>
      </c>
      <c r="S31" s="38" t="s">
        <v>120</v>
      </c>
      <c r="T31" s="38">
        <v>81.423457999999997</v>
      </c>
      <c r="U31" s="38">
        <v>81.257034000000004</v>
      </c>
      <c r="V31" s="38" t="s">
        <v>120</v>
      </c>
      <c r="W31" s="38" t="s">
        <v>120</v>
      </c>
      <c r="X31" s="38" t="s">
        <v>120</v>
      </c>
      <c r="Y31" s="38" t="s">
        <v>120</v>
      </c>
      <c r="Z31" s="38" t="s">
        <v>120</v>
      </c>
      <c r="AA31" s="38" t="s">
        <v>120</v>
      </c>
      <c r="AB31" s="38" t="s">
        <v>120</v>
      </c>
      <c r="AC31" s="38" t="s">
        <v>120</v>
      </c>
      <c r="AD31" s="38" t="s">
        <v>120</v>
      </c>
      <c r="AE31" s="38" t="s">
        <v>120</v>
      </c>
      <c r="AF31" s="38" t="s">
        <v>120</v>
      </c>
      <c r="AG31" s="38" t="s">
        <v>120</v>
      </c>
      <c r="AH31" s="38" t="s">
        <v>120</v>
      </c>
      <c r="AI31" s="38" t="s">
        <v>120</v>
      </c>
      <c r="AJ31" s="38" t="s">
        <v>120</v>
      </c>
      <c r="AK31" s="38" t="s">
        <v>120</v>
      </c>
      <c r="AL31" s="38" t="s">
        <v>120</v>
      </c>
      <c r="AM31" s="38" t="s">
        <v>120</v>
      </c>
      <c r="AN31" s="38" t="s">
        <v>120</v>
      </c>
      <c r="AO31" s="38" t="s">
        <v>120</v>
      </c>
      <c r="AP31" s="38" t="s">
        <v>120</v>
      </c>
      <c r="AQ31" s="38" t="s">
        <v>120</v>
      </c>
      <c r="AR31" s="38" t="s">
        <v>120</v>
      </c>
      <c r="AS31" s="38" t="s">
        <v>120</v>
      </c>
      <c r="AT31" s="38" t="s">
        <v>120</v>
      </c>
      <c r="AU31" s="38" t="s">
        <v>120</v>
      </c>
      <c r="AV31" s="38" t="s">
        <v>120</v>
      </c>
      <c r="AW31" s="38" t="s">
        <v>120</v>
      </c>
      <c r="AX31" s="38" t="s">
        <v>120</v>
      </c>
    </row>
    <row r="32" spans="1:50" x14ac:dyDescent="0.45">
      <c r="A32" s="38" t="s">
        <v>151</v>
      </c>
      <c r="B32" s="38">
        <v>31</v>
      </c>
      <c r="C32" s="38" t="s">
        <v>119</v>
      </c>
      <c r="D32" s="38">
        <v>31</v>
      </c>
      <c r="E32" s="38">
        <v>14350</v>
      </c>
      <c r="F32" s="38">
        <f t="shared" si="0"/>
        <v>14.35</v>
      </c>
      <c r="G32" s="38">
        <v>4179843.75</v>
      </c>
      <c r="H32" s="38">
        <f t="shared" si="1"/>
        <v>4.1798437499999999</v>
      </c>
      <c r="I32" s="38">
        <v>2597</v>
      </c>
      <c r="J32" s="38">
        <v>2597</v>
      </c>
      <c r="K32" s="38" t="s">
        <v>120</v>
      </c>
      <c r="L32" s="38" t="s">
        <v>120</v>
      </c>
      <c r="M32" s="38" t="s">
        <v>120</v>
      </c>
      <c r="N32" s="38">
        <v>57.073920999999999</v>
      </c>
      <c r="O32" s="38" t="s">
        <v>121</v>
      </c>
      <c r="P32" s="38" t="s">
        <v>121</v>
      </c>
      <c r="Q32" s="38" t="s">
        <v>120</v>
      </c>
      <c r="R32" s="38" t="s">
        <v>120</v>
      </c>
      <c r="S32" s="38" t="s">
        <v>120</v>
      </c>
      <c r="T32" s="38">
        <v>80.156634999999994</v>
      </c>
      <c r="U32" s="38">
        <v>80.983626999999998</v>
      </c>
      <c r="V32" s="38" t="s">
        <v>120</v>
      </c>
      <c r="W32" s="38" t="s">
        <v>120</v>
      </c>
      <c r="X32" s="38" t="s">
        <v>120</v>
      </c>
      <c r="Y32" s="38" t="s">
        <v>120</v>
      </c>
      <c r="Z32" s="38" t="s">
        <v>120</v>
      </c>
      <c r="AA32" s="38" t="s">
        <v>120</v>
      </c>
      <c r="AB32" s="38" t="s">
        <v>120</v>
      </c>
      <c r="AC32" s="38" t="s">
        <v>120</v>
      </c>
      <c r="AD32" s="38" t="s">
        <v>120</v>
      </c>
      <c r="AE32" s="38" t="s">
        <v>120</v>
      </c>
      <c r="AF32" s="38" t="s">
        <v>120</v>
      </c>
      <c r="AG32" s="38" t="s">
        <v>120</v>
      </c>
      <c r="AH32" s="38" t="s">
        <v>120</v>
      </c>
      <c r="AI32" s="38" t="s">
        <v>120</v>
      </c>
      <c r="AJ32" s="38" t="s">
        <v>120</v>
      </c>
      <c r="AK32" s="38" t="s">
        <v>120</v>
      </c>
      <c r="AL32" s="38" t="s">
        <v>120</v>
      </c>
      <c r="AM32" s="38" t="s">
        <v>120</v>
      </c>
      <c r="AN32" s="38" t="s">
        <v>120</v>
      </c>
      <c r="AO32" s="38" t="s">
        <v>120</v>
      </c>
      <c r="AP32" s="38" t="s">
        <v>120</v>
      </c>
      <c r="AQ32" s="38" t="s">
        <v>120</v>
      </c>
      <c r="AR32" s="38" t="s">
        <v>120</v>
      </c>
      <c r="AS32" s="38" t="s">
        <v>120</v>
      </c>
      <c r="AT32" s="38" t="s">
        <v>120</v>
      </c>
      <c r="AU32" s="38" t="s">
        <v>120</v>
      </c>
      <c r="AV32" s="38" t="s">
        <v>120</v>
      </c>
      <c r="AW32" s="38" t="s">
        <v>120</v>
      </c>
      <c r="AX32" s="38" t="s">
        <v>120</v>
      </c>
    </row>
    <row r="33" spans="1:50" x14ac:dyDescent="0.45">
      <c r="A33" s="38" t="s">
        <v>152</v>
      </c>
      <c r="B33" s="38">
        <v>32</v>
      </c>
      <c r="C33" s="38" t="s">
        <v>119</v>
      </c>
      <c r="D33" s="38">
        <v>32</v>
      </c>
      <c r="E33" s="38">
        <v>10825</v>
      </c>
      <c r="F33" s="38">
        <f t="shared" si="0"/>
        <v>10.824999999999999</v>
      </c>
      <c r="G33" s="38">
        <v>2286406.25</v>
      </c>
      <c r="H33" s="38">
        <f t="shared" si="1"/>
        <v>2.2864062500000002</v>
      </c>
      <c r="I33" s="38">
        <v>2598</v>
      </c>
      <c r="J33" s="38">
        <v>2598</v>
      </c>
      <c r="K33" s="38" t="s">
        <v>120</v>
      </c>
      <c r="L33" s="38" t="s">
        <v>120</v>
      </c>
      <c r="M33" s="38" t="s">
        <v>120</v>
      </c>
      <c r="N33" s="38">
        <v>46.560569999999998</v>
      </c>
      <c r="O33" s="38" t="s">
        <v>121</v>
      </c>
      <c r="P33" s="38" t="s">
        <v>121</v>
      </c>
      <c r="Q33" s="38" t="s">
        <v>120</v>
      </c>
      <c r="R33" s="38" t="s">
        <v>120</v>
      </c>
      <c r="S33" s="38" t="s">
        <v>120</v>
      </c>
      <c r="T33" s="38">
        <v>82.349441999999996</v>
      </c>
      <c r="U33" s="38">
        <v>81.080787000000001</v>
      </c>
      <c r="V33" s="38" t="s">
        <v>120</v>
      </c>
      <c r="W33" s="38" t="s">
        <v>120</v>
      </c>
      <c r="X33" s="38" t="s">
        <v>120</v>
      </c>
      <c r="Y33" s="38" t="s">
        <v>120</v>
      </c>
      <c r="Z33" s="38" t="s">
        <v>120</v>
      </c>
      <c r="AA33" s="38" t="s">
        <v>120</v>
      </c>
      <c r="AB33" s="38" t="s">
        <v>120</v>
      </c>
      <c r="AC33" s="38" t="s">
        <v>120</v>
      </c>
      <c r="AD33" s="38" t="s">
        <v>120</v>
      </c>
      <c r="AE33" s="38" t="s">
        <v>120</v>
      </c>
      <c r="AF33" s="38" t="s">
        <v>120</v>
      </c>
      <c r="AG33" s="38" t="s">
        <v>120</v>
      </c>
      <c r="AH33" s="38" t="s">
        <v>120</v>
      </c>
      <c r="AI33" s="38" t="s">
        <v>120</v>
      </c>
      <c r="AJ33" s="38" t="s">
        <v>120</v>
      </c>
      <c r="AK33" s="38" t="s">
        <v>120</v>
      </c>
      <c r="AL33" s="38" t="s">
        <v>120</v>
      </c>
      <c r="AM33" s="38" t="s">
        <v>120</v>
      </c>
      <c r="AN33" s="38" t="s">
        <v>120</v>
      </c>
      <c r="AO33" s="38" t="s">
        <v>120</v>
      </c>
      <c r="AP33" s="38" t="s">
        <v>120</v>
      </c>
      <c r="AQ33" s="38" t="s">
        <v>120</v>
      </c>
      <c r="AR33" s="38" t="s">
        <v>120</v>
      </c>
      <c r="AS33" s="38" t="s">
        <v>120</v>
      </c>
      <c r="AT33" s="38" t="s">
        <v>120</v>
      </c>
      <c r="AU33" s="38" t="s">
        <v>120</v>
      </c>
      <c r="AV33" s="38" t="s">
        <v>120</v>
      </c>
      <c r="AW33" s="38" t="s">
        <v>120</v>
      </c>
      <c r="AX33" s="38" t="s">
        <v>120</v>
      </c>
    </row>
    <row r="34" spans="1:50" x14ac:dyDescent="0.45">
      <c r="A34" s="38" t="s">
        <v>153</v>
      </c>
      <c r="B34" s="38">
        <v>33</v>
      </c>
      <c r="C34" s="38" t="s">
        <v>119</v>
      </c>
      <c r="D34" s="38">
        <v>33</v>
      </c>
      <c r="E34" s="38">
        <v>17225</v>
      </c>
      <c r="F34" s="38">
        <f t="shared" si="0"/>
        <v>17.225000000000001</v>
      </c>
      <c r="G34" s="38">
        <v>4029843.75</v>
      </c>
      <c r="H34" s="38">
        <f t="shared" si="1"/>
        <v>4.0298437500000004</v>
      </c>
      <c r="I34" s="38">
        <v>2599</v>
      </c>
      <c r="J34" s="38">
        <v>2599</v>
      </c>
      <c r="K34" s="38" t="s">
        <v>120</v>
      </c>
      <c r="L34" s="38" t="s">
        <v>120</v>
      </c>
      <c r="M34" s="38" t="s">
        <v>120</v>
      </c>
      <c r="N34" s="38">
        <v>22.540766000000001</v>
      </c>
      <c r="O34" s="38" t="s">
        <v>121</v>
      </c>
      <c r="P34" s="38" t="s">
        <v>121</v>
      </c>
      <c r="Q34" s="38" t="s">
        <v>120</v>
      </c>
      <c r="R34" s="38" t="s">
        <v>120</v>
      </c>
      <c r="S34" s="38" t="s">
        <v>120</v>
      </c>
      <c r="T34" s="38">
        <v>77.412840000000003</v>
      </c>
      <c r="U34" s="38">
        <v>81.260480999999999</v>
      </c>
      <c r="V34" s="38" t="s">
        <v>120</v>
      </c>
      <c r="W34" s="38" t="s">
        <v>120</v>
      </c>
      <c r="X34" s="38" t="s">
        <v>120</v>
      </c>
      <c r="Y34" s="38" t="s">
        <v>120</v>
      </c>
      <c r="Z34" s="38" t="s">
        <v>120</v>
      </c>
      <c r="AA34" s="38" t="s">
        <v>120</v>
      </c>
      <c r="AB34" s="38" t="s">
        <v>120</v>
      </c>
      <c r="AC34" s="38" t="s">
        <v>120</v>
      </c>
      <c r="AD34" s="38" t="s">
        <v>120</v>
      </c>
      <c r="AE34" s="38" t="s">
        <v>120</v>
      </c>
      <c r="AF34" s="38" t="s">
        <v>120</v>
      </c>
      <c r="AG34" s="38" t="s">
        <v>120</v>
      </c>
      <c r="AH34" s="38" t="s">
        <v>120</v>
      </c>
      <c r="AI34" s="38" t="s">
        <v>120</v>
      </c>
      <c r="AJ34" s="38" t="s">
        <v>120</v>
      </c>
      <c r="AK34" s="38" t="s">
        <v>120</v>
      </c>
      <c r="AL34" s="38" t="s">
        <v>120</v>
      </c>
      <c r="AM34" s="38" t="s">
        <v>120</v>
      </c>
      <c r="AN34" s="38" t="s">
        <v>120</v>
      </c>
      <c r="AO34" s="38" t="s">
        <v>120</v>
      </c>
      <c r="AP34" s="38" t="s">
        <v>120</v>
      </c>
      <c r="AQ34" s="38" t="s">
        <v>120</v>
      </c>
      <c r="AR34" s="38" t="s">
        <v>120</v>
      </c>
      <c r="AS34" s="38" t="s">
        <v>120</v>
      </c>
      <c r="AT34" s="38" t="s">
        <v>120</v>
      </c>
      <c r="AU34" s="38" t="s">
        <v>120</v>
      </c>
      <c r="AV34" s="38" t="s">
        <v>120</v>
      </c>
      <c r="AW34" s="38" t="s">
        <v>120</v>
      </c>
      <c r="AX34" s="38" t="s">
        <v>120</v>
      </c>
    </row>
    <row r="35" spans="1:50" x14ac:dyDescent="0.45">
      <c r="A35" s="38" t="s">
        <v>154</v>
      </c>
      <c r="B35" s="38">
        <v>34</v>
      </c>
      <c r="C35" s="38" t="s">
        <v>119</v>
      </c>
      <c r="D35" s="38">
        <v>34</v>
      </c>
      <c r="E35" s="38">
        <v>12125</v>
      </c>
      <c r="F35" s="38">
        <f t="shared" si="0"/>
        <v>12.125</v>
      </c>
      <c r="G35" s="38">
        <v>3082500</v>
      </c>
      <c r="H35" s="38">
        <f t="shared" si="1"/>
        <v>3.0825</v>
      </c>
      <c r="I35" s="38">
        <v>2600</v>
      </c>
      <c r="J35" s="38">
        <v>2600</v>
      </c>
      <c r="K35" s="38" t="s">
        <v>120</v>
      </c>
      <c r="L35" s="38" t="s">
        <v>120</v>
      </c>
      <c r="M35" s="38" t="s">
        <v>120</v>
      </c>
      <c r="N35" s="38">
        <v>43.671416999999998</v>
      </c>
      <c r="O35" s="38" t="s">
        <v>121</v>
      </c>
      <c r="P35" s="38" t="s">
        <v>121</v>
      </c>
      <c r="Q35" s="38" t="s">
        <v>120</v>
      </c>
      <c r="R35" s="38" t="s">
        <v>120</v>
      </c>
      <c r="S35" s="38" t="s">
        <v>120</v>
      </c>
      <c r="T35" s="38">
        <v>82.887764000000004</v>
      </c>
      <c r="U35" s="38">
        <v>80.233693000000002</v>
      </c>
      <c r="V35" s="38" t="s">
        <v>120</v>
      </c>
      <c r="W35" s="38" t="s">
        <v>120</v>
      </c>
      <c r="X35" s="38" t="s">
        <v>120</v>
      </c>
      <c r="Y35" s="38" t="s">
        <v>120</v>
      </c>
      <c r="Z35" s="38" t="s">
        <v>120</v>
      </c>
      <c r="AA35" s="38" t="s">
        <v>120</v>
      </c>
      <c r="AB35" s="38" t="s">
        <v>120</v>
      </c>
      <c r="AC35" s="38" t="s">
        <v>120</v>
      </c>
      <c r="AD35" s="38" t="s">
        <v>120</v>
      </c>
      <c r="AE35" s="38" t="s">
        <v>120</v>
      </c>
      <c r="AF35" s="38" t="s">
        <v>120</v>
      </c>
      <c r="AG35" s="38" t="s">
        <v>120</v>
      </c>
      <c r="AH35" s="38" t="s">
        <v>120</v>
      </c>
      <c r="AI35" s="38" t="s">
        <v>120</v>
      </c>
      <c r="AJ35" s="38" t="s">
        <v>120</v>
      </c>
      <c r="AK35" s="38" t="s">
        <v>120</v>
      </c>
      <c r="AL35" s="38" t="s">
        <v>120</v>
      </c>
      <c r="AM35" s="38" t="s">
        <v>120</v>
      </c>
      <c r="AN35" s="38" t="s">
        <v>120</v>
      </c>
      <c r="AO35" s="38" t="s">
        <v>120</v>
      </c>
      <c r="AP35" s="38" t="s">
        <v>120</v>
      </c>
      <c r="AQ35" s="38" t="s">
        <v>120</v>
      </c>
      <c r="AR35" s="38" t="s">
        <v>120</v>
      </c>
      <c r="AS35" s="38" t="s">
        <v>120</v>
      </c>
      <c r="AT35" s="38" t="s">
        <v>120</v>
      </c>
      <c r="AU35" s="38" t="s">
        <v>120</v>
      </c>
      <c r="AV35" s="38" t="s">
        <v>120</v>
      </c>
      <c r="AW35" s="38" t="s">
        <v>120</v>
      </c>
      <c r="AX35" s="38" t="s">
        <v>120</v>
      </c>
    </row>
    <row r="36" spans="1:50" x14ac:dyDescent="0.45">
      <c r="A36" s="38" t="s">
        <v>155</v>
      </c>
      <c r="B36" s="38">
        <v>35</v>
      </c>
      <c r="C36" s="38" t="s">
        <v>119</v>
      </c>
      <c r="D36" s="38">
        <v>35</v>
      </c>
      <c r="E36" s="38">
        <v>14375</v>
      </c>
      <c r="F36" s="38">
        <f t="shared" si="0"/>
        <v>14.375</v>
      </c>
      <c r="G36" s="38">
        <v>4613281.25</v>
      </c>
      <c r="H36" s="38">
        <f t="shared" si="1"/>
        <v>4.61328125</v>
      </c>
      <c r="I36" s="38">
        <v>2601</v>
      </c>
      <c r="J36" s="38">
        <v>2601</v>
      </c>
      <c r="K36" s="38" t="s">
        <v>120</v>
      </c>
      <c r="L36" s="38" t="s">
        <v>120</v>
      </c>
      <c r="M36" s="38" t="s">
        <v>120</v>
      </c>
      <c r="N36" s="38">
        <v>23.433119000000001</v>
      </c>
      <c r="O36" s="38" t="s">
        <v>121</v>
      </c>
      <c r="P36" s="38" t="s">
        <v>121</v>
      </c>
      <c r="Q36" s="38" t="s">
        <v>120</v>
      </c>
      <c r="R36" s="38" t="s">
        <v>120</v>
      </c>
      <c r="S36" s="38" t="s">
        <v>120</v>
      </c>
      <c r="T36" s="38">
        <v>78.982815000000002</v>
      </c>
      <c r="U36" s="38">
        <v>81.623981000000001</v>
      </c>
      <c r="V36" s="38" t="s">
        <v>120</v>
      </c>
      <c r="W36" s="38" t="s">
        <v>120</v>
      </c>
      <c r="X36" s="38" t="s">
        <v>120</v>
      </c>
      <c r="Y36" s="38" t="s">
        <v>120</v>
      </c>
      <c r="Z36" s="38" t="s">
        <v>120</v>
      </c>
      <c r="AA36" s="38" t="s">
        <v>120</v>
      </c>
      <c r="AB36" s="38" t="s">
        <v>120</v>
      </c>
      <c r="AC36" s="38" t="s">
        <v>120</v>
      </c>
      <c r="AD36" s="38" t="s">
        <v>120</v>
      </c>
      <c r="AE36" s="38" t="s">
        <v>120</v>
      </c>
      <c r="AF36" s="38" t="s">
        <v>120</v>
      </c>
      <c r="AG36" s="38" t="s">
        <v>120</v>
      </c>
      <c r="AH36" s="38" t="s">
        <v>120</v>
      </c>
      <c r="AI36" s="38" t="s">
        <v>120</v>
      </c>
      <c r="AJ36" s="38" t="s">
        <v>120</v>
      </c>
      <c r="AK36" s="38" t="s">
        <v>120</v>
      </c>
      <c r="AL36" s="38" t="s">
        <v>120</v>
      </c>
      <c r="AM36" s="38" t="s">
        <v>120</v>
      </c>
      <c r="AN36" s="38" t="s">
        <v>120</v>
      </c>
      <c r="AO36" s="38" t="s">
        <v>120</v>
      </c>
      <c r="AP36" s="38" t="s">
        <v>120</v>
      </c>
      <c r="AQ36" s="38" t="s">
        <v>120</v>
      </c>
      <c r="AR36" s="38" t="s">
        <v>120</v>
      </c>
      <c r="AS36" s="38" t="s">
        <v>120</v>
      </c>
      <c r="AT36" s="38" t="s">
        <v>120</v>
      </c>
      <c r="AU36" s="38" t="s">
        <v>120</v>
      </c>
      <c r="AV36" s="38" t="s">
        <v>120</v>
      </c>
      <c r="AW36" s="38" t="s">
        <v>120</v>
      </c>
      <c r="AX36" s="38" t="s">
        <v>120</v>
      </c>
    </row>
    <row r="37" spans="1:50" x14ac:dyDescent="0.45">
      <c r="A37" s="38" t="s">
        <v>156</v>
      </c>
      <c r="B37" s="38">
        <v>36</v>
      </c>
      <c r="C37" s="38" t="s">
        <v>119</v>
      </c>
      <c r="D37" s="38">
        <v>36</v>
      </c>
      <c r="E37" s="38">
        <v>23225</v>
      </c>
      <c r="F37" s="38">
        <f t="shared" si="0"/>
        <v>23.225000000000001</v>
      </c>
      <c r="G37" s="38">
        <v>7959218.75</v>
      </c>
      <c r="H37" s="38">
        <f t="shared" si="1"/>
        <v>7.9592187499999998</v>
      </c>
      <c r="I37" s="38">
        <v>2602</v>
      </c>
      <c r="J37" s="38">
        <v>2602</v>
      </c>
      <c r="K37" s="38" t="s">
        <v>120</v>
      </c>
      <c r="L37" s="38" t="s">
        <v>120</v>
      </c>
      <c r="M37" s="38" t="s">
        <v>120</v>
      </c>
      <c r="N37" s="38">
        <v>35.351737999999997</v>
      </c>
      <c r="O37" s="38" t="s">
        <v>121</v>
      </c>
      <c r="P37" s="38" t="s">
        <v>121</v>
      </c>
      <c r="Q37" s="38" t="s">
        <v>120</v>
      </c>
      <c r="R37" s="38" t="s">
        <v>120</v>
      </c>
      <c r="S37" s="38" t="s">
        <v>120</v>
      </c>
      <c r="T37" s="38">
        <v>79.573481999999998</v>
      </c>
      <c r="U37" s="38">
        <v>81.217271999999994</v>
      </c>
      <c r="V37" s="38" t="s">
        <v>120</v>
      </c>
      <c r="W37" s="38" t="s">
        <v>120</v>
      </c>
      <c r="X37" s="38" t="s">
        <v>120</v>
      </c>
      <c r="Y37" s="38" t="s">
        <v>120</v>
      </c>
      <c r="Z37" s="38" t="s">
        <v>120</v>
      </c>
      <c r="AA37" s="38" t="s">
        <v>120</v>
      </c>
      <c r="AB37" s="38" t="s">
        <v>120</v>
      </c>
      <c r="AC37" s="38" t="s">
        <v>120</v>
      </c>
      <c r="AD37" s="38" t="s">
        <v>120</v>
      </c>
      <c r="AE37" s="38" t="s">
        <v>120</v>
      </c>
      <c r="AF37" s="38" t="s">
        <v>120</v>
      </c>
      <c r="AG37" s="38" t="s">
        <v>120</v>
      </c>
      <c r="AH37" s="38" t="s">
        <v>120</v>
      </c>
      <c r="AI37" s="38" t="s">
        <v>120</v>
      </c>
      <c r="AJ37" s="38" t="s">
        <v>120</v>
      </c>
      <c r="AK37" s="38" t="s">
        <v>120</v>
      </c>
      <c r="AL37" s="38" t="s">
        <v>120</v>
      </c>
      <c r="AM37" s="38" t="s">
        <v>120</v>
      </c>
      <c r="AN37" s="38" t="s">
        <v>120</v>
      </c>
      <c r="AO37" s="38" t="s">
        <v>120</v>
      </c>
      <c r="AP37" s="38" t="s">
        <v>120</v>
      </c>
      <c r="AQ37" s="38" t="s">
        <v>120</v>
      </c>
      <c r="AR37" s="38" t="s">
        <v>120</v>
      </c>
      <c r="AS37" s="38" t="s">
        <v>120</v>
      </c>
      <c r="AT37" s="38" t="s">
        <v>120</v>
      </c>
      <c r="AU37" s="38" t="s">
        <v>120</v>
      </c>
      <c r="AV37" s="38" t="s">
        <v>120</v>
      </c>
      <c r="AW37" s="38" t="s">
        <v>120</v>
      </c>
      <c r="AX37" s="38" t="s">
        <v>120</v>
      </c>
    </row>
    <row r="38" spans="1:50" x14ac:dyDescent="0.45">
      <c r="A38" s="38" t="s">
        <v>157</v>
      </c>
      <c r="B38" s="38">
        <v>37</v>
      </c>
      <c r="C38" s="38" t="s">
        <v>119</v>
      </c>
      <c r="D38" s="38">
        <v>37</v>
      </c>
      <c r="E38" s="38">
        <v>37250</v>
      </c>
      <c r="F38" s="38">
        <f t="shared" si="0"/>
        <v>37.25</v>
      </c>
      <c r="G38" s="38">
        <v>22270312.5</v>
      </c>
      <c r="H38" s="38">
        <f t="shared" si="1"/>
        <v>22.270312499999999</v>
      </c>
      <c r="I38" s="38">
        <v>2603</v>
      </c>
      <c r="J38" s="38">
        <v>2603</v>
      </c>
      <c r="K38" s="38" t="s">
        <v>120</v>
      </c>
      <c r="L38" s="38" t="s">
        <v>120</v>
      </c>
      <c r="M38" s="38" t="s">
        <v>120</v>
      </c>
      <c r="N38" s="38">
        <v>27.397922999999999</v>
      </c>
      <c r="O38" s="38" t="s">
        <v>121</v>
      </c>
      <c r="P38" s="38" t="s">
        <v>121</v>
      </c>
      <c r="Q38" s="38" t="s">
        <v>120</v>
      </c>
      <c r="R38" s="38" t="s">
        <v>120</v>
      </c>
      <c r="S38" s="38" t="s">
        <v>120</v>
      </c>
      <c r="T38" s="38">
        <v>74.535703999999996</v>
      </c>
      <c r="U38" s="38">
        <v>77.917421000000004</v>
      </c>
      <c r="V38" s="38" t="s">
        <v>120</v>
      </c>
      <c r="W38" s="38" t="s">
        <v>120</v>
      </c>
      <c r="X38" s="38" t="s">
        <v>120</v>
      </c>
      <c r="Y38" s="38" t="s">
        <v>120</v>
      </c>
      <c r="Z38" s="38" t="s">
        <v>120</v>
      </c>
      <c r="AA38" s="38" t="s">
        <v>120</v>
      </c>
      <c r="AB38" s="38" t="s">
        <v>120</v>
      </c>
      <c r="AC38" s="38" t="s">
        <v>120</v>
      </c>
      <c r="AD38" s="38" t="s">
        <v>120</v>
      </c>
      <c r="AE38" s="38" t="s">
        <v>120</v>
      </c>
      <c r="AF38" s="38" t="s">
        <v>120</v>
      </c>
      <c r="AG38" s="38" t="s">
        <v>120</v>
      </c>
      <c r="AH38" s="38" t="s">
        <v>120</v>
      </c>
      <c r="AI38" s="38" t="s">
        <v>120</v>
      </c>
      <c r="AJ38" s="38" t="s">
        <v>120</v>
      </c>
      <c r="AK38" s="38" t="s">
        <v>120</v>
      </c>
      <c r="AL38" s="38" t="s">
        <v>120</v>
      </c>
      <c r="AM38" s="38" t="s">
        <v>120</v>
      </c>
      <c r="AN38" s="38" t="s">
        <v>120</v>
      </c>
      <c r="AO38" s="38" t="s">
        <v>120</v>
      </c>
      <c r="AP38" s="38" t="s">
        <v>120</v>
      </c>
      <c r="AQ38" s="38" t="s">
        <v>120</v>
      </c>
      <c r="AR38" s="38" t="s">
        <v>120</v>
      </c>
      <c r="AS38" s="38" t="s">
        <v>120</v>
      </c>
      <c r="AT38" s="38" t="s">
        <v>120</v>
      </c>
      <c r="AU38" s="38" t="s">
        <v>120</v>
      </c>
      <c r="AV38" s="38" t="s">
        <v>120</v>
      </c>
      <c r="AW38" s="38" t="s">
        <v>120</v>
      </c>
      <c r="AX38" s="38" t="s">
        <v>120</v>
      </c>
    </row>
    <row r="39" spans="1:50" x14ac:dyDescent="0.45">
      <c r="A39" s="38" t="s">
        <v>158</v>
      </c>
      <c r="B39" s="38">
        <v>38</v>
      </c>
      <c r="C39" s="38" t="s">
        <v>119</v>
      </c>
      <c r="D39" s="38">
        <v>38</v>
      </c>
      <c r="E39" s="38">
        <v>15700</v>
      </c>
      <c r="F39" s="38">
        <f t="shared" si="0"/>
        <v>15.7</v>
      </c>
      <c r="G39" s="38">
        <v>5101562.5</v>
      </c>
      <c r="H39" s="38">
        <f t="shared" si="1"/>
        <v>5.1015625</v>
      </c>
      <c r="I39" s="38">
        <v>2604</v>
      </c>
      <c r="J39" s="38">
        <v>2604</v>
      </c>
      <c r="K39" s="38" t="s">
        <v>120</v>
      </c>
      <c r="L39" s="38" t="s">
        <v>120</v>
      </c>
      <c r="M39" s="38" t="s">
        <v>120</v>
      </c>
      <c r="N39" s="38">
        <v>38.985160999999998</v>
      </c>
      <c r="O39" s="38" t="s">
        <v>121</v>
      </c>
      <c r="P39" s="38" t="s">
        <v>121</v>
      </c>
      <c r="Q39" s="38" t="s">
        <v>120</v>
      </c>
      <c r="R39" s="38" t="s">
        <v>120</v>
      </c>
      <c r="S39" s="38" t="s">
        <v>120</v>
      </c>
      <c r="T39" s="38">
        <v>82.226489000000001</v>
      </c>
      <c r="U39" s="38">
        <v>80.683588</v>
      </c>
      <c r="V39" s="38" t="s">
        <v>120</v>
      </c>
      <c r="W39" s="38" t="s">
        <v>120</v>
      </c>
      <c r="X39" s="38" t="s">
        <v>120</v>
      </c>
      <c r="Y39" s="38" t="s">
        <v>120</v>
      </c>
      <c r="Z39" s="38" t="s">
        <v>120</v>
      </c>
      <c r="AA39" s="38" t="s">
        <v>120</v>
      </c>
      <c r="AB39" s="38" t="s">
        <v>120</v>
      </c>
      <c r="AC39" s="38" t="s">
        <v>120</v>
      </c>
      <c r="AD39" s="38" t="s">
        <v>120</v>
      </c>
      <c r="AE39" s="38" t="s">
        <v>120</v>
      </c>
      <c r="AF39" s="38" t="s">
        <v>120</v>
      </c>
      <c r="AG39" s="38" t="s">
        <v>120</v>
      </c>
      <c r="AH39" s="38" t="s">
        <v>120</v>
      </c>
      <c r="AI39" s="38" t="s">
        <v>120</v>
      </c>
      <c r="AJ39" s="38" t="s">
        <v>120</v>
      </c>
      <c r="AK39" s="38" t="s">
        <v>120</v>
      </c>
      <c r="AL39" s="38" t="s">
        <v>120</v>
      </c>
      <c r="AM39" s="38" t="s">
        <v>120</v>
      </c>
      <c r="AN39" s="38" t="s">
        <v>120</v>
      </c>
      <c r="AO39" s="38" t="s">
        <v>120</v>
      </c>
      <c r="AP39" s="38" t="s">
        <v>120</v>
      </c>
      <c r="AQ39" s="38" t="s">
        <v>120</v>
      </c>
      <c r="AR39" s="38" t="s">
        <v>120</v>
      </c>
      <c r="AS39" s="38" t="s">
        <v>120</v>
      </c>
      <c r="AT39" s="38" t="s">
        <v>120</v>
      </c>
      <c r="AU39" s="38" t="s">
        <v>120</v>
      </c>
      <c r="AV39" s="38" t="s">
        <v>120</v>
      </c>
      <c r="AW39" s="38" t="s">
        <v>120</v>
      </c>
      <c r="AX39" s="38" t="s">
        <v>120</v>
      </c>
    </row>
    <row r="40" spans="1:50" x14ac:dyDescent="0.45">
      <c r="A40" s="38" t="s">
        <v>159</v>
      </c>
      <c r="B40" s="38">
        <v>39</v>
      </c>
      <c r="C40" s="38" t="s">
        <v>119</v>
      </c>
      <c r="D40" s="38">
        <v>39</v>
      </c>
      <c r="E40" s="38">
        <v>17275</v>
      </c>
      <c r="F40" s="38">
        <f t="shared" si="0"/>
        <v>17.274999999999999</v>
      </c>
      <c r="G40" s="38">
        <v>6765625</v>
      </c>
      <c r="H40" s="38">
        <f t="shared" si="1"/>
        <v>6.765625</v>
      </c>
      <c r="I40" s="38">
        <v>2605</v>
      </c>
      <c r="J40" s="38">
        <v>2605</v>
      </c>
      <c r="K40" s="38" t="s">
        <v>120</v>
      </c>
      <c r="L40" s="38" t="s">
        <v>120</v>
      </c>
      <c r="M40" s="38" t="s">
        <v>120</v>
      </c>
      <c r="N40" s="38">
        <v>36.602482000000002</v>
      </c>
      <c r="O40" s="38" t="s">
        <v>121</v>
      </c>
      <c r="P40" s="38" t="s">
        <v>121</v>
      </c>
      <c r="Q40" s="38" t="s">
        <v>120</v>
      </c>
      <c r="R40" s="38" t="s">
        <v>120</v>
      </c>
      <c r="S40" s="38" t="s">
        <v>120</v>
      </c>
      <c r="T40" s="38">
        <v>78.411237999999997</v>
      </c>
      <c r="U40" s="38">
        <v>80.458374000000006</v>
      </c>
      <c r="V40" s="38" t="s">
        <v>120</v>
      </c>
      <c r="W40" s="38" t="s">
        <v>120</v>
      </c>
      <c r="X40" s="38" t="s">
        <v>120</v>
      </c>
      <c r="Y40" s="38" t="s">
        <v>120</v>
      </c>
      <c r="Z40" s="38" t="s">
        <v>120</v>
      </c>
      <c r="AA40" s="38" t="s">
        <v>120</v>
      </c>
      <c r="AB40" s="38" t="s">
        <v>120</v>
      </c>
      <c r="AC40" s="38" t="s">
        <v>120</v>
      </c>
      <c r="AD40" s="38" t="s">
        <v>120</v>
      </c>
      <c r="AE40" s="38" t="s">
        <v>120</v>
      </c>
      <c r="AF40" s="38" t="s">
        <v>120</v>
      </c>
      <c r="AG40" s="38" t="s">
        <v>120</v>
      </c>
      <c r="AH40" s="38" t="s">
        <v>120</v>
      </c>
      <c r="AI40" s="38" t="s">
        <v>120</v>
      </c>
      <c r="AJ40" s="38" t="s">
        <v>120</v>
      </c>
      <c r="AK40" s="38" t="s">
        <v>120</v>
      </c>
      <c r="AL40" s="38" t="s">
        <v>120</v>
      </c>
      <c r="AM40" s="38" t="s">
        <v>120</v>
      </c>
      <c r="AN40" s="38" t="s">
        <v>120</v>
      </c>
      <c r="AO40" s="38" t="s">
        <v>120</v>
      </c>
      <c r="AP40" s="38" t="s">
        <v>120</v>
      </c>
      <c r="AQ40" s="38" t="s">
        <v>120</v>
      </c>
      <c r="AR40" s="38" t="s">
        <v>120</v>
      </c>
      <c r="AS40" s="38" t="s">
        <v>120</v>
      </c>
      <c r="AT40" s="38" t="s">
        <v>120</v>
      </c>
      <c r="AU40" s="38" t="s">
        <v>120</v>
      </c>
      <c r="AV40" s="38" t="s">
        <v>120</v>
      </c>
      <c r="AW40" s="38" t="s">
        <v>120</v>
      </c>
      <c r="AX40" s="38" t="s">
        <v>120</v>
      </c>
    </row>
    <row r="41" spans="1:50" x14ac:dyDescent="0.45">
      <c r="A41" s="38" t="s">
        <v>160</v>
      </c>
      <c r="B41" s="38">
        <v>40</v>
      </c>
      <c r="C41" s="38" t="s">
        <v>119</v>
      </c>
      <c r="D41" s="38">
        <v>40</v>
      </c>
      <c r="E41" s="38">
        <v>14450</v>
      </c>
      <c r="F41" s="38">
        <f t="shared" si="0"/>
        <v>14.45</v>
      </c>
      <c r="G41" s="38">
        <v>4874843.75</v>
      </c>
      <c r="H41" s="38">
        <f t="shared" si="1"/>
        <v>4.8748437500000001</v>
      </c>
      <c r="I41" s="38">
        <v>2606</v>
      </c>
      <c r="J41" s="38">
        <v>2606</v>
      </c>
      <c r="K41" s="38" t="s">
        <v>120</v>
      </c>
      <c r="L41" s="38" t="s">
        <v>120</v>
      </c>
      <c r="M41" s="38" t="s">
        <v>120</v>
      </c>
      <c r="N41" s="38">
        <v>48.010914</v>
      </c>
      <c r="O41" s="38" t="s">
        <v>121</v>
      </c>
      <c r="P41" s="38" t="s">
        <v>121</v>
      </c>
      <c r="Q41" s="38" t="s">
        <v>120</v>
      </c>
      <c r="R41" s="38" t="s">
        <v>120</v>
      </c>
      <c r="S41" s="38" t="s">
        <v>120</v>
      </c>
      <c r="T41" s="38">
        <v>80.377972</v>
      </c>
      <c r="U41" s="38">
        <v>80.687870000000004</v>
      </c>
      <c r="V41" s="38" t="s">
        <v>120</v>
      </c>
      <c r="W41" s="38" t="s">
        <v>120</v>
      </c>
      <c r="X41" s="38" t="s">
        <v>120</v>
      </c>
      <c r="Y41" s="38" t="s">
        <v>120</v>
      </c>
      <c r="Z41" s="38" t="s">
        <v>120</v>
      </c>
      <c r="AA41" s="38" t="s">
        <v>120</v>
      </c>
      <c r="AB41" s="38" t="s">
        <v>120</v>
      </c>
      <c r="AC41" s="38" t="s">
        <v>120</v>
      </c>
      <c r="AD41" s="38" t="s">
        <v>120</v>
      </c>
      <c r="AE41" s="38" t="s">
        <v>120</v>
      </c>
      <c r="AF41" s="38" t="s">
        <v>120</v>
      </c>
      <c r="AG41" s="38" t="s">
        <v>120</v>
      </c>
      <c r="AH41" s="38" t="s">
        <v>120</v>
      </c>
      <c r="AI41" s="38" t="s">
        <v>120</v>
      </c>
      <c r="AJ41" s="38" t="s">
        <v>120</v>
      </c>
      <c r="AK41" s="38" t="s">
        <v>120</v>
      </c>
      <c r="AL41" s="38" t="s">
        <v>120</v>
      </c>
      <c r="AM41" s="38" t="s">
        <v>120</v>
      </c>
      <c r="AN41" s="38" t="s">
        <v>120</v>
      </c>
      <c r="AO41" s="38" t="s">
        <v>120</v>
      </c>
      <c r="AP41" s="38" t="s">
        <v>120</v>
      </c>
      <c r="AQ41" s="38" t="s">
        <v>120</v>
      </c>
      <c r="AR41" s="38" t="s">
        <v>120</v>
      </c>
      <c r="AS41" s="38" t="s">
        <v>120</v>
      </c>
      <c r="AT41" s="38" t="s">
        <v>120</v>
      </c>
      <c r="AU41" s="38" t="s">
        <v>120</v>
      </c>
      <c r="AV41" s="38" t="s">
        <v>120</v>
      </c>
      <c r="AW41" s="38" t="s">
        <v>120</v>
      </c>
      <c r="AX41" s="38" t="s">
        <v>120</v>
      </c>
    </row>
    <row r="42" spans="1:50" x14ac:dyDescent="0.45">
      <c r="A42" s="38" t="s">
        <v>161</v>
      </c>
      <c r="B42" s="38">
        <v>41</v>
      </c>
      <c r="C42" s="38" t="s">
        <v>119</v>
      </c>
      <c r="D42" s="38">
        <v>41</v>
      </c>
      <c r="E42" s="38">
        <v>27175</v>
      </c>
      <c r="F42" s="38">
        <f t="shared" si="0"/>
        <v>27.175000000000001</v>
      </c>
      <c r="G42" s="38">
        <v>13665468.75</v>
      </c>
      <c r="H42" s="38">
        <f t="shared" si="1"/>
        <v>13.66546875</v>
      </c>
      <c r="I42" s="38">
        <v>2607</v>
      </c>
      <c r="J42" s="38">
        <v>2607</v>
      </c>
      <c r="K42" s="38" t="s">
        <v>120</v>
      </c>
      <c r="L42" s="38" t="s">
        <v>120</v>
      </c>
      <c r="M42" s="38" t="s">
        <v>120</v>
      </c>
      <c r="N42" s="38">
        <v>31.569133999999998</v>
      </c>
      <c r="O42" s="38" t="s">
        <v>121</v>
      </c>
      <c r="P42" s="38" t="s">
        <v>121</v>
      </c>
      <c r="Q42" s="38" t="s">
        <v>120</v>
      </c>
      <c r="R42" s="38" t="s">
        <v>120</v>
      </c>
      <c r="S42" s="38" t="s">
        <v>120</v>
      </c>
      <c r="T42" s="38">
        <v>81.292787000000004</v>
      </c>
      <c r="U42" s="38">
        <v>81.002100999999996</v>
      </c>
      <c r="V42" s="38" t="s">
        <v>120</v>
      </c>
      <c r="W42" s="38" t="s">
        <v>120</v>
      </c>
      <c r="X42" s="38" t="s">
        <v>120</v>
      </c>
      <c r="Y42" s="38" t="s">
        <v>120</v>
      </c>
      <c r="Z42" s="38" t="s">
        <v>120</v>
      </c>
      <c r="AA42" s="38" t="s">
        <v>120</v>
      </c>
      <c r="AB42" s="38" t="s">
        <v>120</v>
      </c>
      <c r="AC42" s="38" t="s">
        <v>120</v>
      </c>
      <c r="AD42" s="38" t="s">
        <v>120</v>
      </c>
      <c r="AE42" s="38" t="s">
        <v>120</v>
      </c>
      <c r="AF42" s="38" t="s">
        <v>120</v>
      </c>
      <c r="AG42" s="38" t="s">
        <v>120</v>
      </c>
      <c r="AH42" s="38" t="s">
        <v>120</v>
      </c>
      <c r="AI42" s="38" t="s">
        <v>120</v>
      </c>
      <c r="AJ42" s="38" t="s">
        <v>120</v>
      </c>
      <c r="AK42" s="38" t="s">
        <v>120</v>
      </c>
      <c r="AL42" s="38" t="s">
        <v>120</v>
      </c>
      <c r="AM42" s="38" t="s">
        <v>120</v>
      </c>
      <c r="AN42" s="38" t="s">
        <v>120</v>
      </c>
      <c r="AO42" s="38" t="s">
        <v>120</v>
      </c>
      <c r="AP42" s="38" t="s">
        <v>120</v>
      </c>
      <c r="AQ42" s="38" t="s">
        <v>120</v>
      </c>
      <c r="AR42" s="38" t="s">
        <v>120</v>
      </c>
      <c r="AS42" s="38" t="s">
        <v>120</v>
      </c>
      <c r="AT42" s="38" t="s">
        <v>120</v>
      </c>
      <c r="AU42" s="38" t="s">
        <v>120</v>
      </c>
      <c r="AV42" s="38" t="s">
        <v>120</v>
      </c>
      <c r="AW42" s="38" t="s">
        <v>120</v>
      </c>
      <c r="AX42" s="38" t="s">
        <v>120</v>
      </c>
    </row>
    <row r="43" spans="1:50" x14ac:dyDescent="0.45">
      <c r="A43" s="38" t="s">
        <v>162</v>
      </c>
      <c r="B43" s="38">
        <v>42</v>
      </c>
      <c r="C43" s="38" t="s">
        <v>119</v>
      </c>
      <c r="D43" s="38">
        <v>42</v>
      </c>
      <c r="E43" s="38">
        <v>31950</v>
      </c>
      <c r="F43" s="38">
        <f t="shared" si="0"/>
        <v>31.95</v>
      </c>
      <c r="G43" s="38">
        <v>21318906.25</v>
      </c>
      <c r="H43" s="38">
        <f t="shared" si="1"/>
        <v>21.318906250000001</v>
      </c>
      <c r="I43" s="38">
        <v>2608</v>
      </c>
      <c r="J43" s="38">
        <v>2608</v>
      </c>
      <c r="K43" s="38" t="s">
        <v>120</v>
      </c>
      <c r="L43" s="38" t="s">
        <v>120</v>
      </c>
      <c r="M43" s="38" t="s">
        <v>120</v>
      </c>
      <c r="N43" s="38">
        <v>44.517006000000002</v>
      </c>
      <c r="O43" s="38" t="s">
        <v>121</v>
      </c>
      <c r="P43" s="38" t="s">
        <v>121</v>
      </c>
      <c r="Q43" s="38" t="s">
        <v>120</v>
      </c>
      <c r="R43" s="38" t="s">
        <v>120</v>
      </c>
      <c r="S43" s="38" t="s">
        <v>120</v>
      </c>
      <c r="T43" s="38">
        <v>78.396448000000007</v>
      </c>
      <c r="U43" s="38">
        <v>80.338397999999998</v>
      </c>
      <c r="V43" s="38" t="s">
        <v>120</v>
      </c>
      <c r="W43" s="38" t="s">
        <v>120</v>
      </c>
      <c r="X43" s="38" t="s">
        <v>120</v>
      </c>
      <c r="Y43" s="38" t="s">
        <v>120</v>
      </c>
      <c r="Z43" s="38" t="s">
        <v>120</v>
      </c>
      <c r="AA43" s="38" t="s">
        <v>120</v>
      </c>
      <c r="AB43" s="38" t="s">
        <v>120</v>
      </c>
      <c r="AC43" s="38" t="s">
        <v>120</v>
      </c>
      <c r="AD43" s="38" t="s">
        <v>120</v>
      </c>
      <c r="AE43" s="38" t="s">
        <v>120</v>
      </c>
      <c r="AF43" s="38" t="s">
        <v>120</v>
      </c>
      <c r="AG43" s="38" t="s">
        <v>120</v>
      </c>
      <c r="AH43" s="38" t="s">
        <v>120</v>
      </c>
      <c r="AI43" s="38" t="s">
        <v>120</v>
      </c>
      <c r="AJ43" s="38" t="s">
        <v>120</v>
      </c>
      <c r="AK43" s="38" t="s">
        <v>120</v>
      </c>
      <c r="AL43" s="38" t="s">
        <v>120</v>
      </c>
      <c r="AM43" s="38" t="s">
        <v>120</v>
      </c>
      <c r="AN43" s="38" t="s">
        <v>120</v>
      </c>
      <c r="AO43" s="38" t="s">
        <v>120</v>
      </c>
      <c r="AP43" s="38" t="s">
        <v>120</v>
      </c>
      <c r="AQ43" s="38" t="s">
        <v>120</v>
      </c>
      <c r="AR43" s="38" t="s">
        <v>120</v>
      </c>
      <c r="AS43" s="38" t="s">
        <v>120</v>
      </c>
      <c r="AT43" s="38" t="s">
        <v>120</v>
      </c>
      <c r="AU43" s="38" t="s">
        <v>120</v>
      </c>
      <c r="AV43" s="38" t="s">
        <v>120</v>
      </c>
      <c r="AW43" s="38" t="s">
        <v>120</v>
      </c>
      <c r="AX43" s="38" t="s">
        <v>120</v>
      </c>
    </row>
    <row r="44" spans="1:50" x14ac:dyDescent="0.45">
      <c r="A44" s="38" t="s">
        <v>163</v>
      </c>
      <c r="B44" s="38">
        <v>43</v>
      </c>
      <c r="C44" s="38" t="s">
        <v>119</v>
      </c>
      <c r="D44" s="38">
        <v>43</v>
      </c>
      <c r="E44" s="38">
        <v>13900</v>
      </c>
      <c r="F44" s="38">
        <f t="shared" si="0"/>
        <v>13.9</v>
      </c>
      <c r="G44" s="38">
        <v>4524375</v>
      </c>
      <c r="H44" s="38">
        <f t="shared" si="1"/>
        <v>4.524375</v>
      </c>
      <c r="I44" s="38">
        <v>2609</v>
      </c>
      <c r="J44" s="38">
        <v>2609</v>
      </c>
      <c r="K44" s="38" t="s">
        <v>120</v>
      </c>
      <c r="L44" s="38" t="s">
        <v>120</v>
      </c>
      <c r="M44" s="38" t="s">
        <v>120</v>
      </c>
      <c r="N44" s="38">
        <v>27.386092999999999</v>
      </c>
      <c r="O44" s="38" t="s">
        <v>121</v>
      </c>
      <c r="P44" s="38" t="s">
        <v>121</v>
      </c>
      <c r="Q44" s="38" t="s">
        <v>120</v>
      </c>
      <c r="R44" s="38" t="s">
        <v>120</v>
      </c>
      <c r="S44" s="38" t="s">
        <v>120</v>
      </c>
      <c r="T44" s="38">
        <v>73.434946999999994</v>
      </c>
      <c r="U44" s="38">
        <v>79.433333000000005</v>
      </c>
      <c r="V44" s="38" t="s">
        <v>120</v>
      </c>
      <c r="W44" s="38" t="s">
        <v>120</v>
      </c>
      <c r="X44" s="38" t="s">
        <v>120</v>
      </c>
      <c r="Y44" s="38" t="s">
        <v>120</v>
      </c>
      <c r="Z44" s="38" t="s">
        <v>120</v>
      </c>
      <c r="AA44" s="38" t="s">
        <v>120</v>
      </c>
      <c r="AB44" s="38" t="s">
        <v>120</v>
      </c>
      <c r="AC44" s="38" t="s">
        <v>120</v>
      </c>
      <c r="AD44" s="38" t="s">
        <v>120</v>
      </c>
      <c r="AE44" s="38" t="s">
        <v>120</v>
      </c>
      <c r="AF44" s="38" t="s">
        <v>120</v>
      </c>
      <c r="AG44" s="38" t="s">
        <v>120</v>
      </c>
      <c r="AH44" s="38" t="s">
        <v>120</v>
      </c>
      <c r="AI44" s="38" t="s">
        <v>120</v>
      </c>
      <c r="AJ44" s="38" t="s">
        <v>120</v>
      </c>
      <c r="AK44" s="38" t="s">
        <v>120</v>
      </c>
      <c r="AL44" s="38" t="s">
        <v>120</v>
      </c>
      <c r="AM44" s="38" t="s">
        <v>120</v>
      </c>
      <c r="AN44" s="38" t="s">
        <v>120</v>
      </c>
      <c r="AO44" s="38" t="s">
        <v>120</v>
      </c>
      <c r="AP44" s="38" t="s">
        <v>120</v>
      </c>
      <c r="AQ44" s="38" t="s">
        <v>120</v>
      </c>
      <c r="AR44" s="38" t="s">
        <v>120</v>
      </c>
      <c r="AS44" s="38" t="s">
        <v>120</v>
      </c>
      <c r="AT44" s="38" t="s">
        <v>120</v>
      </c>
      <c r="AU44" s="38" t="s">
        <v>120</v>
      </c>
      <c r="AV44" s="38" t="s">
        <v>120</v>
      </c>
      <c r="AW44" s="38" t="s">
        <v>120</v>
      </c>
      <c r="AX44" s="38" t="s">
        <v>120</v>
      </c>
    </row>
    <row r="45" spans="1:50" x14ac:dyDescent="0.45">
      <c r="A45" s="38" t="s">
        <v>164</v>
      </c>
      <c r="B45" s="38">
        <v>44</v>
      </c>
      <c r="C45" s="38" t="s">
        <v>119</v>
      </c>
      <c r="D45" s="38">
        <v>44</v>
      </c>
      <c r="E45" s="38">
        <v>22700</v>
      </c>
      <c r="F45" s="38">
        <f t="shared" si="0"/>
        <v>22.7</v>
      </c>
      <c r="G45" s="38">
        <v>10257656.25</v>
      </c>
      <c r="H45" s="38">
        <f t="shared" si="1"/>
        <v>10.25765625</v>
      </c>
      <c r="I45" s="38">
        <v>2610</v>
      </c>
      <c r="J45" s="38">
        <v>2610</v>
      </c>
      <c r="K45" s="38" t="s">
        <v>120</v>
      </c>
      <c r="L45" s="38" t="s">
        <v>120</v>
      </c>
      <c r="M45" s="38" t="s">
        <v>120</v>
      </c>
      <c r="N45" s="38">
        <v>27.402888999999998</v>
      </c>
      <c r="O45" s="38" t="s">
        <v>121</v>
      </c>
      <c r="P45" s="38" t="s">
        <v>121</v>
      </c>
      <c r="Q45" s="38" t="s">
        <v>120</v>
      </c>
      <c r="R45" s="38" t="s">
        <v>120</v>
      </c>
      <c r="S45" s="38" t="s">
        <v>120</v>
      </c>
      <c r="T45" s="38">
        <v>73</v>
      </c>
      <c r="U45" s="38">
        <v>79.659149999999997</v>
      </c>
      <c r="V45" s="38" t="s">
        <v>120</v>
      </c>
      <c r="W45" s="38" t="s">
        <v>120</v>
      </c>
      <c r="X45" s="38" t="s">
        <v>120</v>
      </c>
      <c r="Y45" s="38" t="s">
        <v>120</v>
      </c>
      <c r="Z45" s="38" t="s">
        <v>120</v>
      </c>
      <c r="AA45" s="38" t="s">
        <v>120</v>
      </c>
      <c r="AB45" s="38" t="s">
        <v>120</v>
      </c>
      <c r="AC45" s="38" t="s">
        <v>120</v>
      </c>
      <c r="AD45" s="38" t="s">
        <v>120</v>
      </c>
      <c r="AE45" s="38" t="s">
        <v>120</v>
      </c>
      <c r="AF45" s="38" t="s">
        <v>120</v>
      </c>
      <c r="AG45" s="38" t="s">
        <v>120</v>
      </c>
      <c r="AH45" s="38" t="s">
        <v>120</v>
      </c>
      <c r="AI45" s="38" t="s">
        <v>120</v>
      </c>
      <c r="AJ45" s="38" t="s">
        <v>120</v>
      </c>
      <c r="AK45" s="38" t="s">
        <v>120</v>
      </c>
      <c r="AL45" s="38" t="s">
        <v>120</v>
      </c>
      <c r="AM45" s="38" t="s">
        <v>120</v>
      </c>
      <c r="AN45" s="38" t="s">
        <v>120</v>
      </c>
      <c r="AO45" s="38" t="s">
        <v>120</v>
      </c>
      <c r="AP45" s="38" t="s">
        <v>120</v>
      </c>
      <c r="AQ45" s="38" t="s">
        <v>120</v>
      </c>
      <c r="AR45" s="38" t="s">
        <v>120</v>
      </c>
      <c r="AS45" s="38" t="s">
        <v>120</v>
      </c>
      <c r="AT45" s="38" t="s">
        <v>120</v>
      </c>
      <c r="AU45" s="38" t="s">
        <v>120</v>
      </c>
      <c r="AV45" s="38" t="s">
        <v>120</v>
      </c>
      <c r="AW45" s="38" t="s">
        <v>120</v>
      </c>
      <c r="AX45" s="38" t="s">
        <v>120</v>
      </c>
    </row>
    <row r="46" spans="1:50" x14ac:dyDescent="0.45">
      <c r="A46" s="38" t="s">
        <v>165</v>
      </c>
      <c r="B46" s="38">
        <v>45</v>
      </c>
      <c r="C46" s="38" t="s">
        <v>119</v>
      </c>
      <c r="D46" s="38">
        <v>45</v>
      </c>
      <c r="E46" s="38">
        <v>52700</v>
      </c>
      <c r="F46" s="38">
        <f t="shared" si="0"/>
        <v>52.7</v>
      </c>
      <c r="G46" s="38">
        <v>18363125</v>
      </c>
      <c r="H46" s="38">
        <f t="shared" si="1"/>
        <v>18.363125</v>
      </c>
      <c r="I46" s="38">
        <v>2611</v>
      </c>
      <c r="J46" s="38">
        <v>2611</v>
      </c>
      <c r="K46" s="38" t="s">
        <v>120</v>
      </c>
      <c r="L46" s="38" t="s">
        <v>120</v>
      </c>
      <c r="M46" s="38" t="s">
        <v>120</v>
      </c>
      <c r="N46" s="38">
        <v>8.2999749999999999</v>
      </c>
      <c r="O46" s="38" t="s">
        <v>121</v>
      </c>
      <c r="P46" s="38" t="s">
        <v>121</v>
      </c>
      <c r="Q46" s="38" t="s">
        <v>120</v>
      </c>
      <c r="R46" s="38" t="s">
        <v>120</v>
      </c>
      <c r="S46" s="38" t="s">
        <v>120</v>
      </c>
      <c r="T46" s="38">
        <v>72.625414000000006</v>
      </c>
      <c r="U46" s="38">
        <v>85.299818000000002</v>
      </c>
      <c r="V46" s="38" t="s">
        <v>120</v>
      </c>
      <c r="W46" s="38" t="s">
        <v>120</v>
      </c>
      <c r="X46" s="38" t="s">
        <v>120</v>
      </c>
      <c r="Y46" s="38" t="s">
        <v>120</v>
      </c>
      <c r="Z46" s="38" t="s">
        <v>120</v>
      </c>
      <c r="AA46" s="38" t="s">
        <v>120</v>
      </c>
      <c r="AB46" s="38" t="s">
        <v>120</v>
      </c>
      <c r="AC46" s="38" t="s">
        <v>120</v>
      </c>
      <c r="AD46" s="38" t="s">
        <v>120</v>
      </c>
      <c r="AE46" s="38" t="s">
        <v>120</v>
      </c>
      <c r="AF46" s="38" t="s">
        <v>120</v>
      </c>
      <c r="AG46" s="38" t="s">
        <v>120</v>
      </c>
      <c r="AH46" s="38" t="s">
        <v>120</v>
      </c>
      <c r="AI46" s="38" t="s">
        <v>120</v>
      </c>
      <c r="AJ46" s="38" t="s">
        <v>120</v>
      </c>
      <c r="AK46" s="38" t="s">
        <v>120</v>
      </c>
      <c r="AL46" s="38" t="s">
        <v>120</v>
      </c>
      <c r="AM46" s="38" t="s">
        <v>120</v>
      </c>
      <c r="AN46" s="38" t="s">
        <v>120</v>
      </c>
      <c r="AO46" s="38" t="s">
        <v>120</v>
      </c>
      <c r="AP46" s="38" t="s">
        <v>120</v>
      </c>
      <c r="AQ46" s="38" t="s">
        <v>120</v>
      </c>
      <c r="AR46" s="38" t="s">
        <v>120</v>
      </c>
      <c r="AS46" s="38" t="s">
        <v>120</v>
      </c>
      <c r="AT46" s="38" t="s">
        <v>120</v>
      </c>
      <c r="AU46" s="38" t="s">
        <v>120</v>
      </c>
      <c r="AV46" s="38" t="s">
        <v>120</v>
      </c>
      <c r="AW46" s="38" t="s">
        <v>120</v>
      </c>
      <c r="AX46" s="38" t="s">
        <v>120</v>
      </c>
    </row>
    <row r="47" spans="1:50" x14ac:dyDescent="0.45">
      <c r="A47" s="38" t="s">
        <v>166</v>
      </c>
      <c r="B47" s="38">
        <v>46</v>
      </c>
      <c r="C47" s="38" t="s">
        <v>119</v>
      </c>
      <c r="D47" s="38">
        <v>46</v>
      </c>
      <c r="E47" s="38">
        <v>20450</v>
      </c>
      <c r="F47" s="38">
        <f t="shared" si="0"/>
        <v>20.45</v>
      </c>
      <c r="G47" s="38">
        <v>11650937.5</v>
      </c>
      <c r="H47" s="38">
        <f t="shared" si="1"/>
        <v>11.6509375</v>
      </c>
      <c r="I47" s="38">
        <v>2612</v>
      </c>
      <c r="J47" s="38">
        <v>2612</v>
      </c>
      <c r="K47" s="38" t="s">
        <v>120</v>
      </c>
      <c r="L47" s="38" t="s">
        <v>120</v>
      </c>
      <c r="M47" s="38" t="s">
        <v>120</v>
      </c>
      <c r="N47" s="38">
        <v>26.429832000000001</v>
      </c>
      <c r="O47" s="38" t="s">
        <v>121</v>
      </c>
      <c r="P47" s="38" t="s">
        <v>121</v>
      </c>
      <c r="Q47" s="38" t="s">
        <v>120</v>
      </c>
      <c r="R47" s="38" t="s">
        <v>120</v>
      </c>
      <c r="S47" s="38" t="s">
        <v>120</v>
      </c>
      <c r="T47" s="38">
        <v>73.804314000000005</v>
      </c>
      <c r="U47" s="38">
        <v>77.716706000000002</v>
      </c>
      <c r="V47" s="38" t="s">
        <v>120</v>
      </c>
      <c r="W47" s="38" t="s">
        <v>120</v>
      </c>
      <c r="X47" s="38" t="s">
        <v>120</v>
      </c>
      <c r="Y47" s="38" t="s">
        <v>120</v>
      </c>
      <c r="Z47" s="38" t="s">
        <v>120</v>
      </c>
      <c r="AA47" s="38" t="s">
        <v>120</v>
      </c>
      <c r="AB47" s="38" t="s">
        <v>120</v>
      </c>
      <c r="AC47" s="38" t="s">
        <v>120</v>
      </c>
      <c r="AD47" s="38" t="s">
        <v>120</v>
      </c>
      <c r="AE47" s="38" t="s">
        <v>120</v>
      </c>
      <c r="AF47" s="38" t="s">
        <v>120</v>
      </c>
      <c r="AG47" s="38" t="s">
        <v>120</v>
      </c>
      <c r="AH47" s="38" t="s">
        <v>120</v>
      </c>
      <c r="AI47" s="38" t="s">
        <v>120</v>
      </c>
      <c r="AJ47" s="38" t="s">
        <v>120</v>
      </c>
      <c r="AK47" s="38" t="s">
        <v>120</v>
      </c>
      <c r="AL47" s="38" t="s">
        <v>120</v>
      </c>
      <c r="AM47" s="38" t="s">
        <v>120</v>
      </c>
      <c r="AN47" s="38" t="s">
        <v>120</v>
      </c>
      <c r="AO47" s="38" t="s">
        <v>120</v>
      </c>
      <c r="AP47" s="38" t="s">
        <v>120</v>
      </c>
      <c r="AQ47" s="38" t="s">
        <v>120</v>
      </c>
      <c r="AR47" s="38" t="s">
        <v>120</v>
      </c>
      <c r="AS47" s="38" t="s">
        <v>120</v>
      </c>
      <c r="AT47" s="38" t="s">
        <v>120</v>
      </c>
      <c r="AU47" s="38" t="s">
        <v>120</v>
      </c>
      <c r="AV47" s="38" t="s">
        <v>120</v>
      </c>
      <c r="AW47" s="38" t="s">
        <v>120</v>
      </c>
      <c r="AX47" s="38" t="s">
        <v>120</v>
      </c>
    </row>
    <row r="48" spans="1:50" x14ac:dyDescent="0.45">
      <c r="A48" s="38" t="s">
        <v>167</v>
      </c>
      <c r="B48" s="38">
        <v>47</v>
      </c>
      <c r="C48" s="38" t="s">
        <v>119</v>
      </c>
      <c r="D48" s="38">
        <v>47</v>
      </c>
      <c r="E48" s="38">
        <v>7350</v>
      </c>
      <c r="F48" s="38">
        <f t="shared" si="0"/>
        <v>7.35</v>
      </c>
      <c r="G48" s="38">
        <v>1330000</v>
      </c>
      <c r="H48" s="38">
        <f t="shared" si="1"/>
        <v>1.33</v>
      </c>
      <c r="I48" s="38">
        <v>2613</v>
      </c>
      <c r="J48" s="38">
        <v>2613</v>
      </c>
      <c r="K48" s="38" t="s">
        <v>120</v>
      </c>
      <c r="L48" s="38" t="s">
        <v>120</v>
      </c>
      <c r="M48" s="38" t="s">
        <v>120</v>
      </c>
      <c r="N48" s="38">
        <v>41.759932999999997</v>
      </c>
      <c r="O48" s="38" t="s">
        <v>121</v>
      </c>
      <c r="P48" s="38" t="s">
        <v>121</v>
      </c>
      <c r="Q48" s="38" t="s">
        <v>120</v>
      </c>
      <c r="R48" s="38" t="s">
        <v>120</v>
      </c>
      <c r="S48" s="38" t="s">
        <v>120</v>
      </c>
      <c r="T48" s="38">
        <v>73</v>
      </c>
      <c r="U48" s="38">
        <v>78.883930000000007</v>
      </c>
      <c r="V48" s="38" t="s">
        <v>120</v>
      </c>
      <c r="W48" s="38" t="s">
        <v>120</v>
      </c>
      <c r="X48" s="38" t="s">
        <v>120</v>
      </c>
      <c r="Y48" s="38" t="s">
        <v>120</v>
      </c>
      <c r="Z48" s="38" t="s">
        <v>120</v>
      </c>
      <c r="AA48" s="38" t="s">
        <v>120</v>
      </c>
      <c r="AB48" s="38" t="s">
        <v>120</v>
      </c>
      <c r="AC48" s="38" t="s">
        <v>120</v>
      </c>
      <c r="AD48" s="38" t="s">
        <v>120</v>
      </c>
      <c r="AE48" s="38" t="s">
        <v>120</v>
      </c>
      <c r="AF48" s="38" t="s">
        <v>120</v>
      </c>
      <c r="AG48" s="38" t="s">
        <v>120</v>
      </c>
      <c r="AH48" s="38" t="s">
        <v>120</v>
      </c>
      <c r="AI48" s="38" t="s">
        <v>120</v>
      </c>
      <c r="AJ48" s="38" t="s">
        <v>120</v>
      </c>
      <c r="AK48" s="38" t="s">
        <v>120</v>
      </c>
      <c r="AL48" s="38" t="s">
        <v>120</v>
      </c>
      <c r="AM48" s="38" t="s">
        <v>120</v>
      </c>
      <c r="AN48" s="38" t="s">
        <v>120</v>
      </c>
      <c r="AO48" s="38" t="s">
        <v>120</v>
      </c>
      <c r="AP48" s="38" t="s">
        <v>120</v>
      </c>
      <c r="AQ48" s="38" t="s">
        <v>120</v>
      </c>
      <c r="AR48" s="38" t="s">
        <v>120</v>
      </c>
      <c r="AS48" s="38" t="s">
        <v>120</v>
      </c>
      <c r="AT48" s="38" t="s">
        <v>120</v>
      </c>
      <c r="AU48" s="38" t="s">
        <v>120</v>
      </c>
      <c r="AV48" s="38" t="s">
        <v>120</v>
      </c>
      <c r="AW48" s="38" t="s">
        <v>120</v>
      </c>
      <c r="AX48" s="38" t="s">
        <v>120</v>
      </c>
    </row>
    <row r="49" spans="1:50" x14ac:dyDescent="0.45">
      <c r="A49" s="38" t="s">
        <v>168</v>
      </c>
      <c r="B49" s="38">
        <v>48</v>
      </c>
      <c r="C49" s="38" t="s">
        <v>119</v>
      </c>
      <c r="D49" s="38">
        <v>48</v>
      </c>
      <c r="E49" s="38">
        <v>20600</v>
      </c>
      <c r="F49" s="38">
        <f t="shared" si="0"/>
        <v>20.6</v>
      </c>
      <c r="G49" s="38">
        <v>5561718.75</v>
      </c>
      <c r="H49" s="38">
        <f t="shared" si="1"/>
        <v>5.5617187499999998</v>
      </c>
      <c r="I49" s="38">
        <v>2614</v>
      </c>
      <c r="J49" s="38">
        <v>2614</v>
      </c>
      <c r="K49" s="38" t="s">
        <v>120</v>
      </c>
      <c r="L49" s="38" t="s">
        <v>120</v>
      </c>
      <c r="M49" s="38" t="s">
        <v>120</v>
      </c>
      <c r="N49" s="38">
        <v>7.4685730000000001</v>
      </c>
      <c r="O49" s="38" t="s">
        <v>121</v>
      </c>
      <c r="P49" s="38" t="s">
        <v>121</v>
      </c>
      <c r="Q49" s="38" t="s">
        <v>120</v>
      </c>
      <c r="R49" s="38" t="s">
        <v>120</v>
      </c>
      <c r="S49" s="38" t="s">
        <v>120</v>
      </c>
      <c r="T49" s="38">
        <v>80.008830000000003</v>
      </c>
      <c r="U49" s="38">
        <v>80.515405999999999</v>
      </c>
      <c r="V49" s="38" t="s">
        <v>120</v>
      </c>
      <c r="W49" s="38" t="s">
        <v>120</v>
      </c>
      <c r="X49" s="38" t="s">
        <v>120</v>
      </c>
      <c r="Y49" s="38" t="s">
        <v>120</v>
      </c>
      <c r="Z49" s="38" t="s">
        <v>120</v>
      </c>
      <c r="AA49" s="38" t="s">
        <v>120</v>
      </c>
      <c r="AB49" s="38" t="s">
        <v>120</v>
      </c>
      <c r="AC49" s="38" t="s">
        <v>120</v>
      </c>
      <c r="AD49" s="38" t="s">
        <v>120</v>
      </c>
      <c r="AE49" s="38" t="s">
        <v>120</v>
      </c>
      <c r="AF49" s="38" t="s">
        <v>120</v>
      </c>
      <c r="AG49" s="38" t="s">
        <v>120</v>
      </c>
      <c r="AH49" s="38" t="s">
        <v>120</v>
      </c>
      <c r="AI49" s="38" t="s">
        <v>120</v>
      </c>
      <c r="AJ49" s="38" t="s">
        <v>120</v>
      </c>
      <c r="AK49" s="38" t="s">
        <v>120</v>
      </c>
      <c r="AL49" s="38" t="s">
        <v>120</v>
      </c>
      <c r="AM49" s="38" t="s">
        <v>120</v>
      </c>
      <c r="AN49" s="38" t="s">
        <v>120</v>
      </c>
      <c r="AO49" s="38" t="s">
        <v>120</v>
      </c>
      <c r="AP49" s="38" t="s">
        <v>120</v>
      </c>
      <c r="AQ49" s="38" t="s">
        <v>120</v>
      </c>
      <c r="AR49" s="38" t="s">
        <v>120</v>
      </c>
      <c r="AS49" s="38" t="s">
        <v>120</v>
      </c>
      <c r="AT49" s="38" t="s">
        <v>120</v>
      </c>
      <c r="AU49" s="38" t="s">
        <v>120</v>
      </c>
      <c r="AV49" s="38" t="s">
        <v>120</v>
      </c>
      <c r="AW49" s="38" t="s">
        <v>120</v>
      </c>
      <c r="AX49" s="38" t="s">
        <v>120</v>
      </c>
    </row>
    <row r="50" spans="1:50" x14ac:dyDescent="0.45">
      <c r="A50" s="38" t="s">
        <v>169</v>
      </c>
      <c r="B50" s="38">
        <v>49</v>
      </c>
      <c r="C50" s="38" t="s">
        <v>119</v>
      </c>
      <c r="D50" s="38">
        <v>49</v>
      </c>
      <c r="E50" s="38">
        <v>27925</v>
      </c>
      <c r="F50" s="38">
        <f t="shared" si="0"/>
        <v>27.925000000000001</v>
      </c>
      <c r="G50" s="38">
        <v>12059843.75</v>
      </c>
      <c r="H50" s="38">
        <f t="shared" si="1"/>
        <v>12.059843750000001</v>
      </c>
      <c r="I50" s="38">
        <v>2615</v>
      </c>
      <c r="J50" s="38">
        <v>2615</v>
      </c>
      <c r="K50" s="38" t="s">
        <v>120</v>
      </c>
      <c r="L50" s="38" t="s">
        <v>120</v>
      </c>
      <c r="M50" s="38" t="s">
        <v>120</v>
      </c>
      <c r="N50" s="38">
        <v>33.791203000000003</v>
      </c>
      <c r="O50" s="38" t="s">
        <v>121</v>
      </c>
      <c r="P50" s="38" t="s">
        <v>121</v>
      </c>
      <c r="Q50" s="38" t="s">
        <v>120</v>
      </c>
      <c r="R50" s="38" t="s">
        <v>120</v>
      </c>
      <c r="S50" s="38" t="s">
        <v>120</v>
      </c>
      <c r="T50" s="38">
        <v>73</v>
      </c>
      <c r="U50" s="38">
        <v>79.271658000000002</v>
      </c>
      <c r="V50" s="38" t="s">
        <v>120</v>
      </c>
      <c r="W50" s="38" t="s">
        <v>120</v>
      </c>
      <c r="X50" s="38" t="s">
        <v>120</v>
      </c>
      <c r="Y50" s="38" t="s">
        <v>120</v>
      </c>
      <c r="Z50" s="38" t="s">
        <v>120</v>
      </c>
      <c r="AA50" s="38" t="s">
        <v>120</v>
      </c>
      <c r="AB50" s="38" t="s">
        <v>120</v>
      </c>
      <c r="AC50" s="38" t="s">
        <v>120</v>
      </c>
      <c r="AD50" s="38" t="s">
        <v>120</v>
      </c>
      <c r="AE50" s="38" t="s">
        <v>120</v>
      </c>
      <c r="AF50" s="38" t="s">
        <v>120</v>
      </c>
      <c r="AG50" s="38" t="s">
        <v>120</v>
      </c>
      <c r="AH50" s="38" t="s">
        <v>120</v>
      </c>
      <c r="AI50" s="38" t="s">
        <v>120</v>
      </c>
      <c r="AJ50" s="38" t="s">
        <v>120</v>
      </c>
      <c r="AK50" s="38" t="s">
        <v>120</v>
      </c>
      <c r="AL50" s="38" t="s">
        <v>120</v>
      </c>
      <c r="AM50" s="38" t="s">
        <v>120</v>
      </c>
      <c r="AN50" s="38" t="s">
        <v>120</v>
      </c>
      <c r="AO50" s="38" t="s">
        <v>120</v>
      </c>
      <c r="AP50" s="38" t="s">
        <v>120</v>
      </c>
      <c r="AQ50" s="38" t="s">
        <v>120</v>
      </c>
      <c r="AR50" s="38" t="s">
        <v>120</v>
      </c>
      <c r="AS50" s="38" t="s">
        <v>120</v>
      </c>
      <c r="AT50" s="38" t="s">
        <v>120</v>
      </c>
      <c r="AU50" s="38" t="s">
        <v>120</v>
      </c>
      <c r="AV50" s="38" t="s">
        <v>120</v>
      </c>
      <c r="AW50" s="38" t="s">
        <v>120</v>
      </c>
      <c r="AX50" s="38" t="s">
        <v>120</v>
      </c>
    </row>
    <row r="51" spans="1:50" x14ac:dyDescent="0.45">
      <c r="A51" s="38" t="s">
        <v>170</v>
      </c>
      <c r="B51" s="38">
        <v>50</v>
      </c>
      <c r="C51" s="38" t="s">
        <v>119</v>
      </c>
      <c r="D51" s="38">
        <v>50</v>
      </c>
      <c r="E51" s="38">
        <v>45750</v>
      </c>
      <c r="F51" s="38">
        <f t="shared" si="0"/>
        <v>45.75</v>
      </c>
      <c r="G51" s="38">
        <v>17499843.75</v>
      </c>
      <c r="H51" s="38">
        <f t="shared" si="1"/>
        <v>17.49984375</v>
      </c>
      <c r="I51" s="38">
        <v>2616</v>
      </c>
      <c r="J51" s="38">
        <v>2616</v>
      </c>
      <c r="K51" s="38" t="s">
        <v>120</v>
      </c>
      <c r="L51" s="38" t="s">
        <v>120</v>
      </c>
      <c r="M51" s="38" t="s">
        <v>120</v>
      </c>
      <c r="N51" s="38">
        <v>8.0080329999999993</v>
      </c>
      <c r="O51" s="38" t="s">
        <v>121</v>
      </c>
      <c r="P51" s="38" t="s">
        <v>121</v>
      </c>
      <c r="Q51" s="38" t="s">
        <v>120</v>
      </c>
      <c r="R51" s="38" t="s">
        <v>120</v>
      </c>
      <c r="S51" s="38" t="s">
        <v>120</v>
      </c>
      <c r="T51" s="38">
        <v>50.291483999999997</v>
      </c>
      <c r="U51" s="38">
        <v>82.702944000000002</v>
      </c>
      <c r="V51" s="38" t="s">
        <v>120</v>
      </c>
      <c r="W51" s="38" t="s">
        <v>120</v>
      </c>
      <c r="X51" s="38" t="s">
        <v>120</v>
      </c>
      <c r="Y51" s="38" t="s">
        <v>120</v>
      </c>
      <c r="Z51" s="38" t="s">
        <v>120</v>
      </c>
      <c r="AA51" s="38" t="s">
        <v>120</v>
      </c>
      <c r="AB51" s="38" t="s">
        <v>120</v>
      </c>
      <c r="AC51" s="38" t="s">
        <v>120</v>
      </c>
      <c r="AD51" s="38" t="s">
        <v>120</v>
      </c>
      <c r="AE51" s="38" t="s">
        <v>120</v>
      </c>
      <c r="AF51" s="38" t="s">
        <v>120</v>
      </c>
      <c r="AG51" s="38" t="s">
        <v>120</v>
      </c>
      <c r="AH51" s="38" t="s">
        <v>120</v>
      </c>
      <c r="AI51" s="38" t="s">
        <v>120</v>
      </c>
      <c r="AJ51" s="38" t="s">
        <v>120</v>
      </c>
      <c r="AK51" s="38" t="s">
        <v>120</v>
      </c>
      <c r="AL51" s="38" t="s">
        <v>120</v>
      </c>
      <c r="AM51" s="38" t="s">
        <v>120</v>
      </c>
      <c r="AN51" s="38" t="s">
        <v>120</v>
      </c>
      <c r="AO51" s="38" t="s">
        <v>120</v>
      </c>
      <c r="AP51" s="38" t="s">
        <v>120</v>
      </c>
      <c r="AQ51" s="38" t="s">
        <v>120</v>
      </c>
      <c r="AR51" s="38" t="s">
        <v>120</v>
      </c>
      <c r="AS51" s="38" t="s">
        <v>120</v>
      </c>
      <c r="AT51" s="38" t="s">
        <v>120</v>
      </c>
      <c r="AU51" s="38" t="s">
        <v>120</v>
      </c>
      <c r="AV51" s="38" t="s">
        <v>120</v>
      </c>
      <c r="AW51" s="38" t="s">
        <v>120</v>
      </c>
      <c r="AX51" s="38" t="s">
        <v>120</v>
      </c>
    </row>
    <row r="52" spans="1:50" x14ac:dyDescent="0.45">
      <c r="A52" s="38" t="s">
        <v>171</v>
      </c>
      <c r="B52" s="38">
        <v>51</v>
      </c>
      <c r="C52" s="38" t="s">
        <v>119</v>
      </c>
      <c r="D52" s="38">
        <v>51</v>
      </c>
      <c r="E52" s="38">
        <v>18675</v>
      </c>
      <c r="F52" s="38">
        <f t="shared" si="0"/>
        <v>18.675000000000001</v>
      </c>
      <c r="G52" s="38">
        <v>8389218.75</v>
      </c>
      <c r="H52" s="38">
        <f t="shared" si="1"/>
        <v>8.3892187499999995</v>
      </c>
      <c r="I52" s="38">
        <v>2617</v>
      </c>
      <c r="J52" s="38">
        <v>2617</v>
      </c>
      <c r="K52" s="38" t="s">
        <v>120</v>
      </c>
      <c r="L52" s="38" t="s">
        <v>120</v>
      </c>
      <c r="M52" s="38" t="s">
        <v>120</v>
      </c>
      <c r="N52" s="38">
        <v>53.46172</v>
      </c>
      <c r="O52" s="38" t="s">
        <v>121</v>
      </c>
      <c r="P52" s="38" t="s">
        <v>121</v>
      </c>
      <c r="Q52" s="38" t="s">
        <v>120</v>
      </c>
      <c r="R52" s="38" t="s">
        <v>120</v>
      </c>
      <c r="S52" s="38" t="s">
        <v>120</v>
      </c>
      <c r="T52" s="38">
        <v>79.239301999999995</v>
      </c>
      <c r="U52" s="38">
        <v>79.981316000000007</v>
      </c>
      <c r="V52" s="38" t="s">
        <v>120</v>
      </c>
      <c r="W52" s="38" t="s">
        <v>120</v>
      </c>
      <c r="X52" s="38" t="s">
        <v>120</v>
      </c>
      <c r="Y52" s="38" t="s">
        <v>120</v>
      </c>
      <c r="Z52" s="38" t="s">
        <v>120</v>
      </c>
      <c r="AA52" s="38" t="s">
        <v>120</v>
      </c>
      <c r="AB52" s="38" t="s">
        <v>120</v>
      </c>
      <c r="AC52" s="38" t="s">
        <v>120</v>
      </c>
      <c r="AD52" s="38" t="s">
        <v>120</v>
      </c>
      <c r="AE52" s="38" t="s">
        <v>120</v>
      </c>
      <c r="AF52" s="38" t="s">
        <v>120</v>
      </c>
      <c r="AG52" s="38" t="s">
        <v>120</v>
      </c>
      <c r="AH52" s="38" t="s">
        <v>120</v>
      </c>
      <c r="AI52" s="38" t="s">
        <v>120</v>
      </c>
      <c r="AJ52" s="38" t="s">
        <v>120</v>
      </c>
      <c r="AK52" s="38" t="s">
        <v>120</v>
      </c>
      <c r="AL52" s="38" t="s">
        <v>120</v>
      </c>
      <c r="AM52" s="38" t="s">
        <v>120</v>
      </c>
      <c r="AN52" s="38" t="s">
        <v>120</v>
      </c>
      <c r="AO52" s="38" t="s">
        <v>120</v>
      </c>
      <c r="AP52" s="38" t="s">
        <v>120</v>
      </c>
      <c r="AQ52" s="38" t="s">
        <v>120</v>
      </c>
      <c r="AR52" s="38" t="s">
        <v>120</v>
      </c>
      <c r="AS52" s="38" t="s">
        <v>120</v>
      </c>
      <c r="AT52" s="38" t="s">
        <v>120</v>
      </c>
      <c r="AU52" s="38" t="s">
        <v>120</v>
      </c>
      <c r="AV52" s="38" t="s">
        <v>120</v>
      </c>
      <c r="AW52" s="38" t="s">
        <v>120</v>
      </c>
      <c r="AX52" s="38" t="s">
        <v>120</v>
      </c>
    </row>
    <row r="53" spans="1:50" x14ac:dyDescent="0.45">
      <c r="A53" s="38" t="s">
        <v>172</v>
      </c>
      <c r="B53" s="38">
        <v>52</v>
      </c>
      <c r="C53" s="38" t="s">
        <v>119</v>
      </c>
      <c r="D53" s="38">
        <v>52</v>
      </c>
      <c r="E53" s="38">
        <v>19750</v>
      </c>
      <c r="F53" s="38">
        <f t="shared" si="0"/>
        <v>19.75</v>
      </c>
      <c r="G53" s="38">
        <v>5832343.75</v>
      </c>
      <c r="H53" s="38">
        <f t="shared" si="1"/>
        <v>5.8323437499999997</v>
      </c>
      <c r="I53" s="38">
        <v>2618</v>
      </c>
      <c r="J53" s="38">
        <v>2618</v>
      </c>
      <c r="K53" s="38" t="s">
        <v>120</v>
      </c>
      <c r="L53" s="38" t="s">
        <v>120</v>
      </c>
      <c r="M53" s="38" t="s">
        <v>120</v>
      </c>
      <c r="N53" s="38">
        <v>6.6376670000000004</v>
      </c>
      <c r="O53" s="38" t="s">
        <v>121</v>
      </c>
      <c r="P53" s="38" t="s">
        <v>121</v>
      </c>
      <c r="Q53" s="38" t="s">
        <v>120</v>
      </c>
      <c r="R53" s="38" t="s">
        <v>120</v>
      </c>
      <c r="S53" s="38" t="s">
        <v>120</v>
      </c>
      <c r="T53" s="38">
        <v>69.465508999999997</v>
      </c>
      <c r="U53" s="38">
        <v>79.438334999999995</v>
      </c>
      <c r="V53" s="38" t="s">
        <v>120</v>
      </c>
      <c r="W53" s="38" t="s">
        <v>120</v>
      </c>
      <c r="X53" s="38" t="s">
        <v>120</v>
      </c>
      <c r="Y53" s="38" t="s">
        <v>120</v>
      </c>
      <c r="Z53" s="38" t="s">
        <v>120</v>
      </c>
      <c r="AA53" s="38" t="s">
        <v>120</v>
      </c>
      <c r="AB53" s="38" t="s">
        <v>120</v>
      </c>
      <c r="AC53" s="38" t="s">
        <v>120</v>
      </c>
      <c r="AD53" s="38" t="s">
        <v>120</v>
      </c>
      <c r="AE53" s="38" t="s">
        <v>120</v>
      </c>
      <c r="AF53" s="38" t="s">
        <v>120</v>
      </c>
      <c r="AG53" s="38" t="s">
        <v>120</v>
      </c>
      <c r="AH53" s="38" t="s">
        <v>120</v>
      </c>
      <c r="AI53" s="38" t="s">
        <v>120</v>
      </c>
      <c r="AJ53" s="38" t="s">
        <v>120</v>
      </c>
      <c r="AK53" s="38" t="s">
        <v>120</v>
      </c>
      <c r="AL53" s="38" t="s">
        <v>120</v>
      </c>
      <c r="AM53" s="38" t="s">
        <v>120</v>
      </c>
      <c r="AN53" s="38" t="s">
        <v>120</v>
      </c>
      <c r="AO53" s="38" t="s">
        <v>120</v>
      </c>
      <c r="AP53" s="38" t="s">
        <v>120</v>
      </c>
      <c r="AQ53" s="38" t="s">
        <v>120</v>
      </c>
      <c r="AR53" s="38" t="s">
        <v>120</v>
      </c>
      <c r="AS53" s="38" t="s">
        <v>120</v>
      </c>
      <c r="AT53" s="38" t="s">
        <v>120</v>
      </c>
      <c r="AU53" s="38" t="s">
        <v>120</v>
      </c>
      <c r="AV53" s="38" t="s">
        <v>120</v>
      </c>
      <c r="AW53" s="38" t="s">
        <v>120</v>
      </c>
      <c r="AX53" s="38" t="s">
        <v>120</v>
      </c>
    </row>
    <row r="54" spans="1:50" x14ac:dyDescent="0.45">
      <c r="A54" s="38" t="s">
        <v>173</v>
      </c>
      <c r="B54" s="38">
        <v>53</v>
      </c>
      <c r="C54" s="38" t="s">
        <v>119</v>
      </c>
      <c r="D54" s="38">
        <v>53</v>
      </c>
      <c r="E54" s="38">
        <v>8700</v>
      </c>
      <c r="F54" s="38">
        <f t="shared" si="0"/>
        <v>8.6999999999999993</v>
      </c>
      <c r="G54" s="38">
        <v>1818125</v>
      </c>
      <c r="H54" s="38">
        <f t="shared" si="1"/>
        <v>1.818125</v>
      </c>
      <c r="I54" s="38">
        <v>2619</v>
      </c>
      <c r="J54" s="38">
        <v>2619</v>
      </c>
      <c r="K54" s="38" t="s">
        <v>120</v>
      </c>
      <c r="L54" s="38" t="s">
        <v>120</v>
      </c>
      <c r="M54" s="38" t="s">
        <v>120</v>
      </c>
      <c r="N54" s="38">
        <v>33.491084999999998</v>
      </c>
      <c r="O54" s="38" t="s">
        <v>121</v>
      </c>
      <c r="P54" s="38" t="s">
        <v>121</v>
      </c>
      <c r="Q54" s="38" t="s">
        <v>120</v>
      </c>
      <c r="R54" s="38" t="s">
        <v>120</v>
      </c>
      <c r="S54" s="38" t="s">
        <v>120</v>
      </c>
      <c r="T54" s="38">
        <v>73.690264999999997</v>
      </c>
      <c r="U54" s="38">
        <v>79.490898000000001</v>
      </c>
      <c r="V54" s="38" t="s">
        <v>120</v>
      </c>
      <c r="W54" s="38" t="s">
        <v>120</v>
      </c>
      <c r="X54" s="38" t="s">
        <v>120</v>
      </c>
      <c r="Y54" s="38" t="s">
        <v>120</v>
      </c>
      <c r="Z54" s="38" t="s">
        <v>120</v>
      </c>
      <c r="AA54" s="38" t="s">
        <v>120</v>
      </c>
      <c r="AB54" s="38" t="s">
        <v>120</v>
      </c>
      <c r="AC54" s="38" t="s">
        <v>120</v>
      </c>
      <c r="AD54" s="38" t="s">
        <v>120</v>
      </c>
      <c r="AE54" s="38" t="s">
        <v>120</v>
      </c>
      <c r="AF54" s="38" t="s">
        <v>120</v>
      </c>
      <c r="AG54" s="38" t="s">
        <v>120</v>
      </c>
      <c r="AH54" s="38" t="s">
        <v>120</v>
      </c>
      <c r="AI54" s="38" t="s">
        <v>120</v>
      </c>
      <c r="AJ54" s="38" t="s">
        <v>120</v>
      </c>
      <c r="AK54" s="38" t="s">
        <v>120</v>
      </c>
      <c r="AL54" s="38" t="s">
        <v>120</v>
      </c>
      <c r="AM54" s="38" t="s">
        <v>120</v>
      </c>
      <c r="AN54" s="38" t="s">
        <v>120</v>
      </c>
      <c r="AO54" s="38" t="s">
        <v>120</v>
      </c>
      <c r="AP54" s="38" t="s">
        <v>120</v>
      </c>
      <c r="AQ54" s="38" t="s">
        <v>120</v>
      </c>
      <c r="AR54" s="38" t="s">
        <v>120</v>
      </c>
      <c r="AS54" s="38" t="s">
        <v>120</v>
      </c>
      <c r="AT54" s="38" t="s">
        <v>120</v>
      </c>
      <c r="AU54" s="38" t="s">
        <v>120</v>
      </c>
      <c r="AV54" s="38" t="s">
        <v>120</v>
      </c>
      <c r="AW54" s="38" t="s">
        <v>120</v>
      </c>
      <c r="AX54" s="38" t="s">
        <v>120</v>
      </c>
    </row>
    <row r="55" spans="1:50" x14ac:dyDescent="0.45">
      <c r="A55" s="38" t="s">
        <v>174</v>
      </c>
      <c r="B55" s="38">
        <v>54</v>
      </c>
      <c r="C55" s="38" t="s">
        <v>119</v>
      </c>
      <c r="D55" s="38">
        <v>54</v>
      </c>
      <c r="E55" s="38">
        <v>18275</v>
      </c>
      <c r="F55" s="38">
        <f t="shared" si="0"/>
        <v>18.274999999999999</v>
      </c>
      <c r="G55" s="38">
        <v>5128593.75</v>
      </c>
      <c r="H55" s="38">
        <f t="shared" si="1"/>
        <v>5.1285937500000003</v>
      </c>
      <c r="I55" s="38">
        <v>2620</v>
      </c>
      <c r="J55" s="38">
        <v>2620</v>
      </c>
      <c r="K55" s="38" t="s">
        <v>120</v>
      </c>
      <c r="L55" s="38" t="s">
        <v>120</v>
      </c>
      <c r="M55" s="38" t="s">
        <v>120</v>
      </c>
      <c r="N55" s="38">
        <v>7.3009620000000002</v>
      </c>
      <c r="O55" s="38" t="s">
        <v>121</v>
      </c>
      <c r="P55" s="38" t="s">
        <v>121</v>
      </c>
      <c r="Q55" s="38" t="s">
        <v>120</v>
      </c>
      <c r="R55" s="38" t="s">
        <v>120</v>
      </c>
      <c r="S55" s="38" t="s">
        <v>120</v>
      </c>
      <c r="T55" s="38">
        <v>62.670451999999997</v>
      </c>
      <c r="U55" s="38">
        <v>75.750193999999993</v>
      </c>
      <c r="V55" s="38" t="s">
        <v>120</v>
      </c>
      <c r="W55" s="38" t="s">
        <v>120</v>
      </c>
      <c r="X55" s="38" t="s">
        <v>120</v>
      </c>
      <c r="Y55" s="38" t="s">
        <v>120</v>
      </c>
      <c r="Z55" s="38" t="s">
        <v>120</v>
      </c>
      <c r="AA55" s="38" t="s">
        <v>120</v>
      </c>
      <c r="AB55" s="38" t="s">
        <v>120</v>
      </c>
      <c r="AC55" s="38" t="s">
        <v>120</v>
      </c>
      <c r="AD55" s="38" t="s">
        <v>120</v>
      </c>
      <c r="AE55" s="38" t="s">
        <v>120</v>
      </c>
      <c r="AF55" s="38" t="s">
        <v>120</v>
      </c>
      <c r="AG55" s="38" t="s">
        <v>120</v>
      </c>
      <c r="AH55" s="38" t="s">
        <v>120</v>
      </c>
      <c r="AI55" s="38" t="s">
        <v>120</v>
      </c>
      <c r="AJ55" s="38" t="s">
        <v>120</v>
      </c>
      <c r="AK55" s="38" t="s">
        <v>120</v>
      </c>
      <c r="AL55" s="38" t="s">
        <v>120</v>
      </c>
      <c r="AM55" s="38" t="s">
        <v>120</v>
      </c>
      <c r="AN55" s="38" t="s">
        <v>120</v>
      </c>
      <c r="AO55" s="38" t="s">
        <v>120</v>
      </c>
      <c r="AP55" s="38" t="s">
        <v>120</v>
      </c>
      <c r="AQ55" s="38" t="s">
        <v>120</v>
      </c>
      <c r="AR55" s="38" t="s">
        <v>120</v>
      </c>
      <c r="AS55" s="38" t="s">
        <v>120</v>
      </c>
      <c r="AT55" s="38" t="s">
        <v>120</v>
      </c>
      <c r="AU55" s="38" t="s">
        <v>120</v>
      </c>
      <c r="AV55" s="38" t="s">
        <v>120</v>
      </c>
      <c r="AW55" s="38" t="s">
        <v>120</v>
      </c>
      <c r="AX55" s="38" t="s">
        <v>120</v>
      </c>
    </row>
    <row r="56" spans="1:50" x14ac:dyDescent="0.45">
      <c r="A56" s="38" t="s">
        <v>175</v>
      </c>
      <c r="B56" s="38">
        <v>55</v>
      </c>
      <c r="C56" s="38" t="s">
        <v>119</v>
      </c>
      <c r="D56" s="38">
        <v>55</v>
      </c>
      <c r="E56" s="38">
        <v>16675</v>
      </c>
      <c r="F56" s="38">
        <f t="shared" si="0"/>
        <v>16.675000000000001</v>
      </c>
      <c r="G56" s="38">
        <v>7069218.75</v>
      </c>
      <c r="H56" s="38">
        <f t="shared" si="1"/>
        <v>7.0692187500000001</v>
      </c>
      <c r="I56" s="38">
        <v>2621</v>
      </c>
      <c r="J56" s="38">
        <v>2621</v>
      </c>
      <c r="K56" s="38" t="s">
        <v>120</v>
      </c>
      <c r="L56" s="38" t="s">
        <v>120</v>
      </c>
      <c r="M56" s="38" t="s">
        <v>120</v>
      </c>
      <c r="N56" s="38">
        <v>8.8888540000000003</v>
      </c>
      <c r="O56" s="38" t="s">
        <v>121</v>
      </c>
      <c r="P56" s="38" t="s">
        <v>121</v>
      </c>
      <c r="Q56" s="38" t="s">
        <v>120</v>
      </c>
      <c r="R56" s="38" t="s">
        <v>120</v>
      </c>
      <c r="S56" s="38" t="s">
        <v>120</v>
      </c>
      <c r="T56" s="38">
        <v>74.895214999999993</v>
      </c>
      <c r="U56" s="38">
        <v>80.190946999999994</v>
      </c>
      <c r="V56" s="38" t="s">
        <v>120</v>
      </c>
      <c r="W56" s="38" t="s">
        <v>120</v>
      </c>
      <c r="X56" s="38" t="s">
        <v>120</v>
      </c>
      <c r="Y56" s="38" t="s">
        <v>120</v>
      </c>
      <c r="Z56" s="38" t="s">
        <v>120</v>
      </c>
      <c r="AA56" s="38" t="s">
        <v>120</v>
      </c>
      <c r="AB56" s="38" t="s">
        <v>120</v>
      </c>
      <c r="AC56" s="38" t="s">
        <v>120</v>
      </c>
      <c r="AD56" s="38" t="s">
        <v>120</v>
      </c>
      <c r="AE56" s="38" t="s">
        <v>120</v>
      </c>
      <c r="AF56" s="38" t="s">
        <v>120</v>
      </c>
      <c r="AG56" s="38" t="s">
        <v>120</v>
      </c>
      <c r="AH56" s="38" t="s">
        <v>120</v>
      </c>
      <c r="AI56" s="38" t="s">
        <v>120</v>
      </c>
      <c r="AJ56" s="38" t="s">
        <v>120</v>
      </c>
      <c r="AK56" s="38" t="s">
        <v>120</v>
      </c>
      <c r="AL56" s="38" t="s">
        <v>120</v>
      </c>
      <c r="AM56" s="38" t="s">
        <v>120</v>
      </c>
      <c r="AN56" s="38" t="s">
        <v>120</v>
      </c>
      <c r="AO56" s="38" t="s">
        <v>120</v>
      </c>
      <c r="AP56" s="38" t="s">
        <v>120</v>
      </c>
      <c r="AQ56" s="38" t="s">
        <v>120</v>
      </c>
      <c r="AR56" s="38" t="s">
        <v>120</v>
      </c>
      <c r="AS56" s="38" t="s">
        <v>120</v>
      </c>
      <c r="AT56" s="38" t="s">
        <v>120</v>
      </c>
      <c r="AU56" s="38" t="s">
        <v>120</v>
      </c>
      <c r="AV56" s="38" t="s">
        <v>120</v>
      </c>
      <c r="AW56" s="38" t="s">
        <v>120</v>
      </c>
      <c r="AX56" s="38" t="s">
        <v>120</v>
      </c>
    </row>
    <row r="57" spans="1:50" x14ac:dyDescent="0.45">
      <c r="A57" s="38" t="s">
        <v>176</v>
      </c>
      <c r="B57" s="38">
        <v>56</v>
      </c>
      <c r="C57" s="38" t="s">
        <v>119</v>
      </c>
      <c r="D57" s="38">
        <v>56</v>
      </c>
      <c r="E57" s="38">
        <v>2450</v>
      </c>
      <c r="F57" s="38">
        <f t="shared" si="0"/>
        <v>2.4500000000000002</v>
      </c>
      <c r="G57" s="38">
        <v>205000</v>
      </c>
      <c r="H57" s="38">
        <f t="shared" si="1"/>
        <v>0.20499999999999999</v>
      </c>
      <c r="I57" s="38">
        <v>2622</v>
      </c>
      <c r="J57" s="38">
        <v>2622</v>
      </c>
      <c r="K57" s="38" t="s">
        <v>120</v>
      </c>
      <c r="L57" s="38" t="s">
        <v>120</v>
      </c>
      <c r="M57" s="38" t="s">
        <v>120</v>
      </c>
      <c r="N57" s="38">
        <v>8.7051759999999998</v>
      </c>
      <c r="O57" s="38" t="s">
        <v>121</v>
      </c>
      <c r="P57" s="38" t="s">
        <v>121</v>
      </c>
      <c r="Q57" s="38" t="s">
        <v>120</v>
      </c>
      <c r="R57" s="38" t="s">
        <v>120</v>
      </c>
      <c r="S57" s="38" t="s">
        <v>120</v>
      </c>
      <c r="T57" s="38">
        <v>75.528301999999996</v>
      </c>
      <c r="U57" s="38">
        <v>81.305453</v>
      </c>
      <c r="V57" s="38" t="s">
        <v>120</v>
      </c>
      <c r="W57" s="38" t="s">
        <v>120</v>
      </c>
      <c r="X57" s="38" t="s">
        <v>120</v>
      </c>
      <c r="Y57" s="38" t="s">
        <v>120</v>
      </c>
      <c r="Z57" s="38" t="s">
        <v>120</v>
      </c>
      <c r="AA57" s="38" t="s">
        <v>120</v>
      </c>
      <c r="AB57" s="38" t="s">
        <v>120</v>
      </c>
      <c r="AC57" s="38" t="s">
        <v>120</v>
      </c>
      <c r="AD57" s="38" t="s">
        <v>120</v>
      </c>
      <c r="AE57" s="38" t="s">
        <v>120</v>
      </c>
      <c r="AF57" s="38" t="s">
        <v>120</v>
      </c>
      <c r="AG57" s="38" t="s">
        <v>120</v>
      </c>
      <c r="AH57" s="38" t="s">
        <v>120</v>
      </c>
      <c r="AI57" s="38" t="s">
        <v>120</v>
      </c>
      <c r="AJ57" s="38" t="s">
        <v>120</v>
      </c>
      <c r="AK57" s="38" t="s">
        <v>120</v>
      </c>
      <c r="AL57" s="38" t="s">
        <v>120</v>
      </c>
      <c r="AM57" s="38" t="s">
        <v>120</v>
      </c>
      <c r="AN57" s="38" t="s">
        <v>120</v>
      </c>
      <c r="AO57" s="38" t="s">
        <v>120</v>
      </c>
      <c r="AP57" s="38" t="s">
        <v>120</v>
      </c>
      <c r="AQ57" s="38" t="s">
        <v>120</v>
      </c>
      <c r="AR57" s="38" t="s">
        <v>120</v>
      </c>
      <c r="AS57" s="38" t="s">
        <v>120</v>
      </c>
      <c r="AT57" s="38" t="s">
        <v>120</v>
      </c>
      <c r="AU57" s="38" t="s">
        <v>120</v>
      </c>
      <c r="AV57" s="38" t="s">
        <v>120</v>
      </c>
      <c r="AW57" s="38" t="s">
        <v>120</v>
      </c>
      <c r="AX57" s="38" t="s">
        <v>120</v>
      </c>
    </row>
    <row r="58" spans="1:50" x14ac:dyDescent="0.45">
      <c r="A58" s="38" t="s">
        <v>177</v>
      </c>
      <c r="B58" s="38">
        <v>57</v>
      </c>
      <c r="C58" s="38" t="s">
        <v>119</v>
      </c>
      <c r="D58" s="38">
        <v>57</v>
      </c>
      <c r="E58" s="38">
        <v>4425</v>
      </c>
      <c r="F58" s="38">
        <f t="shared" si="0"/>
        <v>4.4249999999999998</v>
      </c>
      <c r="G58" s="38">
        <v>416093.75</v>
      </c>
      <c r="H58" s="38">
        <f t="shared" si="1"/>
        <v>0.41609374999999998</v>
      </c>
      <c r="I58" s="38">
        <v>2623</v>
      </c>
      <c r="J58" s="38">
        <v>2623</v>
      </c>
      <c r="K58" s="38" t="s">
        <v>120</v>
      </c>
      <c r="L58" s="38" t="s">
        <v>120</v>
      </c>
      <c r="M58" s="38" t="s">
        <v>120</v>
      </c>
      <c r="N58" s="38">
        <v>7.7613640000000004</v>
      </c>
      <c r="O58" s="38" t="s">
        <v>121</v>
      </c>
      <c r="P58" s="38" t="s">
        <v>121</v>
      </c>
      <c r="Q58" s="38" t="s">
        <v>120</v>
      </c>
      <c r="R58" s="38" t="s">
        <v>120</v>
      </c>
      <c r="S58" s="38" t="s">
        <v>120</v>
      </c>
      <c r="T58" s="38">
        <v>79.765625</v>
      </c>
      <c r="U58" s="38">
        <v>79.621925000000005</v>
      </c>
      <c r="V58" s="38" t="s">
        <v>120</v>
      </c>
      <c r="W58" s="38" t="s">
        <v>120</v>
      </c>
      <c r="X58" s="38" t="s">
        <v>120</v>
      </c>
      <c r="Y58" s="38" t="s">
        <v>120</v>
      </c>
      <c r="Z58" s="38" t="s">
        <v>120</v>
      </c>
      <c r="AA58" s="38" t="s">
        <v>120</v>
      </c>
      <c r="AB58" s="38" t="s">
        <v>120</v>
      </c>
      <c r="AC58" s="38" t="s">
        <v>120</v>
      </c>
      <c r="AD58" s="38" t="s">
        <v>120</v>
      </c>
      <c r="AE58" s="38" t="s">
        <v>120</v>
      </c>
      <c r="AF58" s="38" t="s">
        <v>120</v>
      </c>
      <c r="AG58" s="38" t="s">
        <v>120</v>
      </c>
      <c r="AH58" s="38" t="s">
        <v>120</v>
      </c>
      <c r="AI58" s="38" t="s">
        <v>120</v>
      </c>
      <c r="AJ58" s="38" t="s">
        <v>120</v>
      </c>
      <c r="AK58" s="38" t="s">
        <v>120</v>
      </c>
      <c r="AL58" s="38" t="s">
        <v>120</v>
      </c>
      <c r="AM58" s="38" t="s">
        <v>120</v>
      </c>
      <c r="AN58" s="38" t="s">
        <v>120</v>
      </c>
      <c r="AO58" s="38" t="s">
        <v>120</v>
      </c>
      <c r="AP58" s="38" t="s">
        <v>120</v>
      </c>
      <c r="AQ58" s="38" t="s">
        <v>120</v>
      </c>
      <c r="AR58" s="38" t="s">
        <v>120</v>
      </c>
      <c r="AS58" s="38" t="s">
        <v>120</v>
      </c>
      <c r="AT58" s="38" t="s">
        <v>120</v>
      </c>
      <c r="AU58" s="38" t="s">
        <v>120</v>
      </c>
      <c r="AV58" s="38" t="s">
        <v>120</v>
      </c>
      <c r="AW58" s="38" t="s">
        <v>120</v>
      </c>
      <c r="AX58" s="38" t="s">
        <v>120</v>
      </c>
    </row>
    <row r="59" spans="1:50" x14ac:dyDescent="0.45">
      <c r="A59" s="38" t="s">
        <v>178</v>
      </c>
      <c r="B59" s="38">
        <v>58</v>
      </c>
      <c r="C59" s="38" t="s">
        <v>119</v>
      </c>
      <c r="D59" s="38">
        <v>58</v>
      </c>
      <c r="E59" s="38">
        <v>45550</v>
      </c>
      <c r="F59" s="38">
        <f t="shared" si="0"/>
        <v>45.55</v>
      </c>
      <c r="G59" s="38">
        <v>11208906.25</v>
      </c>
      <c r="H59" s="38">
        <f t="shared" si="1"/>
        <v>11.20890625</v>
      </c>
      <c r="I59" s="38">
        <v>2624</v>
      </c>
      <c r="J59" s="38">
        <v>2624</v>
      </c>
      <c r="K59" s="38" t="s">
        <v>120</v>
      </c>
      <c r="L59" s="38" t="s">
        <v>120</v>
      </c>
      <c r="M59" s="38" t="s">
        <v>120</v>
      </c>
      <c r="N59" s="38">
        <v>7.975034</v>
      </c>
      <c r="O59" s="38" t="s">
        <v>121</v>
      </c>
      <c r="P59" s="38" t="s">
        <v>121</v>
      </c>
      <c r="Q59" s="38" t="s">
        <v>120</v>
      </c>
      <c r="R59" s="38" t="s">
        <v>120</v>
      </c>
      <c r="S59" s="38" t="s">
        <v>120</v>
      </c>
      <c r="T59" s="38">
        <v>66.304288999999997</v>
      </c>
      <c r="U59" s="38">
        <v>80.312168999999997</v>
      </c>
      <c r="V59" s="38" t="s">
        <v>120</v>
      </c>
      <c r="W59" s="38" t="s">
        <v>120</v>
      </c>
      <c r="X59" s="38" t="s">
        <v>120</v>
      </c>
      <c r="Y59" s="38" t="s">
        <v>120</v>
      </c>
      <c r="Z59" s="38" t="s">
        <v>120</v>
      </c>
      <c r="AA59" s="38" t="s">
        <v>120</v>
      </c>
      <c r="AB59" s="38" t="s">
        <v>120</v>
      </c>
      <c r="AC59" s="38" t="s">
        <v>120</v>
      </c>
      <c r="AD59" s="38" t="s">
        <v>120</v>
      </c>
      <c r="AE59" s="38" t="s">
        <v>120</v>
      </c>
      <c r="AF59" s="38" t="s">
        <v>120</v>
      </c>
      <c r="AG59" s="38" t="s">
        <v>120</v>
      </c>
      <c r="AH59" s="38" t="s">
        <v>120</v>
      </c>
      <c r="AI59" s="38" t="s">
        <v>120</v>
      </c>
      <c r="AJ59" s="38" t="s">
        <v>120</v>
      </c>
      <c r="AK59" s="38" t="s">
        <v>120</v>
      </c>
      <c r="AL59" s="38" t="s">
        <v>120</v>
      </c>
      <c r="AM59" s="38" t="s">
        <v>120</v>
      </c>
      <c r="AN59" s="38" t="s">
        <v>120</v>
      </c>
      <c r="AO59" s="38" t="s">
        <v>120</v>
      </c>
      <c r="AP59" s="38" t="s">
        <v>120</v>
      </c>
      <c r="AQ59" s="38" t="s">
        <v>120</v>
      </c>
      <c r="AR59" s="38" t="s">
        <v>120</v>
      </c>
      <c r="AS59" s="38" t="s">
        <v>120</v>
      </c>
      <c r="AT59" s="38" t="s">
        <v>120</v>
      </c>
      <c r="AU59" s="38" t="s">
        <v>120</v>
      </c>
      <c r="AV59" s="38" t="s">
        <v>120</v>
      </c>
      <c r="AW59" s="38" t="s">
        <v>120</v>
      </c>
      <c r="AX59" s="38" t="s">
        <v>120</v>
      </c>
    </row>
    <row r="60" spans="1:50" x14ac:dyDescent="0.45">
      <c r="A60" s="38" t="s">
        <v>179</v>
      </c>
      <c r="B60" s="38">
        <v>59</v>
      </c>
      <c r="C60" s="38" t="s">
        <v>119</v>
      </c>
      <c r="D60" s="38">
        <v>59</v>
      </c>
      <c r="E60" s="38">
        <v>19725</v>
      </c>
      <c r="F60" s="38">
        <f t="shared" si="0"/>
        <v>19.725000000000001</v>
      </c>
      <c r="G60" s="38">
        <v>5547343.75</v>
      </c>
      <c r="H60" s="38">
        <f t="shared" si="1"/>
        <v>5.5473437499999996</v>
      </c>
      <c r="I60" s="38">
        <v>2625</v>
      </c>
      <c r="J60" s="38">
        <v>2625</v>
      </c>
      <c r="K60" s="38" t="s">
        <v>120</v>
      </c>
      <c r="L60" s="38" t="s">
        <v>120</v>
      </c>
      <c r="M60" s="38" t="s">
        <v>120</v>
      </c>
      <c r="N60" s="38">
        <v>6.976337</v>
      </c>
      <c r="O60" s="38" t="s">
        <v>121</v>
      </c>
      <c r="P60" s="38" t="s">
        <v>121</v>
      </c>
      <c r="Q60" s="38" t="s">
        <v>120</v>
      </c>
      <c r="R60" s="38" t="s">
        <v>120</v>
      </c>
      <c r="S60" s="38" t="s">
        <v>120</v>
      </c>
      <c r="T60" s="38">
        <v>66.742857000000001</v>
      </c>
      <c r="U60" s="38">
        <v>79.901780000000002</v>
      </c>
      <c r="V60" s="38" t="s">
        <v>120</v>
      </c>
      <c r="W60" s="38" t="s">
        <v>120</v>
      </c>
      <c r="X60" s="38" t="s">
        <v>120</v>
      </c>
      <c r="Y60" s="38" t="s">
        <v>120</v>
      </c>
      <c r="Z60" s="38" t="s">
        <v>120</v>
      </c>
      <c r="AA60" s="38" t="s">
        <v>120</v>
      </c>
      <c r="AB60" s="38" t="s">
        <v>120</v>
      </c>
      <c r="AC60" s="38" t="s">
        <v>120</v>
      </c>
      <c r="AD60" s="38" t="s">
        <v>120</v>
      </c>
      <c r="AE60" s="38" t="s">
        <v>120</v>
      </c>
      <c r="AF60" s="38" t="s">
        <v>120</v>
      </c>
      <c r="AG60" s="38" t="s">
        <v>120</v>
      </c>
      <c r="AH60" s="38" t="s">
        <v>120</v>
      </c>
      <c r="AI60" s="38" t="s">
        <v>120</v>
      </c>
      <c r="AJ60" s="38" t="s">
        <v>120</v>
      </c>
      <c r="AK60" s="38" t="s">
        <v>120</v>
      </c>
      <c r="AL60" s="38" t="s">
        <v>120</v>
      </c>
      <c r="AM60" s="38" t="s">
        <v>120</v>
      </c>
      <c r="AN60" s="38" t="s">
        <v>120</v>
      </c>
      <c r="AO60" s="38" t="s">
        <v>120</v>
      </c>
      <c r="AP60" s="38" t="s">
        <v>120</v>
      </c>
      <c r="AQ60" s="38" t="s">
        <v>120</v>
      </c>
      <c r="AR60" s="38" t="s">
        <v>120</v>
      </c>
      <c r="AS60" s="38" t="s">
        <v>120</v>
      </c>
      <c r="AT60" s="38" t="s">
        <v>120</v>
      </c>
      <c r="AU60" s="38" t="s">
        <v>120</v>
      </c>
      <c r="AV60" s="38" t="s">
        <v>120</v>
      </c>
      <c r="AW60" s="38" t="s">
        <v>120</v>
      </c>
      <c r="AX60" s="38" t="s">
        <v>120</v>
      </c>
    </row>
    <row r="61" spans="1:50" x14ac:dyDescent="0.45">
      <c r="A61" s="38" t="s">
        <v>180</v>
      </c>
      <c r="B61" s="38">
        <v>60</v>
      </c>
      <c r="C61" s="38" t="s">
        <v>119</v>
      </c>
      <c r="D61" s="38">
        <v>60</v>
      </c>
      <c r="E61" s="38">
        <v>13250</v>
      </c>
      <c r="F61" s="38">
        <f t="shared" si="0"/>
        <v>13.25</v>
      </c>
      <c r="G61" s="38">
        <v>5102968.75</v>
      </c>
      <c r="H61" s="38">
        <f t="shared" si="1"/>
        <v>5.1029687499999996</v>
      </c>
      <c r="I61" s="38">
        <v>2626</v>
      </c>
      <c r="J61" s="38">
        <v>2626</v>
      </c>
      <c r="K61" s="38" t="s">
        <v>120</v>
      </c>
      <c r="L61" s="38" t="s">
        <v>120</v>
      </c>
      <c r="M61" s="38" t="s">
        <v>120</v>
      </c>
      <c r="N61" s="38">
        <v>26.438801000000002</v>
      </c>
      <c r="O61" s="38" t="s">
        <v>121</v>
      </c>
      <c r="P61" s="38" t="s">
        <v>121</v>
      </c>
      <c r="Q61" s="38" t="s">
        <v>120</v>
      </c>
      <c r="R61" s="38" t="s">
        <v>120</v>
      </c>
      <c r="S61" s="38" t="s">
        <v>120</v>
      </c>
      <c r="T61" s="38">
        <v>75.352234999999993</v>
      </c>
      <c r="U61" s="38">
        <v>74.907161000000002</v>
      </c>
      <c r="V61" s="38" t="s">
        <v>120</v>
      </c>
      <c r="W61" s="38" t="s">
        <v>120</v>
      </c>
      <c r="X61" s="38" t="s">
        <v>120</v>
      </c>
      <c r="Y61" s="38" t="s">
        <v>120</v>
      </c>
      <c r="Z61" s="38" t="s">
        <v>120</v>
      </c>
      <c r="AA61" s="38" t="s">
        <v>120</v>
      </c>
      <c r="AB61" s="38" t="s">
        <v>120</v>
      </c>
      <c r="AC61" s="38" t="s">
        <v>120</v>
      </c>
      <c r="AD61" s="38" t="s">
        <v>120</v>
      </c>
      <c r="AE61" s="38" t="s">
        <v>120</v>
      </c>
      <c r="AF61" s="38" t="s">
        <v>120</v>
      </c>
      <c r="AG61" s="38" t="s">
        <v>120</v>
      </c>
      <c r="AH61" s="38" t="s">
        <v>120</v>
      </c>
      <c r="AI61" s="38" t="s">
        <v>120</v>
      </c>
      <c r="AJ61" s="38" t="s">
        <v>120</v>
      </c>
      <c r="AK61" s="38" t="s">
        <v>120</v>
      </c>
      <c r="AL61" s="38" t="s">
        <v>120</v>
      </c>
      <c r="AM61" s="38" t="s">
        <v>120</v>
      </c>
      <c r="AN61" s="38" t="s">
        <v>120</v>
      </c>
      <c r="AO61" s="38" t="s">
        <v>120</v>
      </c>
      <c r="AP61" s="38" t="s">
        <v>120</v>
      </c>
      <c r="AQ61" s="38" t="s">
        <v>120</v>
      </c>
      <c r="AR61" s="38" t="s">
        <v>120</v>
      </c>
      <c r="AS61" s="38" t="s">
        <v>120</v>
      </c>
      <c r="AT61" s="38" t="s">
        <v>120</v>
      </c>
      <c r="AU61" s="38" t="s">
        <v>120</v>
      </c>
      <c r="AV61" s="38" t="s">
        <v>120</v>
      </c>
      <c r="AW61" s="38" t="s">
        <v>120</v>
      </c>
      <c r="AX61" s="38" t="s">
        <v>120</v>
      </c>
    </row>
    <row r="62" spans="1:50" x14ac:dyDescent="0.45">
      <c r="A62" s="38" t="s">
        <v>181</v>
      </c>
      <c r="B62" s="38">
        <v>61</v>
      </c>
      <c r="C62" s="38" t="s">
        <v>119</v>
      </c>
      <c r="D62" s="38">
        <v>61</v>
      </c>
      <c r="E62" s="38">
        <v>21025</v>
      </c>
      <c r="F62" s="38">
        <f t="shared" si="0"/>
        <v>21.024999999999999</v>
      </c>
      <c r="G62" s="38">
        <v>5105468.75</v>
      </c>
      <c r="H62" s="38">
        <f t="shared" si="1"/>
        <v>5.10546875</v>
      </c>
      <c r="I62" s="38">
        <v>2627</v>
      </c>
      <c r="J62" s="38">
        <v>2627</v>
      </c>
      <c r="K62" s="38" t="s">
        <v>120</v>
      </c>
      <c r="L62" s="38" t="s">
        <v>120</v>
      </c>
      <c r="M62" s="38" t="s">
        <v>120</v>
      </c>
      <c r="N62" s="38">
        <v>9.3246760000000002</v>
      </c>
      <c r="O62" s="38" t="s">
        <v>121</v>
      </c>
      <c r="P62" s="38" t="s">
        <v>121</v>
      </c>
      <c r="Q62" s="38" t="s">
        <v>120</v>
      </c>
      <c r="R62" s="38" t="s">
        <v>120</v>
      </c>
      <c r="S62" s="38" t="s">
        <v>120</v>
      </c>
      <c r="T62" s="38">
        <v>68.199926000000005</v>
      </c>
      <c r="U62" s="38">
        <v>73.259491999999995</v>
      </c>
      <c r="V62" s="38" t="s">
        <v>120</v>
      </c>
      <c r="W62" s="38" t="s">
        <v>120</v>
      </c>
      <c r="X62" s="38" t="s">
        <v>120</v>
      </c>
      <c r="Y62" s="38" t="s">
        <v>120</v>
      </c>
      <c r="Z62" s="38" t="s">
        <v>120</v>
      </c>
      <c r="AA62" s="38" t="s">
        <v>120</v>
      </c>
      <c r="AB62" s="38" t="s">
        <v>120</v>
      </c>
      <c r="AC62" s="38" t="s">
        <v>120</v>
      </c>
      <c r="AD62" s="38" t="s">
        <v>120</v>
      </c>
      <c r="AE62" s="38" t="s">
        <v>120</v>
      </c>
      <c r="AF62" s="38" t="s">
        <v>120</v>
      </c>
      <c r="AG62" s="38" t="s">
        <v>120</v>
      </c>
      <c r="AH62" s="38" t="s">
        <v>120</v>
      </c>
      <c r="AI62" s="38" t="s">
        <v>120</v>
      </c>
      <c r="AJ62" s="38" t="s">
        <v>120</v>
      </c>
      <c r="AK62" s="38" t="s">
        <v>120</v>
      </c>
      <c r="AL62" s="38" t="s">
        <v>120</v>
      </c>
      <c r="AM62" s="38" t="s">
        <v>120</v>
      </c>
      <c r="AN62" s="38" t="s">
        <v>120</v>
      </c>
      <c r="AO62" s="38" t="s">
        <v>120</v>
      </c>
      <c r="AP62" s="38" t="s">
        <v>120</v>
      </c>
      <c r="AQ62" s="38" t="s">
        <v>120</v>
      </c>
      <c r="AR62" s="38" t="s">
        <v>120</v>
      </c>
      <c r="AS62" s="38" t="s">
        <v>120</v>
      </c>
      <c r="AT62" s="38" t="s">
        <v>120</v>
      </c>
      <c r="AU62" s="38" t="s">
        <v>120</v>
      </c>
      <c r="AV62" s="38" t="s">
        <v>120</v>
      </c>
      <c r="AW62" s="38" t="s">
        <v>120</v>
      </c>
      <c r="AX62" s="38" t="s">
        <v>120</v>
      </c>
    </row>
    <row r="63" spans="1:50" x14ac:dyDescent="0.45">
      <c r="A63" s="38" t="s">
        <v>182</v>
      </c>
      <c r="B63" s="38">
        <v>62</v>
      </c>
      <c r="C63" s="38" t="s">
        <v>119</v>
      </c>
      <c r="D63" s="38">
        <v>62</v>
      </c>
      <c r="E63" s="38">
        <v>15650</v>
      </c>
      <c r="F63" s="38">
        <f t="shared" si="0"/>
        <v>15.65</v>
      </c>
      <c r="G63" s="38">
        <v>3420781.25</v>
      </c>
      <c r="H63" s="38">
        <f t="shared" si="1"/>
        <v>3.4207812500000001</v>
      </c>
      <c r="I63" s="38">
        <v>2628</v>
      </c>
      <c r="J63" s="38">
        <v>2628</v>
      </c>
      <c r="K63" s="38" t="s">
        <v>120</v>
      </c>
      <c r="L63" s="38" t="s">
        <v>120</v>
      </c>
      <c r="M63" s="38" t="s">
        <v>120</v>
      </c>
      <c r="N63" s="38">
        <v>6.8251169999999997</v>
      </c>
      <c r="O63" s="38" t="s">
        <v>121</v>
      </c>
      <c r="P63" s="38" t="s">
        <v>121</v>
      </c>
      <c r="Q63" s="38" t="s">
        <v>120</v>
      </c>
      <c r="R63" s="38" t="s">
        <v>120</v>
      </c>
      <c r="S63" s="38" t="s">
        <v>120</v>
      </c>
      <c r="T63" s="38">
        <v>54.532983999999999</v>
      </c>
      <c r="U63" s="38">
        <v>79.932312999999994</v>
      </c>
      <c r="V63" s="38" t="s">
        <v>120</v>
      </c>
      <c r="W63" s="38" t="s">
        <v>120</v>
      </c>
      <c r="X63" s="38" t="s">
        <v>120</v>
      </c>
      <c r="Y63" s="38" t="s">
        <v>120</v>
      </c>
      <c r="Z63" s="38" t="s">
        <v>120</v>
      </c>
      <c r="AA63" s="38" t="s">
        <v>120</v>
      </c>
      <c r="AB63" s="38" t="s">
        <v>120</v>
      </c>
      <c r="AC63" s="38" t="s">
        <v>120</v>
      </c>
      <c r="AD63" s="38" t="s">
        <v>120</v>
      </c>
      <c r="AE63" s="38" t="s">
        <v>120</v>
      </c>
      <c r="AF63" s="38" t="s">
        <v>120</v>
      </c>
      <c r="AG63" s="38" t="s">
        <v>120</v>
      </c>
      <c r="AH63" s="38" t="s">
        <v>120</v>
      </c>
      <c r="AI63" s="38" t="s">
        <v>120</v>
      </c>
      <c r="AJ63" s="38" t="s">
        <v>120</v>
      </c>
      <c r="AK63" s="38" t="s">
        <v>120</v>
      </c>
      <c r="AL63" s="38" t="s">
        <v>120</v>
      </c>
      <c r="AM63" s="38" t="s">
        <v>120</v>
      </c>
      <c r="AN63" s="38" t="s">
        <v>120</v>
      </c>
      <c r="AO63" s="38" t="s">
        <v>120</v>
      </c>
      <c r="AP63" s="38" t="s">
        <v>120</v>
      </c>
      <c r="AQ63" s="38" t="s">
        <v>120</v>
      </c>
      <c r="AR63" s="38" t="s">
        <v>120</v>
      </c>
      <c r="AS63" s="38" t="s">
        <v>120</v>
      </c>
      <c r="AT63" s="38" t="s">
        <v>120</v>
      </c>
      <c r="AU63" s="38" t="s">
        <v>120</v>
      </c>
      <c r="AV63" s="38" t="s">
        <v>120</v>
      </c>
      <c r="AW63" s="38" t="s">
        <v>120</v>
      </c>
      <c r="AX63" s="38" t="s">
        <v>120</v>
      </c>
    </row>
    <row r="64" spans="1:50" x14ac:dyDescent="0.45">
      <c r="A64" s="38" t="s">
        <v>183</v>
      </c>
      <c r="B64" s="38">
        <v>63</v>
      </c>
      <c r="C64" s="38" t="s">
        <v>119</v>
      </c>
      <c r="D64" s="38">
        <v>63</v>
      </c>
      <c r="E64" s="38">
        <v>49425</v>
      </c>
      <c r="F64" s="38">
        <f t="shared" si="0"/>
        <v>49.424999999999997</v>
      </c>
      <c r="G64" s="38">
        <v>36631875</v>
      </c>
      <c r="H64" s="38">
        <f t="shared" si="1"/>
        <v>36.631875000000001</v>
      </c>
      <c r="I64" s="38">
        <v>2629</v>
      </c>
      <c r="J64" s="38">
        <v>2629</v>
      </c>
      <c r="K64" s="38" t="s">
        <v>120</v>
      </c>
      <c r="L64" s="38" t="s">
        <v>120</v>
      </c>
      <c r="M64" s="38" t="s">
        <v>120</v>
      </c>
      <c r="N64" s="38">
        <v>30.126864999999999</v>
      </c>
      <c r="O64" s="38" t="s">
        <v>121</v>
      </c>
      <c r="P64" s="38" t="s">
        <v>121</v>
      </c>
      <c r="Q64" s="38" t="s">
        <v>120</v>
      </c>
      <c r="R64" s="38" t="s">
        <v>120</v>
      </c>
      <c r="S64" s="38" t="s">
        <v>120</v>
      </c>
      <c r="T64" s="38">
        <v>73.597527999999997</v>
      </c>
      <c r="U64" s="38">
        <v>77.939561999999995</v>
      </c>
      <c r="V64" s="38" t="s">
        <v>120</v>
      </c>
      <c r="W64" s="38" t="s">
        <v>120</v>
      </c>
      <c r="X64" s="38" t="s">
        <v>120</v>
      </c>
      <c r="Y64" s="38" t="s">
        <v>120</v>
      </c>
      <c r="Z64" s="38" t="s">
        <v>120</v>
      </c>
      <c r="AA64" s="38" t="s">
        <v>120</v>
      </c>
      <c r="AB64" s="38" t="s">
        <v>120</v>
      </c>
      <c r="AC64" s="38" t="s">
        <v>120</v>
      </c>
      <c r="AD64" s="38" t="s">
        <v>120</v>
      </c>
      <c r="AE64" s="38" t="s">
        <v>120</v>
      </c>
      <c r="AF64" s="38" t="s">
        <v>120</v>
      </c>
      <c r="AG64" s="38" t="s">
        <v>120</v>
      </c>
      <c r="AH64" s="38" t="s">
        <v>120</v>
      </c>
      <c r="AI64" s="38" t="s">
        <v>120</v>
      </c>
      <c r="AJ64" s="38" t="s">
        <v>120</v>
      </c>
      <c r="AK64" s="38" t="s">
        <v>120</v>
      </c>
      <c r="AL64" s="38" t="s">
        <v>120</v>
      </c>
      <c r="AM64" s="38" t="s">
        <v>120</v>
      </c>
      <c r="AN64" s="38" t="s">
        <v>120</v>
      </c>
      <c r="AO64" s="38" t="s">
        <v>120</v>
      </c>
      <c r="AP64" s="38" t="s">
        <v>120</v>
      </c>
      <c r="AQ64" s="38" t="s">
        <v>120</v>
      </c>
      <c r="AR64" s="38" t="s">
        <v>120</v>
      </c>
      <c r="AS64" s="38" t="s">
        <v>120</v>
      </c>
      <c r="AT64" s="38" t="s">
        <v>120</v>
      </c>
      <c r="AU64" s="38" t="s">
        <v>120</v>
      </c>
      <c r="AV64" s="38" t="s">
        <v>120</v>
      </c>
      <c r="AW64" s="38" t="s">
        <v>120</v>
      </c>
      <c r="AX64" s="38" t="s">
        <v>120</v>
      </c>
    </row>
    <row r="65" spans="1:50" x14ac:dyDescent="0.45">
      <c r="A65" s="38" t="s">
        <v>184</v>
      </c>
      <c r="B65" s="38">
        <v>64</v>
      </c>
      <c r="C65" s="38" t="s">
        <v>119</v>
      </c>
      <c r="D65" s="38">
        <v>64</v>
      </c>
      <c r="E65" s="38">
        <v>15525</v>
      </c>
      <c r="F65" s="38">
        <f t="shared" si="0"/>
        <v>15.525</v>
      </c>
      <c r="G65" s="38">
        <v>2815156.25</v>
      </c>
      <c r="H65" s="38">
        <f t="shared" si="1"/>
        <v>2.8151562499999998</v>
      </c>
      <c r="I65" s="38">
        <v>2630</v>
      </c>
      <c r="J65" s="38">
        <v>2630</v>
      </c>
      <c r="K65" s="38" t="s">
        <v>120</v>
      </c>
      <c r="L65" s="38" t="s">
        <v>120</v>
      </c>
      <c r="M65" s="38" t="s">
        <v>120</v>
      </c>
      <c r="N65" s="38">
        <v>7.1285540000000003</v>
      </c>
      <c r="O65" s="38" t="s">
        <v>121</v>
      </c>
      <c r="P65" s="38" t="s">
        <v>121</v>
      </c>
      <c r="Q65" s="38" t="s">
        <v>120</v>
      </c>
      <c r="R65" s="38" t="s">
        <v>120</v>
      </c>
      <c r="S65" s="38" t="s">
        <v>120</v>
      </c>
      <c r="T65" s="38">
        <v>67.614739999999998</v>
      </c>
      <c r="U65" s="38">
        <v>79.756471000000005</v>
      </c>
      <c r="V65" s="38" t="s">
        <v>120</v>
      </c>
      <c r="W65" s="38" t="s">
        <v>120</v>
      </c>
      <c r="X65" s="38" t="s">
        <v>120</v>
      </c>
      <c r="Y65" s="38" t="s">
        <v>120</v>
      </c>
      <c r="Z65" s="38" t="s">
        <v>120</v>
      </c>
      <c r="AA65" s="38" t="s">
        <v>120</v>
      </c>
      <c r="AB65" s="38" t="s">
        <v>120</v>
      </c>
      <c r="AC65" s="38" t="s">
        <v>120</v>
      </c>
      <c r="AD65" s="38" t="s">
        <v>120</v>
      </c>
      <c r="AE65" s="38" t="s">
        <v>120</v>
      </c>
      <c r="AF65" s="38" t="s">
        <v>120</v>
      </c>
      <c r="AG65" s="38" t="s">
        <v>120</v>
      </c>
      <c r="AH65" s="38" t="s">
        <v>120</v>
      </c>
      <c r="AI65" s="38" t="s">
        <v>120</v>
      </c>
      <c r="AJ65" s="38" t="s">
        <v>120</v>
      </c>
      <c r="AK65" s="38" t="s">
        <v>120</v>
      </c>
      <c r="AL65" s="38" t="s">
        <v>120</v>
      </c>
      <c r="AM65" s="38" t="s">
        <v>120</v>
      </c>
      <c r="AN65" s="38" t="s">
        <v>120</v>
      </c>
      <c r="AO65" s="38" t="s">
        <v>120</v>
      </c>
      <c r="AP65" s="38" t="s">
        <v>120</v>
      </c>
      <c r="AQ65" s="38" t="s">
        <v>120</v>
      </c>
      <c r="AR65" s="38" t="s">
        <v>120</v>
      </c>
      <c r="AS65" s="38" t="s">
        <v>120</v>
      </c>
      <c r="AT65" s="38" t="s">
        <v>120</v>
      </c>
      <c r="AU65" s="38" t="s">
        <v>120</v>
      </c>
      <c r="AV65" s="38" t="s">
        <v>120</v>
      </c>
      <c r="AW65" s="38" t="s">
        <v>120</v>
      </c>
      <c r="AX65" s="38" t="s">
        <v>120</v>
      </c>
    </row>
    <row r="66" spans="1:50" x14ac:dyDescent="0.45">
      <c r="A66" s="38" t="s">
        <v>185</v>
      </c>
      <c r="B66" s="38">
        <v>65</v>
      </c>
      <c r="C66" s="38" t="s">
        <v>119</v>
      </c>
      <c r="D66" s="38">
        <v>65</v>
      </c>
      <c r="E66" s="38">
        <v>19850</v>
      </c>
      <c r="F66" s="38">
        <f t="shared" si="0"/>
        <v>19.850000000000001</v>
      </c>
      <c r="G66" s="38">
        <v>7904218.75</v>
      </c>
      <c r="H66" s="38">
        <f t="shared" si="1"/>
        <v>7.9042187500000001</v>
      </c>
      <c r="I66" s="38">
        <v>2631</v>
      </c>
      <c r="J66" s="38">
        <v>2631</v>
      </c>
      <c r="K66" s="38" t="s">
        <v>120</v>
      </c>
      <c r="L66" s="38" t="s">
        <v>120</v>
      </c>
      <c r="M66" s="38" t="s">
        <v>120</v>
      </c>
      <c r="N66" s="38">
        <v>52.710590000000003</v>
      </c>
      <c r="O66" s="38" t="s">
        <v>121</v>
      </c>
      <c r="P66" s="38" t="s">
        <v>121</v>
      </c>
      <c r="Q66" s="38" t="s">
        <v>120</v>
      </c>
      <c r="R66" s="38" t="s">
        <v>120</v>
      </c>
      <c r="S66" s="38" t="s">
        <v>120</v>
      </c>
      <c r="T66" s="38">
        <v>78.413315999999995</v>
      </c>
      <c r="U66" s="38">
        <v>79.596563000000003</v>
      </c>
      <c r="V66" s="38" t="s">
        <v>120</v>
      </c>
      <c r="W66" s="38" t="s">
        <v>120</v>
      </c>
      <c r="X66" s="38" t="s">
        <v>120</v>
      </c>
      <c r="Y66" s="38" t="s">
        <v>120</v>
      </c>
      <c r="Z66" s="38" t="s">
        <v>120</v>
      </c>
      <c r="AA66" s="38" t="s">
        <v>120</v>
      </c>
      <c r="AB66" s="38" t="s">
        <v>120</v>
      </c>
      <c r="AC66" s="38" t="s">
        <v>120</v>
      </c>
      <c r="AD66" s="38" t="s">
        <v>120</v>
      </c>
      <c r="AE66" s="38" t="s">
        <v>120</v>
      </c>
      <c r="AF66" s="38" t="s">
        <v>120</v>
      </c>
      <c r="AG66" s="38" t="s">
        <v>120</v>
      </c>
      <c r="AH66" s="38" t="s">
        <v>120</v>
      </c>
      <c r="AI66" s="38" t="s">
        <v>120</v>
      </c>
      <c r="AJ66" s="38" t="s">
        <v>120</v>
      </c>
      <c r="AK66" s="38" t="s">
        <v>120</v>
      </c>
      <c r="AL66" s="38" t="s">
        <v>120</v>
      </c>
      <c r="AM66" s="38" t="s">
        <v>120</v>
      </c>
      <c r="AN66" s="38" t="s">
        <v>120</v>
      </c>
      <c r="AO66" s="38" t="s">
        <v>120</v>
      </c>
      <c r="AP66" s="38" t="s">
        <v>120</v>
      </c>
      <c r="AQ66" s="38" t="s">
        <v>120</v>
      </c>
      <c r="AR66" s="38" t="s">
        <v>120</v>
      </c>
      <c r="AS66" s="38" t="s">
        <v>120</v>
      </c>
      <c r="AT66" s="38" t="s">
        <v>120</v>
      </c>
      <c r="AU66" s="38" t="s">
        <v>120</v>
      </c>
      <c r="AV66" s="38" t="s">
        <v>120</v>
      </c>
      <c r="AW66" s="38" t="s">
        <v>120</v>
      </c>
      <c r="AX66" s="38" t="s">
        <v>120</v>
      </c>
    </row>
    <row r="67" spans="1:50" x14ac:dyDescent="0.45">
      <c r="A67" s="38" t="s">
        <v>186</v>
      </c>
      <c r="B67" s="38">
        <v>66</v>
      </c>
      <c r="C67" s="38" t="s">
        <v>119</v>
      </c>
      <c r="D67" s="38">
        <v>66</v>
      </c>
      <c r="E67" s="38">
        <v>61125</v>
      </c>
      <c r="F67" s="38">
        <f t="shared" ref="F67:F130" si="2">E67/1000</f>
        <v>61.125</v>
      </c>
      <c r="G67" s="38">
        <v>19107343.75</v>
      </c>
      <c r="H67" s="38">
        <f t="shared" ref="H67:H130" si="3">G67/(1000*1000)</f>
        <v>19.107343749999998</v>
      </c>
      <c r="I67" s="38">
        <v>2632</v>
      </c>
      <c r="J67" s="38">
        <v>2632</v>
      </c>
      <c r="K67" s="38" t="s">
        <v>120</v>
      </c>
      <c r="L67" s="38" t="s">
        <v>120</v>
      </c>
      <c r="M67" s="38" t="s">
        <v>120</v>
      </c>
      <c r="N67" s="38">
        <v>7.73095</v>
      </c>
      <c r="O67" s="38" t="s">
        <v>121</v>
      </c>
      <c r="P67" s="38" t="s">
        <v>121</v>
      </c>
      <c r="Q67" s="38" t="s">
        <v>120</v>
      </c>
      <c r="R67" s="38" t="s">
        <v>120</v>
      </c>
      <c r="S67" s="38" t="s">
        <v>120</v>
      </c>
      <c r="T67" s="38">
        <v>55.069662000000001</v>
      </c>
      <c r="U67" s="38">
        <v>80.368600000000001</v>
      </c>
      <c r="V67" s="38" t="s">
        <v>120</v>
      </c>
      <c r="W67" s="38" t="s">
        <v>120</v>
      </c>
      <c r="X67" s="38" t="s">
        <v>120</v>
      </c>
      <c r="Y67" s="38" t="s">
        <v>120</v>
      </c>
      <c r="Z67" s="38" t="s">
        <v>120</v>
      </c>
      <c r="AA67" s="38" t="s">
        <v>120</v>
      </c>
      <c r="AB67" s="38" t="s">
        <v>120</v>
      </c>
      <c r="AC67" s="38" t="s">
        <v>120</v>
      </c>
      <c r="AD67" s="38" t="s">
        <v>120</v>
      </c>
      <c r="AE67" s="38" t="s">
        <v>120</v>
      </c>
      <c r="AF67" s="38" t="s">
        <v>120</v>
      </c>
      <c r="AG67" s="38" t="s">
        <v>120</v>
      </c>
      <c r="AH67" s="38" t="s">
        <v>120</v>
      </c>
      <c r="AI67" s="38" t="s">
        <v>120</v>
      </c>
      <c r="AJ67" s="38" t="s">
        <v>120</v>
      </c>
      <c r="AK67" s="38" t="s">
        <v>120</v>
      </c>
      <c r="AL67" s="38" t="s">
        <v>120</v>
      </c>
      <c r="AM67" s="38" t="s">
        <v>120</v>
      </c>
      <c r="AN67" s="38" t="s">
        <v>120</v>
      </c>
      <c r="AO67" s="38" t="s">
        <v>120</v>
      </c>
      <c r="AP67" s="38" t="s">
        <v>120</v>
      </c>
      <c r="AQ67" s="38" t="s">
        <v>120</v>
      </c>
      <c r="AR67" s="38" t="s">
        <v>120</v>
      </c>
      <c r="AS67" s="38" t="s">
        <v>120</v>
      </c>
      <c r="AT67" s="38" t="s">
        <v>120</v>
      </c>
      <c r="AU67" s="38" t="s">
        <v>120</v>
      </c>
      <c r="AV67" s="38" t="s">
        <v>120</v>
      </c>
      <c r="AW67" s="38" t="s">
        <v>120</v>
      </c>
      <c r="AX67" s="38" t="s">
        <v>120</v>
      </c>
    </row>
    <row r="68" spans="1:50" x14ac:dyDescent="0.45">
      <c r="A68" s="38" t="s">
        <v>187</v>
      </c>
      <c r="B68" s="38">
        <v>67</v>
      </c>
      <c r="C68" s="38" t="s">
        <v>119</v>
      </c>
      <c r="D68" s="38">
        <v>67</v>
      </c>
      <c r="E68" s="38">
        <v>26100</v>
      </c>
      <c r="F68" s="38">
        <f t="shared" si="2"/>
        <v>26.1</v>
      </c>
      <c r="G68" s="38">
        <v>5998906.25</v>
      </c>
      <c r="H68" s="38">
        <f t="shared" si="3"/>
        <v>5.9989062500000001</v>
      </c>
      <c r="I68" s="38">
        <v>2633</v>
      </c>
      <c r="J68" s="38">
        <v>2633</v>
      </c>
      <c r="K68" s="38" t="s">
        <v>120</v>
      </c>
      <c r="L68" s="38" t="s">
        <v>120</v>
      </c>
      <c r="M68" s="38" t="s">
        <v>120</v>
      </c>
      <c r="N68" s="38">
        <v>5.2095789999999997</v>
      </c>
      <c r="O68" s="38" t="s">
        <v>121</v>
      </c>
      <c r="P68" s="38" t="s">
        <v>121</v>
      </c>
      <c r="Q68" s="38" t="s">
        <v>120</v>
      </c>
      <c r="R68" s="38" t="s">
        <v>120</v>
      </c>
      <c r="S68" s="38" t="s">
        <v>120</v>
      </c>
      <c r="T68" s="38">
        <v>55.405175</v>
      </c>
      <c r="U68" s="38">
        <v>79.858288999999999</v>
      </c>
      <c r="V68" s="38" t="s">
        <v>120</v>
      </c>
      <c r="W68" s="38" t="s">
        <v>120</v>
      </c>
      <c r="X68" s="38" t="s">
        <v>120</v>
      </c>
      <c r="Y68" s="38" t="s">
        <v>120</v>
      </c>
      <c r="Z68" s="38" t="s">
        <v>120</v>
      </c>
      <c r="AA68" s="38" t="s">
        <v>120</v>
      </c>
      <c r="AB68" s="38" t="s">
        <v>120</v>
      </c>
      <c r="AC68" s="38" t="s">
        <v>120</v>
      </c>
      <c r="AD68" s="38" t="s">
        <v>120</v>
      </c>
      <c r="AE68" s="38" t="s">
        <v>120</v>
      </c>
      <c r="AF68" s="38" t="s">
        <v>120</v>
      </c>
      <c r="AG68" s="38" t="s">
        <v>120</v>
      </c>
      <c r="AH68" s="38" t="s">
        <v>120</v>
      </c>
      <c r="AI68" s="38" t="s">
        <v>120</v>
      </c>
      <c r="AJ68" s="38" t="s">
        <v>120</v>
      </c>
      <c r="AK68" s="38" t="s">
        <v>120</v>
      </c>
      <c r="AL68" s="38" t="s">
        <v>120</v>
      </c>
      <c r="AM68" s="38" t="s">
        <v>120</v>
      </c>
      <c r="AN68" s="38" t="s">
        <v>120</v>
      </c>
      <c r="AO68" s="38" t="s">
        <v>120</v>
      </c>
      <c r="AP68" s="38" t="s">
        <v>120</v>
      </c>
      <c r="AQ68" s="38" t="s">
        <v>120</v>
      </c>
      <c r="AR68" s="38" t="s">
        <v>120</v>
      </c>
      <c r="AS68" s="38" t="s">
        <v>120</v>
      </c>
      <c r="AT68" s="38" t="s">
        <v>120</v>
      </c>
      <c r="AU68" s="38" t="s">
        <v>120</v>
      </c>
      <c r="AV68" s="38" t="s">
        <v>120</v>
      </c>
      <c r="AW68" s="38" t="s">
        <v>120</v>
      </c>
      <c r="AX68" s="38" t="s">
        <v>120</v>
      </c>
    </row>
    <row r="69" spans="1:50" x14ac:dyDescent="0.45">
      <c r="A69" s="38" t="s">
        <v>188</v>
      </c>
      <c r="B69" s="38">
        <v>68</v>
      </c>
      <c r="C69" s="38" t="s">
        <v>119</v>
      </c>
      <c r="D69" s="38">
        <v>68</v>
      </c>
      <c r="E69" s="38">
        <v>8400</v>
      </c>
      <c r="F69" s="38">
        <f t="shared" si="2"/>
        <v>8.4</v>
      </c>
      <c r="G69" s="38">
        <v>1150625</v>
      </c>
      <c r="H69" s="38">
        <f t="shared" si="3"/>
        <v>1.150625</v>
      </c>
      <c r="I69" s="38">
        <v>2634</v>
      </c>
      <c r="J69" s="38">
        <v>2634</v>
      </c>
      <c r="K69" s="38" t="s">
        <v>120</v>
      </c>
      <c r="L69" s="38" t="s">
        <v>120</v>
      </c>
      <c r="M69" s="38" t="s">
        <v>120</v>
      </c>
      <c r="N69" s="38">
        <v>6.5790009999999999</v>
      </c>
      <c r="O69" s="38" t="s">
        <v>121</v>
      </c>
      <c r="P69" s="38" t="s">
        <v>121</v>
      </c>
      <c r="Q69" s="38" t="s">
        <v>120</v>
      </c>
      <c r="R69" s="38" t="s">
        <v>120</v>
      </c>
      <c r="S69" s="38" t="s">
        <v>120</v>
      </c>
      <c r="T69" s="38">
        <v>64.144110999999995</v>
      </c>
      <c r="U69" s="38">
        <v>81.104675999999998</v>
      </c>
      <c r="V69" s="38" t="s">
        <v>120</v>
      </c>
      <c r="W69" s="38" t="s">
        <v>120</v>
      </c>
      <c r="X69" s="38" t="s">
        <v>120</v>
      </c>
      <c r="Y69" s="38" t="s">
        <v>120</v>
      </c>
      <c r="Z69" s="38" t="s">
        <v>120</v>
      </c>
      <c r="AA69" s="38" t="s">
        <v>120</v>
      </c>
      <c r="AB69" s="38" t="s">
        <v>120</v>
      </c>
      <c r="AC69" s="38" t="s">
        <v>120</v>
      </c>
      <c r="AD69" s="38" t="s">
        <v>120</v>
      </c>
      <c r="AE69" s="38" t="s">
        <v>120</v>
      </c>
      <c r="AF69" s="38" t="s">
        <v>120</v>
      </c>
      <c r="AG69" s="38" t="s">
        <v>120</v>
      </c>
      <c r="AH69" s="38" t="s">
        <v>120</v>
      </c>
      <c r="AI69" s="38" t="s">
        <v>120</v>
      </c>
      <c r="AJ69" s="38" t="s">
        <v>120</v>
      </c>
      <c r="AK69" s="38" t="s">
        <v>120</v>
      </c>
      <c r="AL69" s="38" t="s">
        <v>120</v>
      </c>
      <c r="AM69" s="38" t="s">
        <v>120</v>
      </c>
      <c r="AN69" s="38" t="s">
        <v>120</v>
      </c>
      <c r="AO69" s="38" t="s">
        <v>120</v>
      </c>
      <c r="AP69" s="38" t="s">
        <v>120</v>
      </c>
      <c r="AQ69" s="38" t="s">
        <v>120</v>
      </c>
      <c r="AR69" s="38" t="s">
        <v>120</v>
      </c>
      <c r="AS69" s="38" t="s">
        <v>120</v>
      </c>
      <c r="AT69" s="38" t="s">
        <v>120</v>
      </c>
      <c r="AU69" s="38" t="s">
        <v>120</v>
      </c>
      <c r="AV69" s="38" t="s">
        <v>120</v>
      </c>
      <c r="AW69" s="38" t="s">
        <v>120</v>
      </c>
      <c r="AX69" s="38" t="s">
        <v>120</v>
      </c>
    </row>
    <row r="70" spans="1:50" x14ac:dyDescent="0.45">
      <c r="A70" s="38" t="s">
        <v>189</v>
      </c>
      <c r="B70" s="38">
        <v>69</v>
      </c>
      <c r="C70" s="38" t="s">
        <v>119</v>
      </c>
      <c r="D70" s="38">
        <v>69</v>
      </c>
      <c r="E70" s="38">
        <v>7400</v>
      </c>
      <c r="F70" s="38">
        <f t="shared" si="2"/>
        <v>7.4</v>
      </c>
      <c r="G70" s="38">
        <v>946093.75</v>
      </c>
      <c r="H70" s="38">
        <f t="shared" si="3"/>
        <v>0.94609374999999996</v>
      </c>
      <c r="I70" s="38">
        <v>2635</v>
      </c>
      <c r="J70" s="38">
        <v>2635</v>
      </c>
      <c r="K70" s="38" t="s">
        <v>120</v>
      </c>
      <c r="L70" s="38" t="s">
        <v>120</v>
      </c>
      <c r="M70" s="38" t="s">
        <v>120</v>
      </c>
      <c r="N70" s="38">
        <v>5.4957010000000004</v>
      </c>
      <c r="O70" s="38" t="s">
        <v>121</v>
      </c>
      <c r="P70" s="38" t="s">
        <v>121</v>
      </c>
      <c r="Q70" s="38" t="s">
        <v>120</v>
      </c>
      <c r="R70" s="38" t="s">
        <v>120</v>
      </c>
      <c r="S70" s="38" t="s">
        <v>120</v>
      </c>
      <c r="T70" s="38">
        <v>60.287725000000002</v>
      </c>
      <c r="U70" s="38">
        <v>80.891887999999994</v>
      </c>
      <c r="V70" s="38" t="s">
        <v>120</v>
      </c>
      <c r="W70" s="38" t="s">
        <v>120</v>
      </c>
      <c r="X70" s="38" t="s">
        <v>120</v>
      </c>
      <c r="Y70" s="38" t="s">
        <v>120</v>
      </c>
      <c r="Z70" s="38" t="s">
        <v>120</v>
      </c>
      <c r="AA70" s="38" t="s">
        <v>120</v>
      </c>
      <c r="AB70" s="38" t="s">
        <v>120</v>
      </c>
      <c r="AC70" s="38" t="s">
        <v>120</v>
      </c>
      <c r="AD70" s="38" t="s">
        <v>120</v>
      </c>
      <c r="AE70" s="38" t="s">
        <v>120</v>
      </c>
      <c r="AF70" s="38" t="s">
        <v>120</v>
      </c>
      <c r="AG70" s="38" t="s">
        <v>120</v>
      </c>
      <c r="AH70" s="38" t="s">
        <v>120</v>
      </c>
      <c r="AI70" s="38" t="s">
        <v>120</v>
      </c>
      <c r="AJ70" s="38" t="s">
        <v>120</v>
      </c>
      <c r="AK70" s="38" t="s">
        <v>120</v>
      </c>
      <c r="AL70" s="38" t="s">
        <v>120</v>
      </c>
      <c r="AM70" s="38" t="s">
        <v>120</v>
      </c>
      <c r="AN70" s="38" t="s">
        <v>120</v>
      </c>
      <c r="AO70" s="38" t="s">
        <v>120</v>
      </c>
      <c r="AP70" s="38" t="s">
        <v>120</v>
      </c>
      <c r="AQ70" s="38" t="s">
        <v>120</v>
      </c>
      <c r="AR70" s="38" t="s">
        <v>120</v>
      </c>
      <c r="AS70" s="38" t="s">
        <v>120</v>
      </c>
      <c r="AT70" s="38" t="s">
        <v>120</v>
      </c>
      <c r="AU70" s="38" t="s">
        <v>120</v>
      </c>
      <c r="AV70" s="38" t="s">
        <v>120</v>
      </c>
      <c r="AW70" s="38" t="s">
        <v>120</v>
      </c>
      <c r="AX70" s="38" t="s">
        <v>120</v>
      </c>
    </row>
    <row r="71" spans="1:50" x14ac:dyDescent="0.45">
      <c r="A71" s="38" t="s">
        <v>190</v>
      </c>
      <c r="B71" s="38">
        <v>70</v>
      </c>
      <c r="C71" s="38" t="s">
        <v>119</v>
      </c>
      <c r="D71" s="38">
        <v>70</v>
      </c>
      <c r="E71" s="38">
        <v>34775</v>
      </c>
      <c r="F71" s="38">
        <f t="shared" si="2"/>
        <v>34.774999999999999</v>
      </c>
      <c r="G71" s="38">
        <v>20609531.25</v>
      </c>
      <c r="H71" s="38">
        <f t="shared" si="3"/>
        <v>20.60953125</v>
      </c>
      <c r="I71" s="38">
        <v>2636</v>
      </c>
      <c r="J71" s="38">
        <v>2636</v>
      </c>
      <c r="K71" s="38" t="s">
        <v>120</v>
      </c>
      <c r="L71" s="38" t="s">
        <v>120</v>
      </c>
      <c r="M71" s="38" t="s">
        <v>120</v>
      </c>
      <c r="N71" s="38">
        <v>6.2387139999999999</v>
      </c>
      <c r="O71" s="38" t="s">
        <v>121</v>
      </c>
      <c r="P71" s="38" t="s">
        <v>121</v>
      </c>
      <c r="Q71" s="38" t="s">
        <v>120</v>
      </c>
      <c r="R71" s="38" t="s">
        <v>120</v>
      </c>
      <c r="S71" s="38" t="s">
        <v>120</v>
      </c>
      <c r="T71" s="38">
        <v>46.597239999999999</v>
      </c>
      <c r="U71" s="38">
        <v>80.191632999999996</v>
      </c>
      <c r="V71" s="38" t="s">
        <v>120</v>
      </c>
      <c r="W71" s="38" t="s">
        <v>120</v>
      </c>
      <c r="X71" s="38" t="s">
        <v>120</v>
      </c>
      <c r="Y71" s="38" t="s">
        <v>120</v>
      </c>
      <c r="Z71" s="38" t="s">
        <v>120</v>
      </c>
      <c r="AA71" s="38" t="s">
        <v>120</v>
      </c>
      <c r="AB71" s="38" t="s">
        <v>120</v>
      </c>
      <c r="AC71" s="38" t="s">
        <v>120</v>
      </c>
      <c r="AD71" s="38" t="s">
        <v>120</v>
      </c>
      <c r="AE71" s="38" t="s">
        <v>120</v>
      </c>
      <c r="AF71" s="38" t="s">
        <v>120</v>
      </c>
      <c r="AG71" s="38" t="s">
        <v>120</v>
      </c>
      <c r="AH71" s="38" t="s">
        <v>120</v>
      </c>
      <c r="AI71" s="38" t="s">
        <v>120</v>
      </c>
      <c r="AJ71" s="38" t="s">
        <v>120</v>
      </c>
      <c r="AK71" s="38" t="s">
        <v>120</v>
      </c>
      <c r="AL71" s="38" t="s">
        <v>120</v>
      </c>
      <c r="AM71" s="38" t="s">
        <v>120</v>
      </c>
      <c r="AN71" s="38" t="s">
        <v>120</v>
      </c>
      <c r="AO71" s="38" t="s">
        <v>120</v>
      </c>
      <c r="AP71" s="38" t="s">
        <v>120</v>
      </c>
      <c r="AQ71" s="38" t="s">
        <v>120</v>
      </c>
      <c r="AR71" s="38" t="s">
        <v>120</v>
      </c>
      <c r="AS71" s="38" t="s">
        <v>120</v>
      </c>
      <c r="AT71" s="38" t="s">
        <v>120</v>
      </c>
      <c r="AU71" s="38" t="s">
        <v>120</v>
      </c>
      <c r="AV71" s="38" t="s">
        <v>120</v>
      </c>
      <c r="AW71" s="38" t="s">
        <v>120</v>
      </c>
      <c r="AX71" s="38" t="s">
        <v>120</v>
      </c>
    </row>
    <row r="72" spans="1:50" x14ac:dyDescent="0.45">
      <c r="A72" s="38" t="s">
        <v>191</v>
      </c>
      <c r="B72" s="38">
        <v>71</v>
      </c>
      <c r="C72" s="38" t="s">
        <v>119</v>
      </c>
      <c r="D72" s="38">
        <v>71</v>
      </c>
      <c r="E72" s="38">
        <v>28275</v>
      </c>
      <c r="F72" s="38">
        <f t="shared" si="2"/>
        <v>28.274999999999999</v>
      </c>
      <c r="G72" s="38">
        <v>10352968.75</v>
      </c>
      <c r="H72" s="38">
        <f t="shared" si="3"/>
        <v>10.35296875</v>
      </c>
      <c r="I72" s="38">
        <v>2637</v>
      </c>
      <c r="J72" s="38">
        <v>2637</v>
      </c>
      <c r="K72" s="38" t="s">
        <v>120</v>
      </c>
      <c r="L72" s="38" t="s">
        <v>120</v>
      </c>
      <c r="M72" s="38" t="s">
        <v>120</v>
      </c>
      <c r="N72" s="38">
        <v>21.954350999999999</v>
      </c>
      <c r="O72" s="38" t="s">
        <v>121</v>
      </c>
      <c r="P72" s="38" t="s">
        <v>121</v>
      </c>
      <c r="Q72" s="38" t="s">
        <v>120</v>
      </c>
      <c r="R72" s="38" t="s">
        <v>120</v>
      </c>
      <c r="S72" s="38" t="s">
        <v>120</v>
      </c>
      <c r="T72" s="38">
        <v>64.354798000000002</v>
      </c>
      <c r="U72" s="38">
        <v>74.829712000000001</v>
      </c>
      <c r="V72" s="38" t="s">
        <v>120</v>
      </c>
      <c r="W72" s="38" t="s">
        <v>120</v>
      </c>
      <c r="X72" s="38" t="s">
        <v>120</v>
      </c>
      <c r="Y72" s="38" t="s">
        <v>120</v>
      </c>
      <c r="Z72" s="38" t="s">
        <v>120</v>
      </c>
      <c r="AA72" s="38" t="s">
        <v>120</v>
      </c>
      <c r="AB72" s="38" t="s">
        <v>120</v>
      </c>
      <c r="AC72" s="38" t="s">
        <v>120</v>
      </c>
      <c r="AD72" s="38" t="s">
        <v>120</v>
      </c>
      <c r="AE72" s="38" t="s">
        <v>120</v>
      </c>
      <c r="AF72" s="38" t="s">
        <v>120</v>
      </c>
      <c r="AG72" s="38" t="s">
        <v>120</v>
      </c>
      <c r="AH72" s="38" t="s">
        <v>120</v>
      </c>
      <c r="AI72" s="38" t="s">
        <v>120</v>
      </c>
      <c r="AJ72" s="38" t="s">
        <v>120</v>
      </c>
      <c r="AK72" s="38" t="s">
        <v>120</v>
      </c>
      <c r="AL72" s="38" t="s">
        <v>120</v>
      </c>
      <c r="AM72" s="38" t="s">
        <v>120</v>
      </c>
      <c r="AN72" s="38" t="s">
        <v>120</v>
      </c>
      <c r="AO72" s="38" t="s">
        <v>120</v>
      </c>
      <c r="AP72" s="38" t="s">
        <v>120</v>
      </c>
      <c r="AQ72" s="38" t="s">
        <v>120</v>
      </c>
      <c r="AR72" s="38" t="s">
        <v>120</v>
      </c>
      <c r="AS72" s="38" t="s">
        <v>120</v>
      </c>
      <c r="AT72" s="38" t="s">
        <v>120</v>
      </c>
      <c r="AU72" s="38" t="s">
        <v>120</v>
      </c>
      <c r="AV72" s="38" t="s">
        <v>120</v>
      </c>
      <c r="AW72" s="38" t="s">
        <v>120</v>
      </c>
      <c r="AX72" s="38" t="s">
        <v>120</v>
      </c>
    </row>
    <row r="73" spans="1:50" x14ac:dyDescent="0.45">
      <c r="A73" s="38" t="s">
        <v>192</v>
      </c>
      <c r="B73" s="38">
        <v>72</v>
      </c>
      <c r="C73" s="38" t="s">
        <v>119</v>
      </c>
      <c r="D73" s="38">
        <v>72</v>
      </c>
      <c r="E73" s="38">
        <v>13825</v>
      </c>
      <c r="F73" s="38">
        <f t="shared" si="2"/>
        <v>13.824999999999999</v>
      </c>
      <c r="G73" s="38">
        <v>2274375</v>
      </c>
      <c r="H73" s="38">
        <f t="shared" si="3"/>
        <v>2.274375</v>
      </c>
      <c r="I73" s="38">
        <v>2638</v>
      </c>
      <c r="J73" s="38">
        <v>2638</v>
      </c>
      <c r="K73" s="38" t="s">
        <v>120</v>
      </c>
      <c r="L73" s="38" t="s">
        <v>120</v>
      </c>
      <c r="M73" s="38" t="s">
        <v>120</v>
      </c>
      <c r="N73" s="38">
        <v>7.8600960000000004</v>
      </c>
      <c r="O73" s="38" t="s">
        <v>121</v>
      </c>
      <c r="P73" s="38" t="s">
        <v>121</v>
      </c>
      <c r="Q73" s="38" t="s">
        <v>120</v>
      </c>
      <c r="R73" s="38" t="s">
        <v>120</v>
      </c>
      <c r="S73" s="38" t="s">
        <v>120</v>
      </c>
      <c r="T73" s="38">
        <v>67.334992</v>
      </c>
      <c r="U73" s="38">
        <v>79.830658999999997</v>
      </c>
      <c r="V73" s="38" t="s">
        <v>120</v>
      </c>
      <c r="W73" s="38" t="s">
        <v>120</v>
      </c>
      <c r="X73" s="38" t="s">
        <v>120</v>
      </c>
      <c r="Y73" s="38" t="s">
        <v>120</v>
      </c>
      <c r="Z73" s="38" t="s">
        <v>120</v>
      </c>
      <c r="AA73" s="38" t="s">
        <v>120</v>
      </c>
      <c r="AB73" s="38" t="s">
        <v>120</v>
      </c>
      <c r="AC73" s="38" t="s">
        <v>120</v>
      </c>
      <c r="AD73" s="38" t="s">
        <v>120</v>
      </c>
      <c r="AE73" s="38" t="s">
        <v>120</v>
      </c>
      <c r="AF73" s="38" t="s">
        <v>120</v>
      </c>
      <c r="AG73" s="38" t="s">
        <v>120</v>
      </c>
      <c r="AH73" s="38" t="s">
        <v>120</v>
      </c>
      <c r="AI73" s="38" t="s">
        <v>120</v>
      </c>
      <c r="AJ73" s="38" t="s">
        <v>120</v>
      </c>
      <c r="AK73" s="38" t="s">
        <v>120</v>
      </c>
      <c r="AL73" s="38" t="s">
        <v>120</v>
      </c>
      <c r="AM73" s="38" t="s">
        <v>120</v>
      </c>
      <c r="AN73" s="38" t="s">
        <v>120</v>
      </c>
      <c r="AO73" s="38" t="s">
        <v>120</v>
      </c>
      <c r="AP73" s="38" t="s">
        <v>120</v>
      </c>
      <c r="AQ73" s="38" t="s">
        <v>120</v>
      </c>
      <c r="AR73" s="38" t="s">
        <v>120</v>
      </c>
      <c r="AS73" s="38" t="s">
        <v>120</v>
      </c>
      <c r="AT73" s="38" t="s">
        <v>120</v>
      </c>
      <c r="AU73" s="38" t="s">
        <v>120</v>
      </c>
      <c r="AV73" s="38" t="s">
        <v>120</v>
      </c>
      <c r="AW73" s="38" t="s">
        <v>120</v>
      </c>
      <c r="AX73" s="38" t="s">
        <v>120</v>
      </c>
    </row>
    <row r="74" spans="1:50" x14ac:dyDescent="0.45">
      <c r="A74" s="38" t="s">
        <v>193</v>
      </c>
      <c r="B74" s="38">
        <v>73</v>
      </c>
      <c r="C74" s="38" t="s">
        <v>119</v>
      </c>
      <c r="D74" s="38">
        <v>73</v>
      </c>
      <c r="E74" s="38">
        <v>46375</v>
      </c>
      <c r="F74" s="38">
        <f t="shared" si="2"/>
        <v>46.375</v>
      </c>
      <c r="G74" s="38">
        <v>13011562.5</v>
      </c>
      <c r="H74" s="38">
        <f t="shared" si="3"/>
        <v>13.0115625</v>
      </c>
      <c r="I74" s="38">
        <v>2639</v>
      </c>
      <c r="J74" s="38">
        <v>2639</v>
      </c>
      <c r="K74" s="38" t="s">
        <v>120</v>
      </c>
      <c r="L74" s="38" t="s">
        <v>120</v>
      </c>
      <c r="M74" s="38" t="s">
        <v>120</v>
      </c>
      <c r="N74" s="38">
        <v>8.1720749999999995</v>
      </c>
      <c r="O74" s="38" t="s">
        <v>121</v>
      </c>
      <c r="P74" s="38" t="s">
        <v>121</v>
      </c>
      <c r="Q74" s="38" t="s">
        <v>120</v>
      </c>
      <c r="R74" s="38" t="s">
        <v>120</v>
      </c>
      <c r="S74" s="38" t="s">
        <v>120</v>
      </c>
      <c r="T74" s="38">
        <v>67.871486000000004</v>
      </c>
      <c r="U74" s="38">
        <v>79.579784000000004</v>
      </c>
      <c r="V74" s="38" t="s">
        <v>120</v>
      </c>
      <c r="W74" s="38" t="s">
        <v>120</v>
      </c>
      <c r="X74" s="38" t="s">
        <v>120</v>
      </c>
      <c r="Y74" s="38" t="s">
        <v>120</v>
      </c>
      <c r="Z74" s="38" t="s">
        <v>120</v>
      </c>
      <c r="AA74" s="38" t="s">
        <v>120</v>
      </c>
      <c r="AB74" s="38" t="s">
        <v>120</v>
      </c>
      <c r="AC74" s="38" t="s">
        <v>120</v>
      </c>
      <c r="AD74" s="38" t="s">
        <v>120</v>
      </c>
      <c r="AE74" s="38" t="s">
        <v>120</v>
      </c>
      <c r="AF74" s="38" t="s">
        <v>120</v>
      </c>
      <c r="AG74" s="38" t="s">
        <v>120</v>
      </c>
      <c r="AH74" s="38" t="s">
        <v>120</v>
      </c>
      <c r="AI74" s="38" t="s">
        <v>120</v>
      </c>
      <c r="AJ74" s="38" t="s">
        <v>120</v>
      </c>
      <c r="AK74" s="38" t="s">
        <v>120</v>
      </c>
      <c r="AL74" s="38" t="s">
        <v>120</v>
      </c>
      <c r="AM74" s="38" t="s">
        <v>120</v>
      </c>
      <c r="AN74" s="38" t="s">
        <v>120</v>
      </c>
      <c r="AO74" s="38" t="s">
        <v>120</v>
      </c>
      <c r="AP74" s="38" t="s">
        <v>120</v>
      </c>
      <c r="AQ74" s="38" t="s">
        <v>120</v>
      </c>
      <c r="AR74" s="38" t="s">
        <v>120</v>
      </c>
      <c r="AS74" s="38" t="s">
        <v>120</v>
      </c>
      <c r="AT74" s="38" t="s">
        <v>120</v>
      </c>
      <c r="AU74" s="38" t="s">
        <v>120</v>
      </c>
      <c r="AV74" s="38" t="s">
        <v>120</v>
      </c>
      <c r="AW74" s="38" t="s">
        <v>120</v>
      </c>
      <c r="AX74" s="38" t="s">
        <v>120</v>
      </c>
    </row>
    <row r="75" spans="1:50" x14ac:dyDescent="0.45">
      <c r="A75" s="38" t="s">
        <v>194</v>
      </c>
      <c r="B75" s="38">
        <v>75</v>
      </c>
      <c r="C75" s="38" t="s">
        <v>119</v>
      </c>
      <c r="D75" s="38">
        <v>75</v>
      </c>
      <c r="E75" s="38">
        <v>24150</v>
      </c>
      <c r="F75" s="38">
        <f t="shared" si="2"/>
        <v>24.15</v>
      </c>
      <c r="G75" s="38">
        <v>10792968.75</v>
      </c>
      <c r="H75" s="38">
        <f t="shared" si="3"/>
        <v>10.79296875</v>
      </c>
      <c r="I75" s="38">
        <v>2641</v>
      </c>
      <c r="J75" s="38">
        <v>2641</v>
      </c>
      <c r="K75" s="38" t="s">
        <v>120</v>
      </c>
      <c r="L75" s="38" t="s">
        <v>120</v>
      </c>
      <c r="M75" s="38" t="s">
        <v>120</v>
      </c>
      <c r="N75" s="38">
        <v>6.1053860000000002</v>
      </c>
      <c r="O75" s="38" t="s">
        <v>121</v>
      </c>
      <c r="P75" s="38" t="s">
        <v>121</v>
      </c>
      <c r="Q75" s="38" t="s">
        <v>120</v>
      </c>
      <c r="R75" s="38" t="s">
        <v>120</v>
      </c>
      <c r="S75" s="38" t="s">
        <v>120</v>
      </c>
      <c r="T75" s="38">
        <v>59.336970000000001</v>
      </c>
      <c r="U75" s="38">
        <v>81.531037999999995</v>
      </c>
      <c r="V75" s="38" t="s">
        <v>120</v>
      </c>
      <c r="W75" s="38" t="s">
        <v>120</v>
      </c>
      <c r="X75" s="38" t="s">
        <v>120</v>
      </c>
      <c r="Y75" s="38" t="s">
        <v>120</v>
      </c>
      <c r="Z75" s="38" t="s">
        <v>120</v>
      </c>
      <c r="AA75" s="38" t="s">
        <v>120</v>
      </c>
      <c r="AB75" s="38" t="s">
        <v>120</v>
      </c>
      <c r="AC75" s="38" t="s">
        <v>120</v>
      </c>
      <c r="AD75" s="38" t="s">
        <v>120</v>
      </c>
      <c r="AE75" s="38" t="s">
        <v>120</v>
      </c>
      <c r="AF75" s="38" t="s">
        <v>120</v>
      </c>
      <c r="AG75" s="38" t="s">
        <v>120</v>
      </c>
      <c r="AH75" s="38" t="s">
        <v>120</v>
      </c>
      <c r="AI75" s="38" t="s">
        <v>120</v>
      </c>
      <c r="AJ75" s="38" t="s">
        <v>120</v>
      </c>
      <c r="AK75" s="38" t="s">
        <v>120</v>
      </c>
      <c r="AL75" s="38" t="s">
        <v>120</v>
      </c>
      <c r="AM75" s="38" t="s">
        <v>120</v>
      </c>
      <c r="AN75" s="38" t="s">
        <v>120</v>
      </c>
      <c r="AO75" s="38" t="s">
        <v>120</v>
      </c>
      <c r="AP75" s="38" t="s">
        <v>120</v>
      </c>
      <c r="AQ75" s="38" t="s">
        <v>120</v>
      </c>
      <c r="AR75" s="38" t="s">
        <v>120</v>
      </c>
      <c r="AS75" s="38" t="s">
        <v>120</v>
      </c>
      <c r="AT75" s="38" t="s">
        <v>120</v>
      </c>
      <c r="AU75" s="38" t="s">
        <v>120</v>
      </c>
      <c r="AV75" s="38" t="s">
        <v>120</v>
      </c>
      <c r="AW75" s="38" t="s">
        <v>120</v>
      </c>
      <c r="AX75" s="38" t="s">
        <v>120</v>
      </c>
    </row>
    <row r="76" spans="1:50" x14ac:dyDescent="0.45">
      <c r="A76" s="38" t="s">
        <v>195</v>
      </c>
      <c r="B76" s="38">
        <v>76</v>
      </c>
      <c r="C76" s="38" t="s">
        <v>119</v>
      </c>
      <c r="D76" s="38">
        <v>76</v>
      </c>
      <c r="E76" s="38">
        <v>3425</v>
      </c>
      <c r="F76" s="38">
        <f t="shared" si="2"/>
        <v>3.4249999999999998</v>
      </c>
      <c r="G76" s="38">
        <v>295312.5</v>
      </c>
      <c r="H76" s="38">
        <f t="shared" si="3"/>
        <v>0.29531249999999998</v>
      </c>
      <c r="I76" s="38">
        <v>2642</v>
      </c>
      <c r="J76" s="38">
        <v>2642</v>
      </c>
      <c r="K76" s="38" t="s">
        <v>120</v>
      </c>
      <c r="L76" s="38" t="s">
        <v>120</v>
      </c>
      <c r="M76" s="38" t="s">
        <v>120</v>
      </c>
      <c r="N76" s="38">
        <v>7.6345780000000003</v>
      </c>
      <c r="O76" s="38" t="s">
        <v>121</v>
      </c>
      <c r="P76" s="38" t="s">
        <v>121</v>
      </c>
      <c r="Q76" s="38" t="s">
        <v>120</v>
      </c>
      <c r="R76" s="38" t="s">
        <v>120</v>
      </c>
      <c r="S76" s="38" t="s">
        <v>120</v>
      </c>
      <c r="T76" s="38">
        <v>54.642404999999997</v>
      </c>
      <c r="U76" s="38">
        <v>73.816582999999994</v>
      </c>
      <c r="V76" s="38" t="s">
        <v>120</v>
      </c>
      <c r="W76" s="38" t="s">
        <v>120</v>
      </c>
      <c r="X76" s="38" t="s">
        <v>120</v>
      </c>
      <c r="Y76" s="38" t="s">
        <v>120</v>
      </c>
      <c r="Z76" s="38" t="s">
        <v>120</v>
      </c>
      <c r="AA76" s="38" t="s">
        <v>120</v>
      </c>
      <c r="AB76" s="38" t="s">
        <v>120</v>
      </c>
      <c r="AC76" s="38" t="s">
        <v>120</v>
      </c>
      <c r="AD76" s="38" t="s">
        <v>120</v>
      </c>
      <c r="AE76" s="38" t="s">
        <v>120</v>
      </c>
      <c r="AF76" s="38" t="s">
        <v>120</v>
      </c>
      <c r="AG76" s="38" t="s">
        <v>120</v>
      </c>
      <c r="AH76" s="38" t="s">
        <v>120</v>
      </c>
      <c r="AI76" s="38" t="s">
        <v>120</v>
      </c>
      <c r="AJ76" s="38" t="s">
        <v>120</v>
      </c>
      <c r="AK76" s="38" t="s">
        <v>120</v>
      </c>
      <c r="AL76" s="38" t="s">
        <v>120</v>
      </c>
      <c r="AM76" s="38" t="s">
        <v>120</v>
      </c>
      <c r="AN76" s="38" t="s">
        <v>120</v>
      </c>
      <c r="AO76" s="38" t="s">
        <v>120</v>
      </c>
      <c r="AP76" s="38" t="s">
        <v>120</v>
      </c>
      <c r="AQ76" s="38" t="s">
        <v>120</v>
      </c>
      <c r="AR76" s="38" t="s">
        <v>120</v>
      </c>
      <c r="AS76" s="38" t="s">
        <v>120</v>
      </c>
      <c r="AT76" s="38" t="s">
        <v>120</v>
      </c>
      <c r="AU76" s="38" t="s">
        <v>120</v>
      </c>
      <c r="AV76" s="38" t="s">
        <v>120</v>
      </c>
      <c r="AW76" s="38" t="s">
        <v>120</v>
      </c>
      <c r="AX76" s="38" t="s">
        <v>120</v>
      </c>
    </row>
    <row r="77" spans="1:50" x14ac:dyDescent="0.45">
      <c r="A77" s="38" t="s">
        <v>196</v>
      </c>
      <c r="B77" s="38">
        <v>78</v>
      </c>
      <c r="C77" s="38" t="s">
        <v>119</v>
      </c>
      <c r="D77" s="38">
        <v>78</v>
      </c>
      <c r="E77" s="38">
        <v>13625</v>
      </c>
      <c r="F77" s="38">
        <f t="shared" si="2"/>
        <v>13.625</v>
      </c>
      <c r="G77" s="38">
        <v>4700937.5</v>
      </c>
      <c r="H77" s="38">
        <f t="shared" si="3"/>
        <v>4.7009375000000002</v>
      </c>
      <c r="I77" s="38">
        <v>2644</v>
      </c>
      <c r="J77" s="38">
        <v>2644</v>
      </c>
      <c r="K77" s="38" t="s">
        <v>120</v>
      </c>
      <c r="L77" s="38" t="s">
        <v>120</v>
      </c>
      <c r="M77" s="38" t="s">
        <v>120</v>
      </c>
      <c r="N77" s="38">
        <v>49.525429000000003</v>
      </c>
      <c r="O77" s="38" t="s">
        <v>121</v>
      </c>
      <c r="P77" s="38" t="s">
        <v>121</v>
      </c>
      <c r="Q77" s="38" t="s">
        <v>120</v>
      </c>
      <c r="R77" s="38" t="s">
        <v>120</v>
      </c>
      <c r="S77" s="38" t="s">
        <v>120</v>
      </c>
      <c r="T77" s="38">
        <v>79</v>
      </c>
      <c r="U77" s="38">
        <v>79.134733999999995</v>
      </c>
      <c r="V77" s="38" t="s">
        <v>120</v>
      </c>
      <c r="W77" s="38" t="s">
        <v>120</v>
      </c>
      <c r="X77" s="38" t="s">
        <v>120</v>
      </c>
      <c r="Y77" s="38" t="s">
        <v>120</v>
      </c>
      <c r="Z77" s="38" t="s">
        <v>120</v>
      </c>
      <c r="AA77" s="38" t="s">
        <v>120</v>
      </c>
      <c r="AB77" s="38" t="s">
        <v>120</v>
      </c>
      <c r="AC77" s="38" t="s">
        <v>120</v>
      </c>
      <c r="AD77" s="38" t="s">
        <v>120</v>
      </c>
      <c r="AE77" s="38" t="s">
        <v>120</v>
      </c>
      <c r="AF77" s="38" t="s">
        <v>120</v>
      </c>
      <c r="AG77" s="38" t="s">
        <v>120</v>
      </c>
      <c r="AH77" s="38" t="s">
        <v>120</v>
      </c>
      <c r="AI77" s="38" t="s">
        <v>120</v>
      </c>
      <c r="AJ77" s="38" t="s">
        <v>120</v>
      </c>
      <c r="AK77" s="38" t="s">
        <v>120</v>
      </c>
      <c r="AL77" s="38" t="s">
        <v>120</v>
      </c>
      <c r="AM77" s="38" t="s">
        <v>120</v>
      </c>
      <c r="AN77" s="38" t="s">
        <v>120</v>
      </c>
      <c r="AO77" s="38" t="s">
        <v>120</v>
      </c>
      <c r="AP77" s="38" t="s">
        <v>120</v>
      </c>
      <c r="AQ77" s="38" t="s">
        <v>120</v>
      </c>
      <c r="AR77" s="38" t="s">
        <v>120</v>
      </c>
      <c r="AS77" s="38" t="s">
        <v>120</v>
      </c>
      <c r="AT77" s="38" t="s">
        <v>120</v>
      </c>
      <c r="AU77" s="38" t="s">
        <v>120</v>
      </c>
      <c r="AV77" s="38" t="s">
        <v>120</v>
      </c>
      <c r="AW77" s="38" t="s">
        <v>120</v>
      </c>
      <c r="AX77" s="38" t="s">
        <v>120</v>
      </c>
    </row>
    <row r="78" spans="1:50" x14ac:dyDescent="0.45">
      <c r="A78" s="38" t="s">
        <v>197</v>
      </c>
      <c r="B78" s="38">
        <v>79</v>
      </c>
      <c r="C78" s="38" t="s">
        <v>119</v>
      </c>
      <c r="D78" s="38">
        <v>79</v>
      </c>
      <c r="E78" s="38">
        <v>19150</v>
      </c>
      <c r="F78" s="38">
        <f t="shared" si="2"/>
        <v>19.149999999999999</v>
      </c>
      <c r="G78" s="38">
        <v>4802187.5</v>
      </c>
      <c r="H78" s="38">
        <f t="shared" si="3"/>
        <v>4.8021874999999996</v>
      </c>
      <c r="I78" s="38">
        <v>2645</v>
      </c>
      <c r="J78" s="38">
        <v>2645</v>
      </c>
      <c r="K78" s="38" t="s">
        <v>120</v>
      </c>
      <c r="L78" s="38" t="s">
        <v>120</v>
      </c>
      <c r="M78" s="38" t="s">
        <v>120</v>
      </c>
      <c r="N78" s="38">
        <v>7.5329370000000004</v>
      </c>
      <c r="O78" s="38" t="s">
        <v>121</v>
      </c>
      <c r="P78" s="38" t="s">
        <v>121</v>
      </c>
      <c r="Q78" s="38" t="s">
        <v>120</v>
      </c>
      <c r="R78" s="38" t="s">
        <v>120</v>
      </c>
      <c r="S78" s="38" t="s">
        <v>120</v>
      </c>
      <c r="T78" s="38">
        <v>42.367511</v>
      </c>
      <c r="U78" s="38">
        <v>75.367992999999998</v>
      </c>
      <c r="V78" s="38" t="s">
        <v>120</v>
      </c>
      <c r="W78" s="38" t="s">
        <v>120</v>
      </c>
      <c r="X78" s="38" t="s">
        <v>120</v>
      </c>
      <c r="Y78" s="38" t="s">
        <v>120</v>
      </c>
      <c r="Z78" s="38" t="s">
        <v>120</v>
      </c>
      <c r="AA78" s="38" t="s">
        <v>120</v>
      </c>
      <c r="AB78" s="38" t="s">
        <v>120</v>
      </c>
      <c r="AC78" s="38" t="s">
        <v>120</v>
      </c>
      <c r="AD78" s="38" t="s">
        <v>120</v>
      </c>
      <c r="AE78" s="38" t="s">
        <v>120</v>
      </c>
      <c r="AF78" s="38" t="s">
        <v>120</v>
      </c>
      <c r="AG78" s="38" t="s">
        <v>120</v>
      </c>
      <c r="AH78" s="38" t="s">
        <v>120</v>
      </c>
      <c r="AI78" s="38" t="s">
        <v>120</v>
      </c>
      <c r="AJ78" s="38" t="s">
        <v>120</v>
      </c>
      <c r="AK78" s="38" t="s">
        <v>120</v>
      </c>
      <c r="AL78" s="38" t="s">
        <v>120</v>
      </c>
      <c r="AM78" s="38" t="s">
        <v>120</v>
      </c>
      <c r="AN78" s="38" t="s">
        <v>120</v>
      </c>
      <c r="AO78" s="38" t="s">
        <v>120</v>
      </c>
      <c r="AP78" s="38" t="s">
        <v>120</v>
      </c>
      <c r="AQ78" s="38" t="s">
        <v>120</v>
      </c>
      <c r="AR78" s="38" t="s">
        <v>120</v>
      </c>
      <c r="AS78" s="38" t="s">
        <v>120</v>
      </c>
      <c r="AT78" s="38" t="s">
        <v>120</v>
      </c>
      <c r="AU78" s="38" t="s">
        <v>120</v>
      </c>
      <c r="AV78" s="38" t="s">
        <v>120</v>
      </c>
      <c r="AW78" s="38" t="s">
        <v>120</v>
      </c>
      <c r="AX78" s="38" t="s">
        <v>120</v>
      </c>
    </row>
    <row r="79" spans="1:50" x14ac:dyDescent="0.45">
      <c r="A79" s="38" t="s">
        <v>198</v>
      </c>
      <c r="B79" s="38">
        <v>80</v>
      </c>
      <c r="C79" s="38" t="s">
        <v>119</v>
      </c>
      <c r="D79" s="38">
        <v>80</v>
      </c>
      <c r="E79" s="38">
        <v>875</v>
      </c>
      <c r="F79" s="38">
        <f t="shared" si="2"/>
        <v>0.875</v>
      </c>
      <c r="G79" s="38">
        <v>32187.5</v>
      </c>
      <c r="H79" s="38">
        <f t="shared" si="3"/>
        <v>3.2187500000000001E-2</v>
      </c>
      <c r="I79" s="38">
        <v>2646</v>
      </c>
      <c r="J79" s="38">
        <v>2646</v>
      </c>
      <c r="K79" s="38" t="s">
        <v>120</v>
      </c>
      <c r="L79" s="38" t="s">
        <v>120</v>
      </c>
      <c r="M79" s="38" t="s">
        <v>120</v>
      </c>
      <c r="N79" s="38">
        <v>7.5215329999999998</v>
      </c>
      <c r="O79" s="38" t="s">
        <v>121</v>
      </c>
      <c r="P79" s="38" t="s">
        <v>121</v>
      </c>
      <c r="Q79" s="38" t="s">
        <v>120</v>
      </c>
      <c r="R79" s="38" t="s">
        <v>120</v>
      </c>
      <c r="S79" s="38" t="s">
        <v>120</v>
      </c>
      <c r="T79" s="38">
        <v>76.444444000000004</v>
      </c>
      <c r="U79" s="38">
        <v>74.540339000000003</v>
      </c>
      <c r="V79" s="38" t="s">
        <v>120</v>
      </c>
      <c r="W79" s="38" t="s">
        <v>120</v>
      </c>
      <c r="X79" s="38" t="s">
        <v>120</v>
      </c>
      <c r="Y79" s="38" t="s">
        <v>120</v>
      </c>
      <c r="Z79" s="38" t="s">
        <v>120</v>
      </c>
      <c r="AA79" s="38" t="s">
        <v>120</v>
      </c>
      <c r="AB79" s="38" t="s">
        <v>120</v>
      </c>
      <c r="AC79" s="38" t="s">
        <v>120</v>
      </c>
      <c r="AD79" s="38" t="s">
        <v>120</v>
      </c>
      <c r="AE79" s="38" t="s">
        <v>120</v>
      </c>
      <c r="AF79" s="38" t="s">
        <v>120</v>
      </c>
      <c r="AG79" s="38" t="s">
        <v>120</v>
      </c>
      <c r="AH79" s="38" t="s">
        <v>120</v>
      </c>
      <c r="AI79" s="38" t="s">
        <v>120</v>
      </c>
      <c r="AJ79" s="38" t="s">
        <v>120</v>
      </c>
      <c r="AK79" s="38" t="s">
        <v>120</v>
      </c>
      <c r="AL79" s="38" t="s">
        <v>120</v>
      </c>
      <c r="AM79" s="38" t="s">
        <v>120</v>
      </c>
      <c r="AN79" s="38" t="s">
        <v>120</v>
      </c>
      <c r="AO79" s="38" t="s">
        <v>120</v>
      </c>
      <c r="AP79" s="38" t="s">
        <v>120</v>
      </c>
      <c r="AQ79" s="38" t="s">
        <v>120</v>
      </c>
      <c r="AR79" s="38" t="s">
        <v>120</v>
      </c>
      <c r="AS79" s="38" t="s">
        <v>120</v>
      </c>
      <c r="AT79" s="38" t="s">
        <v>120</v>
      </c>
      <c r="AU79" s="38" t="s">
        <v>120</v>
      </c>
      <c r="AV79" s="38" t="s">
        <v>120</v>
      </c>
      <c r="AW79" s="38" t="s">
        <v>120</v>
      </c>
      <c r="AX79" s="38" t="s">
        <v>120</v>
      </c>
    </row>
    <row r="80" spans="1:50" x14ac:dyDescent="0.45">
      <c r="A80" s="38" t="s">
        <v>199</v>
      </c>
      <c r="B80" s="38">
        <v>81</v>
      </c>
      <c r="C80" s="38" t="s">
        <v>119</v>
      </c>
      <c r="D80" s="38">
        <v>81</v>
      </c>
      <c r="E80" s="38">
        <v>9000</v>
      </c>
      <c r="F80" s="38">
        <f t="shared" si="2"/>
        <v>9</v>
      </c>
      <c r="G80" s="38">
        <v>1556406.25</v>
      </c>
      <c r="H80" s="38">
        <f t="shared" si="3"/>
        <v>1.55640625</v>
      </c>
      <c r="I80" s="38">
        <v>2647</v>
      </c>
      <c r="J80" s="38">
        <v>2647</v>
      </c>
      <c r="K80" s="38" t="s">
        <v>120</v>
      </c>
      <c r="L80" s="38" t="s">
        <v>120</v>
      </c>
      <c r="M80" s="38" t="s">
        <v>120</v>
      </c>
      <c r="N80" s="38">
        <v>9.1624999999999996</v>
      </c>
      <c r="O80" s="38" t="s">
        <v>121</v>
      </c>
      <c r="P80" s="38" t="s">
        <v>121</v>
      </c>
      <c r="Q80" s="38" t="s">
        <v>120</v>
      </c>
      <c r="R80" s="38" t="s">
        <v>120</v>
      </c>
      <c r="S80" s="38" t="s">
        <v>120</v>
      </c>
      <c r="T80" s="38">
        <v>58.60304</v>
      </c>
      <c r="U80" s="38">
        <v>74.260436999999996</v>
      </c>
      <c r="V80" s="38" t="s">
        <v>120</v>
      </c>
      <c r="W80" s="38" t="s">
        <v>120</v>
      </c>
      <c r="X80" s="38" t="s">
        <v>120</v>
      </c>
      <c r="Y80" s="38" t="s">
        <v>120</v>
      </c>
      <c r="Z80" s="38" t="s">
        <v>120</v>
      </c>
      <c r="AA80" s="38" t="s">
        <v>120</v>
      </c>
      <c r="AB80" s="38" t="s">
        <v>120</v>
      </c>
      <c r="AC80" s="38" t="s">
        <v>120</v>
      </c>
      <c r="AD80" s="38" t="s">
        <v>120</v>
      </c>
      <c r="AE80" s="38" t="s">
        <v>120</v>
      </c>
      <c r="AF80" s="38" t="s">
        <v>120</v>
      </c>
      <c r="AG80" s="38" t="s">
        <v>120</v>
      </c>
      <c r="AH80" s="38" t="s">
        <v>120</v>
      </c>
      <c r="AI80" s="38" t="s">
        <v>120</v>
      </c>
      <c r="AJ80" s="38" t="s">
        <v>120</v>
      </c>
      <c r="AK80" s="38" t="s">
        <v>120</v>
      </c>
      <c r="AL80" s="38" t="s">
        <v>120</v>
      </c>
      <c r="AM80" s="38" t="s">
        <v>120</v>
      </c>
      <c r="AN80" s="38" t="s">
        <v>120</v>
      </c>
      <c r="AO80" s="38" t="s">
        <v>120</v>
      </c>
      <c r="AP80" s="38" t="s">
        <v>120</v>
      </c>
      <c r="AQ80" s="38" t="s">
        <v>120</v>
      </c>
      <c r="AR80" s="38" t="s">
        <v>120</v>
      </c>
      <c r="AS80" s="38" t="s">
        <v>120</v>
      </c>
      <c r="AT80" s="38" t="s">
        <v>120</v>
      </c>
      <c r="AU80" s="38" t="s">
        <v>120</v>
      </c>
      <c r="AV80" s="38" t="s">
        <v>120</v>
      </c>
      <c r="AW80" s="38" t="s">
        <v>120</v>
      </c>
      <c r="AX80" s="38" t="s">
        <v>120</v>
      </c>
    </row>
    <row r="81" spans="1:50" x14ac:dyDescent="0.45">
      <c r="A81" s="38" t="s">
        <v>200</v>
      </c>
      <c r="B81" s="38">
        <v>82</v>
      </c>
      <c r="C81" s="38" t="s">
        <v>119</v>
      </c>
      <c r="D81" s="38">
        <v>82</v>
      </c>
      <c r="E81" s="38">
        <v>15450</v>
      </c>
      <c r="F81" s="38">
        <f t="shared" si="2"/>
        <v>15.45</v>
      </c>
      <c r="G81" s="38">
        <v>5180156.25</v>
      </c>
      <c r="H81" s="38">
        <f t="shared" si="3"/>
        <v>5.1801562499999996</v>
      </c>
      <c r="I81" s="38">
        <v>2648</v>
      </c>
      <c r="J81" s="38">
        <v>2648</v>
      </c>
      <c r="K81" s="38" t="s">
        <v>120</v>
      </c>
      <c r="L81" s="38" t="s">
        <v>120</v>
      </c>
      <c r="M81" s="38" t="s">
        <v>120</v>
      </c>
      <c r="N81" s="38">
        <v>6.5240299999999998</v>
      </c>
      <c r="O81" s="38" t="s">
        <v>121</v>
      </c>
      <c r="P81" s="38" t="s">
        <v>121</v>
      </c>
      <c r="Q81" s="38" t="s">
        <v>120</v>
      </c>
      <c r="R81" s="38" t="s">
        <v>120</v>
      </c>
      <c r="S81" s="38" t="s">
        <v>120</v>
      </c>
      <c r="T81" s="38">
        <v>59.808667999999997</v>
      </c>
      <c r="U81" s="38">
        <v>82.524592999999996</v>
      </c>
      <c r="V81" s="38" t="s">
        <v>120</v>
      </c>
      <c r="W81" s="38" t="s">
        <v>120</v>
      </c>
      <c r="X81" s="38" t="s">
        <v>120</v>
      </c>
      <c r="Y81" s="38" t="s">
        <v>120</v>
      </c>
      <c r="Z81" s="38" t="s">
        <v>120</v>
      </c>
      <c r="AA81" s="38" t="s">
        <v>120</v>
      </c>
      <c r="AB81" s="38" t="s">
        <v>120</v>
      </c>
      <c r="AC81" s="38" t="s">
        <v>120</v>
      </c>
      <c r="AD81" s="38" t="s">
        <v>120</v>
      </c>
      <c r="AE81" s="38" t="s">
        <v>120</v>
      </c>
      <c r="AF81" s="38" t="s">
        <v>120</v>
      </c>
      <c r="AG81" s="38" t="s">
        <v>120</v>
      </c>
      <c r="AH81" s="38" t="s">
        <v>120</v>
      </c>
      <c r="AI81" s="38" t="s">
        <v>120</v>
      </c>
      <c r="AJ81" s="38" t="s">
        <v>120</v>
      </c>
      <c r="AK81" s="38" t="s">
        <v>120</v>
      </c>
      <c r="AL81" s="38" t="s">
        <v>120</v>
      </c>
      <c r="AM81" s="38" t="s">
        <v>120</v>
      </c>
      <c r="AN81" s="38" t="s">
        <v>120</v>
      </c>
      <c r="AO81" s="38" t="s">
        <v>120</v>
      </c>
      <c r="AP81" s="38" t="s">
        <v>120</v>
      </c>
      <c r="AQ81" s="38" t="s">
        <v>120</v>
      </c>
      <c r="AR81" s="38" t="s">
        <v>120</v>
      </c>
      <c r="AS81" s="38" t="s">
        <v>120</v>
      </c>
      <c r="AT81" s="38" t="s">
        <v>120</v>
      </c>
      <c r="AU81" s="38" t="s">
        <v>120</v>
      </c>
      <c r="AV81" s="38" t="s">
        <v>120</v>
      </c>
      <c r="AW81" s="38" t="s">
        <v>120</v>
      </c>
      <c r="AX81" s="38" t="s">
        <v>120</v>
      </c>
    </row>
    <row r="82" spans="1:50" x14ac:dyDescent="0.45">
      <c r="A82" s="38" t="s">
        <v>201</v>
      </c>
      <c r="B82" s="38">
        <v>83</v>
      </c>
      <c r="C82" s="38" t="s">
        <v>119</v>
      </c>
      <c r="D82" s="38">
        <v>83</v>
      </c>
      <c r="E82" s="38">
        <v>21125</v>
      </c>
      <c r="F82" s="38">
        <f t="shared" si="2"/>
        <v>21.125</v>
      </c>
      <c r="G82" s="38">
        <v>12831250</v>
      </c>
      <c r="H82" s="38">
        <f t="shared" si="3"/>
        <v>12.831250000000001</v>
      </c>
      <c r="I82" s="38">
        <v>2649</v>
      </c>
      <c r="J82" s="38">
        <v>2649</v>
      </c>
      <c r="K82" s="38" t="s">
        <v>120</v>
      </c>
      <c r="L82" s="38" t="s">
        <v>120</v>
      </c>
      <c r="M82" s="38" t="s">
        <v>120</v>
      </c>
      <c r="N82" s="38">
        <v>56.722400999999998</v>
      </c>
      <c r="O82" s="38" t="s">
        <v>121</v>
      </c>
      <c r="P82" s="38" t="s">
        <v>121</v>
      </c>
      <c r="Q82" s="38" t="s">
        <v>120</v>
      </c>
      <c r="R82" s="38" t="s">
        <v>120</v>
      </c>
      <c r="S82" s="38" t="s">
        <v>120</v>
      </c>
      <c r="T82" s="38">
        <v>78.948873000000006</v>
      </c>
      <c r="U82" s="38">
        <v>78.473395999999994</v>
      </c>
      <c r="V82" s="38" t="s">
        <v>120</v>
      </c>
      <c r="W82" s="38" t="s">
        <v>120</v>
      </c>
      <c r="X82" s="38" t="s">
        <v>120</v>
      </c>
      <c r="Y82" s="38" t="s">
        <v>120</v>
      </c>
      <c r="Z82" s="38" t="s">
        <v>120</v>
      </c>
      <c r="AA82" s="38" t="s">
        <v>120</v>
      </c>
      <c r="AB82" s="38" t="s">
        <v>120</v>
      </c>
      <c r="AC82" s="38" t="s">
        <v>120</v>
      </c>
      <c r="AD82" s="38" t="s">
        <v>120</v>
      </c>
      <c r="AE82" s="38" t="s">
        <v>120</v>
      </c>
      <c r="AF82" s="38" t="s">
        <v>120</v>
      </c>
      <c r="AG82" s="38" t="s">
        <v>120</v>
      </c>
      <c r="AH82" s="38" t="s">
        <v>120</v>
      </c>
      <c r="AI82" s="38" t="s">
        <v>120</v>
      </c>
      <c r="AJ82" s="38" t="s">
        <v>120</v>
      </c>
      <c r="AK82" s="38" t="s">
        <v>120</v>
      </c>
      <c r="AL82" s="38" t="s">
        <v>120</v>
      </c>
      <c r="AM82" s="38" t="s">
        <v>120</v>
      </c>
      <c r="AN82" s="38" t="s">
        <v>120</v>
      </c>
      <c r="AO82" s="38" t="s">
        <v>120</v>
      </c>
      <c r="AP82" s="38" t="s">
        <v>120</v>
      </c>
      <c r="AQ82" s="38" t="s">
        <v>120</v>
      </c>
      <c r="AR82" s="38" t="s">
        <v>120</v>
      </c>
      <c r="AS82" s="38" t="s">
        <v>120</v>
      </c>
      <c r="AT82" s="38" t="s">
        <v>120</v>
      </c>
      <c r="AU82" s="38" t="s">
        <v>120</v>
      </c>
      <c r="AV82" s="38" t="s">
        <v>120</v>
      </c>
      <c r="AW82" s="38" t="s">
        <v>120</v>
      </c>
      <c r="AX82" s="38" t="s">
        <v>120</v>
      </c>
    </row>
    <row r="83" spans="1:50" x14ac:dyDescent="0.45">
      <c r="A83" s="38" t="s">
        <v>202</v>
      </c>
      <c r="B83" s="38">
        <v>84</v>
      </c>
      <c r="C83" s="38" t="s">
        <v>119</v>
      </c>
      <c r="D83" s="38">
        <v>84</v>
      </c>
      <c r="E83" s="38">
        <v>29500</v>
      </c>
      <c r="F83" s="38">
        <f t="shared" si="2"/>
        <v>29.5</v>
      </c>
      <c r="G83" s="38">
        <v>10231875</v>
      </c>
      <c r="H83" s="38">
        <f t="shared" si="3"/>
        <v>10.231875</v>
      </c>
      <c r="I83" s="38">
        <v>2650</v>
      </c>
      <c r="J83" s="38">
        <v>2650</v>
      </c>
      <c r="K83" s="38" t="s">
        <v>120</v>
      </c>
      <c r="L83" s="38" t="s">
        <v>120</v>
      </c>
      <c r="M83" s="38" t="s">
        <v>120</v>
      </c>
      <c r="N83" s="38">
        <v>5.6420849999999998</v>
      </c>
      <c r="O83" s="38" t="s">
        <v>121</v>
      </c>
      <c r="P83" s="38" t="s">
        <v>121</v>
      </c>
      <c r="Q83" s="38" t="s">
        <v>120</v>
      </c>
      <c r="R83" s="38" t="s">
        <v>120</v>
      </c>
      <c r="S83" s="38" t="s">
        <v>120</v>
      </c>
      <c r="T83" s="38">
        <v>62.922246000000001</v>
      </c>
      <c r="U83" s="38">
        <v>88.017101999999994</v>
      </c>
      <c r="V83" s="38" t="s">
        <v>120</v>
      </c>
      <c r="W83" s="38" t="s">
        <v>120</v>
      </c>
      <c r="X83" s="38" t="s">
        <v>120</v>
      </c>
      <c r="Y83" s="38" t="s">
        <v>120</v>
      </c>
      <c r="Z83" s="38" t="s">
        <v>120</v>
      </c>
      <c r="AA83" s="38" t="s">
        <v>120</v>
      </c>
      <c r="AB83" s="38" t="s">
        <v>120</v>
      </c>
      <c r="AC83" s="38" t="s">
        <v>120</v>
      </c>
      <c r="AD83" s="38" t="s">
        <v>120</v>
      </c>
      <c r="AE83" s="38" t="s">
        <v>120</v>
      </c>
      <c r="AF83" s="38" t="s">
        <v>120</v>
      </c>
      <c r="AG83" s="38" t="s">
        <v>120</v>
      </c>
      <c r="AH83" s="38" t="s">
        <v>120</v>
      </c>
      <c r="AI83" s="38" t="s">
        <v>120</v>
      </c>
      <c r="AJ83" s="38" t="s">
        <v>120</v>
      </c>
      <c r="AK83" s="38" t="s">
        <v>120</v>
      </c>
      <c r="AL83" s="38" t="s">
        <v>120</v>
      </c>
      <c r="AM83" s="38" t="s">
        <v>120</v>
      </c>
      <c r="AN83" s="38" t="s">
        <v>120</v>
      </c>
      <c r="AO83" s="38" t="s">
        <v>120</v>
      </c>
      <c r="AP83" s="38" t="s">
        <v>120</v>
      </c>
      <c r="AQ83" s="38" t="s">
        <v>120</v>
      </c>
      <c r="AR83" s="38" t="s">
        <v>120</v>
      </c>
      <c r="AS83" s="38" t="s">
        <v>120</v>
      </c>
      <c r="AT83" s="38" t="s">
        <v>120</v>
      </c>
      <c r="AU83" s="38" t="s">
        <v>120</v>
      </c>
      <c r="AV83" s="38" t="s">
        <v>120</v>
      </c>
      <c r="AW83" s="38" t="s">
        <v>120</v>
      </c>
      <c r="AX83" s="38" t="s">
        <v>120</v>
      </c>
    </row>
    <row r="84" spans="1:50" x14ac:dyDescent="0.45">
      <c r="A84" s="38" t="s">
        <v>203</v>
      </c>
      <c r="B84" s="38">
        <v>85</v>
      </c>
      <c r="C84" s="38" t="s">
        <v>119</v>
      </c>
      <c r="D84" s="38">
        <v>85</v>
      </c>
      <c r="E84" s="38">
        <v>16000</v>
      </c>
      <c r="F84" s="38">
        <f t="shared" si="2"/>
        <v>16</v>
      </c>
      <c r="G84" s="38">
        <v>4886250</v>
      </c>
      <c r="H84" s="38">
        <f t="shared" si="3"/>
        <v>4.8862500000000004</v>
      </c>
      <c r="I84" s="38">
        <v>2651</v>
      </c>
      <c r="J84" s="38">
        <v>2651</v>
      </c>
      <c r="K84" s="38" t="s">
        <v>120</v>
      </c>
      <c r="L84" s="38" t="s">
        <v>120</v>
      </c>
      <c r="M84" s="38" t="s">
        <v>120</v>
      </c>
      <c r="N84" s="38">
        <v>13.603035999999999</v>
      </c>
      <c r="O84" s="38" t="s">
        <v>121</v>
      </c>
      <c r="P84" s="38" t="s">
        <v>121</v>
      </c>
      <c r="Q84" s="38" t="s">
        <v>120</v>
      </c>
      <c r="R84" s="38" t="s">
        <v>120</v>
      </c>
      <c r="S84" s="38" t="s">
        <v>120</v>
      </c>
      <c r="T84" s="38">
        <v>58.473654000000003</v>
      </c>
      <c r="U84" s="38">
        <v>75.408373999999995</v>
      </c>
      <c r="V84" s="38" t="s">
        <v>120</v>
      </c>
      <c r="W84" s="38" t="s">
        <v>120</v>
      </c>
      <c r="X84" s="38" t="s">
        <v>120</v>
      </c>
      <c r="Y84" s="38" t="s">
        <v>120</v>
      </c>
      <c r="Z84" s="38" t="s">
        <v>120</v>
      </c>
      <c r="AA84" s="38" t="s">
        <v>120</v>
      </c>
      <c r="AB84" s="38" t="s">
        <v>120</v>
      </c>
      <c r="AC84" s="38" t="s">
        <v>120</v>
      </c>
      <c r="AD84" s="38" t="s">
        <v>120</v>
      </c>
      <c r="AE84" s="38" t="s">
        <v>120</v>
      </c>
      <c r="AF84" s="38" t="s">
        <v>120</v>
      </c>
      <c r="AG84" s="38" t="s">
        <v>120</v>
      </c>
      <c r="AH84" s="38" t="s">
        <v>120</v>
      </c>
      <c r="AI84" s="38" t="s">
        <v>120</v>
      </c>
      <c r="AJ84" s="38" t="s">
        <v>120</v>
      </c>
      <c r="AK84" s="38" t="s">
        <v>120</v>
      </c>
      <c r="AL84" s="38" t="s">
        <v>120</v>
      </c>
      <c r="AM84" s="38" t="s">
        <v>120</v>
      </c>
      <c r="AN84" s="38" t="s">
        <v>120</v>
      </c>
      <c r="AO84" s="38" t="s">
        <v>120</v>
      </c>
      <c r="AP84" s="38" t="s">
        <v>120</v>
      </c>
      <c r="AQ84" s="38" t="s">
        <v>120</v>
      </c>
      <c r="AR84" s="38" t="s">
        <v>120</v>
      </c>
      <c r="AS84" s="38" t="s">
        <v>120</v>
      </c>
      <c r="AT84" s="38" t="s">
        <v>120</v>
      </c>
      <c r="AU84" s="38" t="s">
        <v>120</v>
      </c>
      <c r="AV84" s="38" t="s">
        <v>120</v>
      </c>
      <c r="AW84" s="38" t="s">
        <v>120</v>
      </c>
      <c r="AX84" s="38" t="s">
        <v>120</v>
      </c>
    </row>
    <row r="85" spans="1:50" x14ac:dyDescent="0.45">
      <c r="A85" s="38" t="s">
        <v>204</v>
      </c>
      <c r="B85" s="38">
        <v>86</v>
      </c>
      <c r="C85" s="38" t="s">
        <v>119</v>
      </c>
      <c r="D85" s="38">
        <v>86</v>
      </c>
      <c r="E85" s="38">
        <v>24250</v>
      </c>
      <c r="F85" s="38">
        <f t="shared" si="2"/>
        <v>24.25</v>
      </c>
      <c r="G85" s="38">
        <v>5089062.5</v>
      </c>
      <c r="H85" s="38">
        <f t="shared" si="3"/>
        <v>5.0890624999999998</v>
      </c>
      <c r="I85" s="38">
        <v>2652</v>
      </c>
      <c r="J85" s="38">
        <v>2652</v>
      </c>
      <c r="K85" s="38" t="s">
        <v>120</v>
      </c>
      <c r="L85" s="38" t="s">
        <v>120</v>
      </c>
      <c r="M85" s="38" t="s">
        <v>120</v>
      </c>
      <c r="N85" s="38">
        <v>5.9516280000000004</v>
      </c>
      <c r="O85" s="38" t="s">
        <v>121</v>
      </c>
      <c r="P85" s="38" t="s">
        <v>121</v>
      </c>
      <c r="Q85" s="38" t="s">
        <v>120</v>
      </c>
      <c r="R85" s="38" t="s">
        <v>120</v>
      </c>
      <c r="S85" s="38" t="s">
        <v>120</v>
      </c>
      <c r="T85" s="38">
        <v>61.667695000000002</v>
      </c>
      <c r="U85" s="38">
        <v>85.116673000000006</v>
      </c>
      <c r="V85" s="38" t="s">
        <v>120</v>
      </c>
      <c r="W85" s="38" t="s">
        <v>120</v>
      </c>
      <c r="X85" s="38" t="s">
        <v>120</v>
      </c>
      <c r="Y85" s="38" t="s">
        <v>120</v>
      </c>
      <c r="Z85" s="38" t="s">
        <v>120</v>
      </c>
      <c r="AA85" s="38" t="s">
        <v>120</v>
      </c>
      <c r="AB85" s="38" t="s">
        <v>120</v>
      </c>
      <c r="AC85" s="38" t="s">
        <v>120</v>
      </c>
      <c r="AD85" s="38" t="s">
        <v>120</v>
      </c>
      <c r="AE85" s="38" t="s">
        <v>120</v>
      </c>
      <c r="AF85" s="38" t="s">
        <v>120</v>
      </c>
      <c r="AG85" s="38" t="s">
        <v>120</v>
      </c>
      <c r="AH85" s="38" t="s">
        <v>120</v>
      </c>
      <c r="AI85" s="38" t="s">
        <v>120</v>
      </c>
      <c r="AJ85" s="38" t="s">
        <v>120</v>
      </c>
      <c r="AK85" s="38" t="s">
        <v>120</v>
      </c>
      <c r="AL85" s="38" t="s">
        <v>120</v>
      </c>
      <c r="AM85" s="38" t="s">
        <v>120</v>
      </c>
      <c r="AN85" s="38" t="s">
        <v>120</v>
      </c>
      <c r="AO85" s="38" t="s">
        <v>120</v>
      </c>
      <c r="AP85" s="38" t="s">
        <v>120</v>
      </c>
      <c r="AQ85" s="38" t="s">
        <v>120</v>
      </c>
      <c r="AR85" s="38" t="s">
        <v>120</v>
      </c>
      <c r="AS85" s="38" t="s">
        <v>120</v>
      </c>
      <c r="AT85" s="38" t="s">
        <v>120</v>
      </c>
      <c r="AU85" s="38" t="s">
        <v>120</v>
      </c>
      <c r="AV85" s="38" t="s">
        <v>120</v>
      </c>
      <c r="AW85" s="38" t="s">
        <v>120</v>
      </c>
      <c r="AX85" s="38" t="s">
        <v>120</v>
      </c>
    </row>
    <row r="86" spans="1:50" x14ac:dyDescent="0.45">
      <c r="A86" s="38" t="s">
        <v>205</v>
      </c>
      <c r="B86" s="38">
        <v>87</v>
      </c>
      <c r="C86" s="38" t="s">
        <v>119</v>
      </c>
      <c r="D86" s="38">
        <v>87</v>
      </c>
      <c r="E86" s="38">
        <v>17950</v>
      </c>
      <c r="F86" s="38">
        <f t="shared" si="2"/>
        <v>17.95</v>
      </c>
      <c r="G86" s="38">
        <v>5219062.5</v>
      </c>
      <c r="H86" s="38">
        <f t="shared" si="3"/>
        <v>5.2190624999999997</v>
      </c>
      <c r="I86" s="38">
        <v>2653</v>
      </c>
      <c r="J86" s="38">
        <v>2653</v>
      </c>
      <c r="K86" s="38" t="s">
        <v>120</v>
      </c>
      <c r="L86" s="38" t="s">
        <v>120</v>
      </c>
      <c r="M86" s="38" t="s">
        <v>120</v>
      </c>
      <c r="N86" s="38">
        <v>6.987501</v>
      </c>
      <c r="O86" s="38" t="s">
        <v>121</v>
      </c>
      <c r="P86" s="38" t="s">
        <v>121</v>
      </c>
      <c r="Q86" s="38" t="s">
        <v>120</v>
      </c>
      <c r="R86" s="38" t="s">
        <v>120</v>
      </c>
      <c r="S86" s="38" t="s">
        <v>120</v>
      </c>
      <c r="T86" s="38">
        <v>54.876314999999998</v>
      </c>
      <c r="U86" s="38">
        <v>80.511207999999996</v>
      </c>
      <c r="V86" s="38" t="s">
        <v>120</v>
      </c>
      <c r="W86" s="38" t="s">
        <v>120</v>
      </c>
      <c r="X86" s="38" t="s">
        <v>120</v>
      </c>
      <c r="Y86" s="38" t="s">
        <v>120</v>
      </c>
      <c r="Z86" s="38" t="s">
        <v>120</v>
      </c>
      <c r="AA86" s="38" t="s">
        <v>120</v>
      </c>
      <c r="AB86" s="38" t="s">
        <v>120</v>
      </c>
      <c r="AC86" s="38" t="s">
        <v>120</v>
      </c>
      <c r="AD86" s="38" t="s">
        <v>120</v>
      </c>
      <c r="AE86" s="38" t="s">
        <v>120</v>
      </c>
      <c r="AF86" s="38" t="s">
        <v>120</v>
      </c>
      <c r="AG86" s="38" t="s">
        <v>120</v>
      </c>
      <c r="AH86" s="38" t="s">
        <v>120</v>
      </c>
      <c r="AI86" s="38" t="s">
        <v>120</v>
      </c>
      <c r="AJ86" s="38" t="s">
        <v>120</v>
      </c>
      <c r="AK86" s="38" t="s">
        <v>120</v>
      </c>
      <c r="AL86" s="38" t="s">
        <v>120</v>
      </c>
      <c r="AM86" s="38" t="s">
        <v>120</v>
      </c>
      <c r="AN86" s="38" t="s">
        <v>120</v>
      </c>
      <c r="AO86" s="38" t="s">
        <v>120</v>
      </c>
      <c r="AP86" s="38" t="s">
        <v>120</v>
      </c>
      <c r="AQ86" s="38" t="s">
        <v>120</v>
      </c>
      <c r="AR86" s="38" t="s">
        <v>120</v>
      </c>
      <c r="AS86" s="38" t="s">
        <v>120</v>
      </c>
      <c r="AT86" s="38" t="s">
        <v>120</v>
      </c>
      <c r="AU86" s="38" t="s">
        <v>120</v>
      </c>
      <c r="AV86" s="38" t="s">
        <v>120</v>
      </c>
      <c r="AW86" s="38" t="s">
        <v>120</v>
      </c>
      <c r="AX86" s="38" t="s">
        <v>120</v>
      </c>
    </row>
    <row r="87" spans="1:50" x14ac:dyDescent="0.45">
      <c r="A87" s="38" t="s">
        <v>206</v>
      </c>
      <c r="B87" s="38">
        <v>88</v>
      </c>
      <c r="C87" s="38" t="s">
        <v>119</v>
      </c>
      <c r="D87" s="38">
        <v>88</v>
      </c>
      <c r="E87" s="38">
        <v>38200</v>
      </c>
      <c r="F87" s="38">
        <f t="shared" si="2"/>
        <v>38.200000000000003</v>
      </c>
      <c r="G87" s="38">
        <v>9760000</v>
      </c>
      <c r="H87" s="38">
        <f t="shared" si="3"/>
        <v>9.76</v>
      </c>
      <c r="I87" s="38">
        <v>2654</v>
      </c>
      <c r="J87" s="38">
        <v>2654</v>
      </c>
      <c r="K87" s="38" t="s">
        <v>120</v>
      </c>
      <c r="L87" s="38" t="s">
        <v>120</v>
      </c>
      <c r="M87" s="38" t="s">
        <v>120</v>
      </c>
      <c r="N87" s="38">
        <v>8.1946820000000002</v>
      </c>
      <c r="O87" s="38" t="s">
        <v>121</v>
      </c>
      <c r="P87" s="38" t="s">
        <v>121</v>
      </c>
      <c r="Q87" s="38" t="s">
        <v>120</v>
      </c>
      <c r="R87" s="38" t="s">
        <v>120</v>
      </c>
      <c r="S87" s="38" t="s">
        <v>120</v>
      </c>
      <c r="T87" s="38">
        <v>68.476712000000006</v>
      </c>
      <c r="U87" s="38">
        <v>78.689666000000003</v>
      </c>
      <c r="V87" s="38" t="s">
        <v>120</v>
      </c>
      <c r="W87" s="38" t="s">
        <v>120</v>
      </c>
      <c r="X87" s="38" t="s">
        <v>120</v>
      </c>
      <c r="Y87" s="38" t="s">
        <v>120</v>
      </c>
      <c r="Z87" s="38" t="s">
        <v>120</v>
      </c>
      <c r="AA87" s="38" t="s">
        <v>120</v>
      </c>
      <c r="AB87" s="38" t="s">
        <v>120</v>
      </c>
      <c r="AC87" s="38" t="s">
        <v>120</v>
      </c>
      <c r="AD87" s="38" t="s">
        <v>120</v>
      </c>
      <c r="AE87" s="38" t="s">
        <v>120</v>
      </c>
      <c r="AF87" s="38" t="s">
        <v>120</v>
      </c>
      <c r="AG87" s="38" t="s">
        <v>120</v>
      </c>
      <c r="AH87" s="38" t="s">
        <v>120</v>
      </c>
      <c r="AI87" s="38" t="s">
        <v>120</v>
      </c>
      <c r="AJ87" s="38" t="s">
        <v>120</v>
      </c>
      <c r="AK87" s="38" t="s">
        <v>120</v>
      </c>
      <c r="AL87" s="38" t="s">
        <v>120</v>
      </c>
      <c r="AM87" s="38" t="s">
        <v>120</v>
      </c>
      <c r="AN87" s="38" t="s">
        <v>120</v>
      </c>
      <c r="AO87" s="38" t="s">
        <v>120</v>
      </c>
      <c r="AP87" s="38" t="s">
        <v>120</v>
      </c>
      <c r="AQ87" s="38" t="s">
        <v>120</v>
      </c>
      <c r="AR87" s="38" t="s">
        <v>120</v>
      </c>
      <c r="AS87" s="38" t="s">
        <v>120</v>
      </c>
      <c r="AT87" s="38" t="s">
        <v>120</v>
      </c>
      <c r="AU87" s="38" t="s">
        <v>120</v>
      </c>
      <c r="AV87" s="38" t="s">
        <v>120</v>
      </c>
      <c r="AW87" s="38" t="s">
        <v>120</v>
      </c>
      <c r="AX87" s="38" t="s">
        <v>120</v>
      </c>
    </row>
    <row r="88" spans="1:50" x14ac:dyDescent="0.45">
      <c r="A88" s="38" t="s">
        <v>207</v>
      </c>
      <c r="B88" s="38">
        <v>89</v>
      </c>
      <c r="C88" s="38" t="s">
        <v>119</v>
      </c>
      <c r="D88" s="38">
        <v>89</v>
      </c>
      <c r="E88" s="38">
        <v>29475</v>
      </c>
      <c r="F88" s="38">
        <f t="shared" si="2"/>
        <v>29.475000000000001</v>
      </c>
      <c r="G88" s="38">
        <v>9858593.75</v>
      </c>
      <c r="H88" s="38">
        <f t="shared" si="3"/>
        <v>9.8585937500000007</v>
      </c>
      <c r="I88" s="38">
        <v>2655</v>
      </c>
      <c r="J88" s="38">
        <v>2655</v>
      </c>
      <c r="K88" s="38" t="s">
        <v>120</v>
      </c>
      <c r="L88" s="38" t="s">
        <v>120</v>
      </c>
      <c r="M88" s="38" t="s">
        <v>120</v>
      </c>
      <c r="N88" s="38">
        <v>6.607011</v>
      </c>
      <c r="O88" s="38" t="s">
        <v>121</v>
      </c>
      <c r="P88" s="38" t="s">
        <v>121</v>
      </c>
      <c r="Q88" s="38" t="s">
        <v>120</v>
      </c>
      <c r="R88" s="38" t="s">
        <v>120</v>
      </c>
      <c r="S88" s="38" t="s">
        <v>120</v>
      </c>
      <c r="T88" s="38">
        <v>60.627301000000003</v>
      </c>
      <c r="U88" s="38">
        <v>79.047848999999999</v>
      </c>
      <c r="V88" s="38" t="s">
        <v>120</v>
      </c>
      <c r="W88" s="38" t="s">
        <v>120</v>
      </c>
      <c r="X88" s="38" t="s">
        <v>120</v>
      </c>
      <c r="Y88" s="38" t="s">
        <v>120</v>
      </c>
      <c r="Z88" s="38" t="s">
        <v>120</v>
      </c>
      <c r="AA88" s="38" t="s">
        <v>120</v>
      </c>
      <c r="AB88" s="38" t="s">
        <v>120</v>
      </c>
      <c r="AC88" s="38" t="s">
        <v>120</v>
      </c>
      <c r="AD88" s="38" t="s">
        <v>120</v>
      </c>
      <c r="AE88" s="38" t="s">
        <v>120</v>
      </c>
      <c r="AF88" s="38" t="s">
        <v>120</v>
      </c>
      <c r="AG88" s="38" t="s">
        <v>120</v>
      </c>
      <c r="AH88" s="38" t="s">
        <v>120</v>
      </c>
      <c r="AI88" s="38" t="s">
        <v>120</v>
      </c>
      <c r="AJ88" s="38" t="s">
        <v>120</v>
      </c>
      <c r="AK88" s="38" t="s">
        <v>120</v>
      </c>
      <c r="AL88" s="38" t="s">
        <v>120</v>
      </c>
      <c r="AM88" s="38" t="s">
        <v>120</v>
      </c>
      <c r="AN88" s="38" t="s">
        <v>120</v>
      </c>
      <c r="AO88" s="38" t="s">
        <v>120</v>
      </c>
      <c r="AP88" s="38" t="s">
        <v>120</v>
      </c>
      <c r="AQ88" s="38" t="s">
        <v>120</v>
      </c>
      <c r="AR88" s="38" t="s">
        <v>120</v>
      </c>
      <c r="AS88" s="38" t="s">
        <v>120</v>
      </c>
      <c r="AT88" s="38" t="s">
        <v>120</v>
      </c>
      <c r="AU88" s="38" t="s">
        <v>120</v>
      </c>
      <c r="AV88" s="38" t="s">
        <v>120</v>
      </c>
      <c r="AW88" s="38" t="s">
        <v>120</v>
      </c>
      <c r="AX88" s="38" t="s">
        <v>120</v>
      </c>
    </row>
    <row r="89" spans="1:50" x14ac:dyDescent="0.45">
      <c r="A89" s="38" t="s">
        <v>208</v>
      </c>
      <c r="B89" s="38">
        <v>90</v>
      </c>
      <c r="C89" s="38" t="s">
        <v>119</v>
      </c>
      <c r="D89" s="38">
        <v>90</v>
      </c>
      <c r="E89" s="38">
        <v>6275</v>
      </c>
      <c r="F89" s="38">
        <f t="shared" si="2"/>
        <v>6.2750000000000004</v>
      </c>
      <c r="G89" s="38">
        <v>735312.5</v>
      </c>
      <c r="H89" s="38">
        <f t="shared" si="3"/>
        <v>0.73531250000000004</v>
      </c>
      <c r="I89" s="38">
        <v>2656</v>
      </c>
      <c r="J89" s="38">
        <v>2656</v>
      </c>
      <c r="K89" s="38" t="s">
        <v>120</v>
      </c>
      <c r="L89" s="38" t="s">
        <v>120</v>
      </c>
      <c r="M89" s="38" t="s">
        <v>120</v>
      </c>
      <c r="N89" s="38">
        <v>6.4763450000000002</v>
      </c>
      <c r="O89" s="38" t="s">
        <v>121</v>
      </c>
      <c r="P89" s="38" t="s">
        <v>121</v>
      </c>
      <c r="Q89" s="38" t="s">
        <v>120</v>
      </c>
      <c r="R89" s="38" t="s">
        <v>120</v>
      </c>
      <c r="S89" s="38" t="s">
        <v>120</v>
      </c>
      <c r="T89" s="38">
        <v>62.958973999999998</v>
      </c>
      <c r="U89" s="38">
        <v>91.653204000000002</v>
      </c>
      <c r="V89" s="38" t="s">
        <v>120</v>
      </c>
      <c r="W89" s="38" t="s">
        <v>120</v>
      </c>
      <c r="X89" s="38" t="s">
        <v>120</v>
      </c>
      <c r="Y89" s="38" t="s">
        <v>120</v>
      </c>
      <c r="Z89" s="38" t="s">
        <v>120</v>
      </c>
      <c r="AA89" s="38" t="s">
        <v>120</v>
      </c>
      <c r="AB89" s="38" t="s">
        <v>120</v>
      </c>
      <c r="AC89" s="38" t="s">
        <v>120</v>
      </c>
      <c r="AD89" s="38" t="s">
        <v>120</v>
      </c>
      <c r="AE89" s="38" t="s">
        <v>120</v>
      </c>
      <c r="AF89" s="38" t="s">
        <v>120</v>
      </c>
      <c r="AG89" s="38" t="s">
        <v>120</v>
      </c>
      <c r="AH89" s="38" t="s">
        <v>120</v>
      </c>
      <c r="AI89" s="38" t="s">
        <v>120</v>
      </c>
      <c r="AJ89" s="38" t="s">
        <v>120</v>
      </c>
      <c r="AK89" s="38" t="s">
        <v>120</v>
      </c>
      <c r="AL89" s="38" t="s">
        <v>120</v>
      </c>
      <c r="AM89" s="38" t="s">
        <v>120</v>
      </c>
      <c r="AN89" s="38" t="s">
        <v>120</v>
      </c>
      <c r="AO89" s="38" t="s">
        <v>120</v>
      </c>
      <c r="AP89" s="38" t="s">
        <v>120</v>
      </c>
      <c r="AQ89" s="38" t="s">
        <v>120</v>
      </c>
      <c r="AR89" s="38" t="s">
        <v>120</v>
      </c>
      <c r="AS89" s="38" t="s">
        <v>120</v>
      </c>
      <c r="AT89" s="38" t="s">
        <v>120</v>
      </c>
      <c r="AU89" s="38" t="s">
        <v>120</v>
      </c>
      <c r="AV89" s="38" t="s">
        <v>120</v>
      </c>
      <c r="AW89" s="38" t="s">
        <v>120</v>
      </c>
      <c r="AX89" s="38" t="s">
        <v>120</v>
      </c>
    </row>
    <row r="90" spans="1:50" x14ac:dyDescent="0.45">
      <c r="A90" s="38" t="s">
        <v>209</v>
      </c>
      <c r="B90" s="38">
        <v>91</v>
      </c>
      <c r="C90" s="38" t="s">
        <v>119</v>
      </c>
      <c r="D90" s="38">
        <v>91</v>
      </c>
      <c r="E90" s="38">
        <v>19450</v>
      </c>
      <c r="F90" s="38">
        <f t="shared" si="2"/>
        <v>19.45</v>
      </c>
      <c r="G90" s="38">
        <v>4203281.25</v>
      </c>
      <c r="H90" s="38">
        <f t="shared" si="3"/>
        <v>4.2032812499999999</v>
      </c>
      <c r="I90" s="38">
        <v>2657</v>
      </c>
      <c r="J90" s="38">
        <v>2657</v>
      </c>
      <c r="K90" s="38" t="s">
        <v>120</v>
      </c>
      <c r="L90" s="38" t="s">
        <v>120</v>
      </c>
      <c r="M90" s="38" t="s">
        <v>120</v>
      </c>
      <c r="N90" s="38">
        <v>5.1193</v>
      </c>
      <c r="O90" s="38" t="s">
        <v>121</v>
      </c>
      <c r="P90" s="38" t="s">
        <v>121</v>
      </c>
      <c r="Q90" s="38" t="s">
        <v>120</v>
      </c>
      <c r="R90" s="38" t="s">
        <v>120</v>
      </c>
      <c r="S90" s="38" t="s">
        <v>120</v>
      </c>
      <c r="T90" s="38">
        <v>67</v>
      </c>
      <c r="U90" s="38">
        <v>89.751062000000005</v>
      </c>
      <c r="V90" s="38" t="s">
        <v>120</v>
      </c>
      <c r="W90" s="38" t="s">
        <v>120</v>
      </c>
      <c r="X90" s="38" t="s">
        <v>120</v>
      </c>
      <c r="Y90" s="38" t="s">
        <v>120</v>
      </c>
      <c r="Z90" s="38" t="s">
        <v>120</v>
      </c>
      <c r="AA90" s="38" t="s">
        <v>120</v>
      </c>
      <c r="AB90" s="38" t="s">
        <v>120</v>
      </c>
      <c r="AC90" s="38" t="s">
        <v>120</v>
      </c>
      <c r="AD90" s="38" t="s">
        <v>120</v>
      </c>
      <c r="AE90" s="38" t="s">
        <v>120</v>
      </c>
      <c r="AF90" s="38" t="s">
        <v>120</v>
      </c>
      <c r="AG90" s="38" t="s">
        <v>120</v>
      </c>
      <c r="AH90" s="38" t="s">
        <v>120</v>
      </c>
      <c r="AI90" s="38" t="s">
        <v>120</v>
      </c>
      <c r="AJ90" s="38" t="s">
        <v>120</v>
      </c>
      <c r="AK90" s="38" t="s">
        <v>120</v>
      </c>
      <c r="AL90" s="38" t="s">
        <v>120</v>
      </c>
      <c r="AM90" s="38" t="s">
        <v>120</v>
      </c>
      <c r="AN90" s="38" t="s">
        <v>120</v>
      </c>
      <c r="AO90" s="38" t="s">
        <v>120</v>
      </c>
      <c r="AP90" s="38" t="s">
        <v>120</v>
      </c>
      <c r="AQ90" s="38" t="s">
        <v>120</v>
      </c>
      <c r="AR90" s="38" t="s">
        <v>120</v>
      </c>
      <c r="AS90" s="38" t="s">
        <v>120</v>
      </c>
      <c r="AT90" s="38" t="s">
        <v>120</v>
      </c>
      <c r="AU90" s="38" t="s">
        <v>120</v>
      </c>
      <c r="AV90" s="38" t="s">
        <v>120</v>
      </c>
      <c r="AW90" s="38" t="s">
        <v>120</v>
      </c>
      <c r="AX90" s="38" t="s">
        <v>120</v>
      </c>
    </row>
    <row r="91" spans="1:50" x14ac:dyDescent="0.45">
      <c r="A91" s="38" t="s">
        <v>210</v>
      </c>
      <c r="B91" s="38">
        <v>92</v>
      </c>
      <c r="C91" s="38" t="s">
        <v>119</v>
      </c>
      <c r="D91" s="38">
        <v>92</v>
      </c>
      <c r="E91" s="38">
        <v>6700</v>
      </c>
      <c r="F91" s="38">
        <f t="shared" si="2"/>
        <v>6.7</v>
      </c>
      <c r="G91" s="38">
        <v>718750</v>
      </c>
      <c r="H91" s="38">
        <f t="shared" si="3"/>
        <v>0.71875</v>
      </c>
      <c r="I91" s="38">
        <v>2658</v>
      </c>
      <c r="J91" s="38">
        <v>2658</v>
      </c>
      <c r="K91" s="38" t="s">
        <v>120</v>
      </c>
      <c r="L91" s="38" t="s">
        <v>120</v>
      </c>
      <c r="M91" s="38" t="s">
        <v>120</v>
      </c>
      <c r="N91" s="38">
        <v>6.3954680000000002</v>
      </c>
      <c r="O91" s="38" t="s">
        <v>121</v>
      </c>
      <c r="P91" s="38" t="s">
        <v>121</v>
      </c>
      <c r="Q91" s="38" t="s">
        <v>120</v>
      </c>
      <c r="R91" s="38" t="s">
        <v>120</v>
      </c>
      <c r="S91" s="38" t="s">
        <v>120</v>
      </c>
      <c r="T91" s="38">
        <v>72.386126000000004</v>
      </c>
      <c r="U91" s="38">
        <v>79.901764999999997</v>
      </c>
      <c r="V91" s="38" t="s">
        <v>120</v>
      </c>
      <c r="W91" s="38" t="s">
        <v>120</v>
      </c>
      <c r="X91" s="38" t="s">
        <v>120</v>
      </c>
      <c r="Y91" s="38" t="s">
        <v>120</v>
      </c>
      <c r="Z91" s="38" t="s">
        <v>120</v>
      </c>
      <c r="AA91" s="38" t="s">
        <v>120</v>
      </c>
      <c r="AB91" s="38" t="s">
        <v>120</v>
      </c>
      <c r="AC91" s="38" t="s">
        <v>120</v>
      </c>
      <c r="AD91" s="38" t="s">
        <v>120</v>
      </c>
      <c r="AE91" s="38" t="s">
        <v>120</v>
      </c>
      <c r="AF91" s="38" t="s">
        <v>120</v>
      </c>
      <c r="AG91" s="38" t="s">
        <v>120</v>
      </c>
      <c r="AH91" s="38" t="s">
        <v>120</v>
      </c>
      <c r="AI91" s="38" t="s">
        <v>120</v>
      </c>
      <c r="AJ91" s="38" t="s">
        <v>120</v>
      </c>
      <c r="AK91" s="38" t="s">
        <v>120</v>
      </c>
      <c r="AL91" s="38" t="s">
        <v>120</v>
      </c>
      <c r="AM91" s="38" t="s">
        <v>120</v>
      </c>
      <c r="AN91" s="38" t="s">
        <v>120</v>
      </c>
      <c r="AO91" s="38" t="s">
        <v>120</v>
      </c>
      <c r="AP91" s="38" t="s">
        <v>120</v>
      </c>
      <c r="AQ91" s="38" t="s">
        <v>120</v>
      </c>
      <c r="AR91" s="38" t="s">
        <v>120</v>
      </c>
      <c r="AS91" s="38" t="s">
        <v>120</v>
      </c>
      <c r="AT91" s="38" t="s">
        <v>120</v>
      </c>
      <c r="AU91" s="38" t="s">
        <v>120</v>
      </c>
      <c r="AV91" s="38" t="s">
        <v>120</v>
      </c>
      <c r="AW91" s="38" t="s">
        <v>120</v>
      </c>
      <c r="AX91" s="38" t="s">
        <v>120</v>
      </c>
    </row>
    <row r="92" spans="1:50" x14ac:dyDescent="0.45">
      <c r="A92" s="38" t="s">
        <v>211</v>
      </c>
      <c r="B92" s="38">
        <v>93</v>
      </c>
      <c r="C92" s="38" t="s">
        <v>119</v>
      </c>
      <c r="D92" s="38">
        <v>93</v>
      </c>
      <c r="E92" s="38">
        <v>3625</v>
      </c>
      <c r="F92" s="38">
        <f t="shared" si="2"/>
        <v>3.625</v>
      </c>
      <c r="G92" s="38">
        <v>251562.5</v>
      </c>
      <c r="H92" s="38">
        <f t="shared" si="3"/>
        <v>0.25156250000000002</v>
      </c>
      <c r="I92" s="38">
        <v>2659</v>
      </c>
      <c r="J92" s="38">
        <v>2659</v>
      </c>
      <c r="K92" s="38" t="s">
        <v>120</v>
      </c>
      <c r="L92" s="38" t="s">
        <v>120</v>
      </c>
      <c r="M92" s="38" t="s">
        <v>120</v>
      </c>
      <c r="N92" s="38">
        <v>6.7186029999999999</v>
      </c>
      <c r="O92" s="38" t="s">
        <v>121</v>
      </c>
      <c r="P92" s="38" t="s">
        <v>121</v>
      </c>
      <c r="Q92" s="38" t="s">
        <v>120</v>
      </c>
      <c r="R92" s="38" t="s">
        <v>120</v>
      </c>
      <c r="S92" s="38" t="s">
        <v>120</v>
      </c>
      <c r="T92" s="38">
        <v>67</v>
      </c>
      <c r="U92" s="38">
        <v>93.147015999999994</v>
      </c>
      <c r="V92" s="38" t="s">
        <v>120</v>
      </c>
      <c r="W92" s="38" t="s">
        <v>120</v>
      </c>
      <c r="X92" s="38" t="s">
        <v>120</v>
      </c>
      <c r="Y92" s="38" t="s">
        <v>120</v>
      </c>
      <c r="Z92" s="38" t="s">
        <v>120</v>
      </c>
      <c r="AA92" s="38" t="s">
        <v>120</v>
      </c>
      <c r="AB92" s="38" t="s">
        <v>120</v>
      </c>
      <c r="AC92" s="38" t="s">
        <v>120</v>
      </c>
      <c r="AD92" s="38" t="s">
        <v>120</v>
      </c>
      <c r="AE92" s="38" t="s">
        <v>120</v>
      </c>
      <c r="AF92" s="38" t="s">
        <v>120</v>
      </c>
      <c r="AG92" s="38" t="s">
        <v>120</v>
      </c>
      <c r="AH92" s="38" t="s">
        <v>120</v>
      </c>
      <c r="AI92" s="38" t="s">
        <v>120</v>
      </c>
      <c r="AJ92" s="38" t="s">
        <v>120</v>
      </c>
      <c r="AK92" s="38" t="s">
        <v>120</v>
      </c>
      <c r="AL92" s="38" t="s">
        <v>120</v>
      </c>
      <c r="AM92" s="38" t="s">
        <v>120</v>
      </c>
      <c r="AN92" s="38" t="s">
        <v>120</v>
      </c>
      <c r="AO92" s="38" t="s">
        <v>120</v>
      </c>
      <c r="AP92" s="38" t="s">
        <v>120</v>
      </c>
      <c r="AQ92" s="38" t="s">
        <v>120</v>
      </c>
      <c r="AR92" s="38" t="s">
        <v>120</v>
      </c>
      <c r="AS92" s="38" t="s">
        <v>120</v>
      </c>
      <c r="AT92" s="38" t="s">
        <v>120</v>
      </c>
      <c r="AU92" s="38" t="s">
        <v>120</v>
      </c>
      <c r="AV92" s="38" t="s">
        <v>120</v>
      </c>
      <c r="AW92" s="38" t="s">
        <v>120</v>
      </c>
      <c r="AX92" s="38" t="s">
        <v>120</v>
      </c>
    </row>
    <row r="93" spans="1:50" x14ac:dyDescent="0.45">
      <c r="A93" s="38" t="s">
        <v>212</v>
      </c>
      <c r="B93" s="38">
        <v>94</v>
      </c>
      <c r="C93" s="38" t="s">
        <v>119</v>
      </c>
      <c r="D93" s="38">
        <v>94</v>
      </c>
      <c r="E93" s="38">
        <v>55175</v>
      </c>
      <c r="F93" s="38">
        <f t="shared" si="2"/>
        <v>55.174999999999997</v>
      </c>
      <c r="G93" s="38">
        <v>31942500</v>
      </c>
      <c r="H93" s="38">
        <f t="shared" si="3"/>
        <v>31.942499999999999</v>
      </c>
      <c r="I93" s="38">
        <v>2660</v>
      </c>
      <c r="J93" s="38">
        <v>2660</v>
      </c>
      <c r="K93" s="38" t="s">
        <v>120</v>
      </c>
      <c r="L93" s="38" t="s">
        <v>120</v>
      </c>
      <c r="M93" s="38" t="s">
        <v>120</v>
      </c>
      <c r="N93" s="38">
        <v>25.405556000000001</v>
      </c>
      <c r="O93" s="38" t="s">
        <v>121</v>
      </c>
      <c r="P93" s="38" t="s">
        <v>121</v>
      </c>
      <c r="Q93" s="38" t="s">
        <v>120</v>
      </c>
      <c r="R93" s="38" t="s">
        <v>120</v>
      </c>
      <c r="S93" s="38" t="s">
        <v>120</v>
      </c>
      <c r="T93" s="38">
        <v>72.390029999999996</v>
      </c>
      <c r="U93" s="38">
        <v>76.826407000000003</v>
      </c>
      <c r="V93" s="38" t="s">
        <v>120</v>
      </c>
      <c r="W93" s="38" t="s">
        <v>120</v>
      </c>
      <c r="X93" s="38" t="s">
        <v>120</v>
      </c>
      <c r="Y93" s="38" t="s">
        <v>120</v>
      </c>
      <c r="Z93" s="38" t="s">
        <v>120</v>
      </c>
      <c r="AA93" s="38" t="s">
        <v>120</v>
      </c>
      <c r="AB93" s="38" t="s">
        <v>120</v>
      </c>
      <c r="AC93" s="38" t="s">
        <v>120</v>
      </c>
      <c r="AD93" s="38" t="s">
        <v>120</v>
      </c>
      <c r="AE93" s="38" t="s">
        <v>120</v>
      </c>
      <c r="AF93" s="38" t="s">
        <v>120</v>
      </c>
      <c r="AG93" s="38" t="s">
        <v>120</v>
      </c>
      <c r="AH93" s="38" t="s">
        <v>120</v>
      </c>
      <c r="AI93" s="38" t="s">
        <v>120</v>
      </c>
      <c r="AJ93" s="38" t="s">
        <v>120</v>
      </c>
      <c r="AK93" s="38" t="s">
        <v>120</v>
      </c>
      <c r="AL93" s="38" t="s">
        <v>120</v>
      </c>
      <c r="AM93" s="38" t="s">
        <v>120</v>
      </c>
      <c r="AN93" s="38" t="s">
        <v>120</v>
      </c>
      <c r="AO93" s="38" t="s">
        <v>120</v>
      </c>
      <c r="AP93" s="38" t="s">
        <v>120</v>
      </c>
      <c r="AQ93" s="38" t="s">
        <v>120</v>
      </c>
      <c r="AR93" s="38" t="s">
        <v>120</v>
      </c>
      <c r="AS93" s="38" t="s">
        <v>120</v>
      </c>
      <c r="AT93" s="38" t="s">
        <v>120</v>
      </c>
      <c r="AU93" s="38" t="s">
        <v>120</v>
      </c>
      <c r="AV93" s="38" t="s">
        <v>120</v>
      </c>
      <c r="AW93" s="38" t="s">
        <v>120</v>
      </c>
      <c r="AX93" s="38" t="s">
        <v>120</v>
      </c>
    </row>
    <row r="94" spans="1:50" x14ac:dyDescent="0.45">
      <c r="A94" s="38" t="s">
        <v>213</v>
      </c>
      <c r="B94" s="38">
        <v>96</v>
      </c>
      <c r="C94" s="38" t="s">
        <v>119</v>
      </c>
      <c r="D94" s="38">
        <v>96</v>
      </c>
      <c r="E94" s="38">
        <v>19425</v>
      </c>
      <c r="F94" s="38">
        <f t="shared" si="2"/>
        <v>19.425000000000001</v>
      </c>
      <c r="G94" s="38">
        <v>4948437.5</v>
      </c>
      <c r="H94" s="38">
        <f t="shared" si="3"/>
        <v>4.9484374999999998</v>
      </c>
      <c r="I94" s="38">
        <v>2662</v>
      </c>
      <c r="J94" s="38">
        <v>2662</v>
      </c>
      <c r="K94" s="38" t="s">
        <v>120</v>
      </c>
      <c r="L94" s="38" t="s">
        <v>120</v>
      </c>
      <c r="M94" s="38" t="s">
        <v>120</v>
      </c>
      <c r="N94" s="38">
        <v>5.5637160000000003</v>
      </c>
      <c r="O94" s="38" t="s">
        <v>121</v>
      </c>
      <c r="P94" s="38" t="s">
        <v>121</v>
      </c>
      <c r="Q94" s="38" t="s">
        <v>120</v>
      </c>
      <c r="R94" s="38" t="s">
        <v>120</v>
      </c>
      <c r="S94" s="38" t="s">
        <v>120</v>
      </c>
      <c r="T94" s="38">
        <v>65.204632000000004</v>
      </c>
      <c r="U94" s="38">
        <v>94.027590000000004</v>
      </c>
      <c r="V94" s="38" t="s">
        <v>120</v>
      </c>
      <c r="W94" s="38" t="s">
        <v>120</v>
      </c>
      <c r="X94" s="38" t="s">
        <v>120</v>
      </c>
      <c r="Y94" s="38" t="s">
        <v>120</v>
      </c>
      <c r="Z94" s="38" t="s">
        <v>120</v>
      </c>
      <c r="AA94" s="38" t="s">
        <v>120</v>
      </c>
      <c r="AB94" s="38" t="s">
        <v>120</v>
      </c>
      <c r="AC94" s="38" t="s">
        <v>120</v>
      </c>
      <c r="AD94" s="38" t="s">
        <v>120</v>
      </c>
      <c r="AE94" s="38" t="s">
        <v>120</v>
      </c>
      <c r="AF94" s="38" t="s">
        <v>120</v>
      </c>
      <c r="AG94" s="38" t="s">
        <v>120</v>
      </c>
      <c r="AH94" s="38" t="s">
        <v>120</v>
      </c>
      <c r="AI94" s="38" t="s">
        <v>120</v>
      </c>
      <c r="AJ94" s="38" t="s">
        <v>120</v>
      </c>
      <c r="AK94" s="38" t="s">
        <v>120</v>
      </c>
      <c r="AL94" s="38" t="s">
        <v>120</v>
      </c>
      <c r="AM94" s="38" t="s">
        <v>120</v>
      </c>
      <c r="AN94" s="38" t="s">
        <v>120</v>
      </c>
      <c r="AO94" s="38" t="s">
        <v>120</v>
      </c>
      <c r="AP94" s="38" t="s">
        <v>120</v>
      </c>
      <c r="AQ94" s="38" t="s">
        <v>120</v>
      </c>
      <c r="AR94" s="38" t="s">
        <v>120</v>
      </c>
      <c r="AS94" s="38" t="s">
        <v>120</v>
      </c>
      <c r="AT94" s="38" t="s">
        <v>120</v>
      </c>
      <c r="AU94" s="38" t="s">
        <v>120</v>
      </c>
      <c r="AV94" s="38" t="s">
        <v>120</v>
      </c>
      <c r="AW94" s="38" t="s">
        <v>120</v>
      </c>
      <c r="AX94" s="38" t="s">
        <v>120</v>
      </c>
    </row>
    <row r="95" spans="1:50" x14ac:dyDescent="0.45">
      <c r="A95" s="38" t="s">
        <v>214</v>
      </c>
      <c r="B95" s="38">
        <v>97</v>
      </c>
      <c r="C95" s="38" t="s">
        <v>119</v>
      </c>
      <c r="D95" s="38">
        <v>97</v>
      </c>
      <c r="E95" s="38">
        <v>24000</v>
      </c>
      <c r="F95" s="38">
        <f t="shared" si="2"/>
        <v>24</v>
      </c>
      <c r="G95" s="38">
        <v>9543281.25</v>
      </c>
      <c r="H95" s="38">
        <f t="shared" si="3"/>
        <v>9.5432812499999997</v>
      </c>
      <c r="I95" s="38">
        <v>2663</v>
      </c>
      <c r="J95" s="38">
        <v>2663</v>
      </c>
      <c r="K95" s="38" t="s">
        <v>120</v>
      </c>
      <c r="L95" s="38" t="s">
        <v>120</v>
      </c>
      <c r="M95" s="38" t="s">
        <v>120</v>
      </c>
      <c r="N95" s="38">
        <v>6.1271139999999997</v>
      </c>
      <c r="O95" s="38" t="s">
        <v>121</v>
      </c>
      <c r="P95" s="38" t="s">
        <v>121</v>
      </c>
      <c r="Q95" s="38" t="s">
        <v>120</v>
      </c>
      <c r="R95" s="38" t="s">
        <v>120</v>
      </c>
      <c r="S95" s="38" t="s">
        <v>120</v>
      </c>
      <c r="T95" s="38">
        <v>65.021535</v>
      </c>
      <c r="U95" s="38">
        <v>95.882819999999995</v>
      </c>
      <c r="V95" s="38" t="s">
        <v>120</v>
      </c>
      <c r="W95" s="38" t="s">
        <v>120</v>
      </c>
      <c r="X95" s="38" t="s">
        <v>120</v>
      </c>
      <c r="Y95" s="38" t="s">
        <v>120</v>
      </c>
      <c r="Z95" s="38" t="s">
        <v>120</v>
      </c>
      <c r="AA95" s="38" t="s">
        <v>120</v>
      </c>
      <c r="AB95" s="38" t="s">
        <v>120</v>
      </c>
      <c r="AC95" s="38" t="s">
        <v>120</v>
      </c>
      <c r="AD95" s="38" t="s">
        <v>120</v>
      </c>
      <c r="AE95" s="38" t="s">
        <v>120</v>
      </c>
      <c r="AF95" s="38" t="s">
        <v>120</v>
      </c>
      <c r="AG95" s="38" t="s">
        <v>120</v>
      </c>
      <c r="AH95" s="38" t="s">
        <v>120</v>
      </c>
      <c r="AI95" s="38" t="s">
        <v>120</v>
      </c>
      <c r="AJ95" s="38" t="s">
        <v>120</v>
      </c>
      <c r="AK95" s="38" t="s">
        <v>120</v>
      </c>
      <c r="AL95" s="38" t="s">
        <v>120</v>
      </c>
      <c r="AM95" s="38" t="s">
        <v>120</v>
      </c>
      <c r="AN95" s="38" t="s">
        <v>120</v>
      </c>
      <c r="AO95" s="38" t="s">
        <v>120</v>
      </c>
      <c r="AP95" s="38" t="s">
        <v>120</v>
      </c>
      <c r="AQ95" s="38" t="s">
        <v>120</v>
      </c>
      <c r="AR95" s="38" t="s">
        <v>120</v>
      </c>
      <c r="AS95" s="38" t="s">
        <v>120</v>
      </c>
      <c r="AT95" s="38" t="s">
        <v>120</v>
      </c>
      <c r="AU95" s="38" t="s">
        <v>120</v>
      </c>
      <c r="AV95" s="38" t="s">
        <v>120</v>
      </c>
      <c r="AW95" s="38" t="s">
        <v>120</v>
      </c>
      <c r="AX95" s="38" t="s">
        <v>120</v>
      </c>
    </row>
    <row r="96" spans="1:50" x14ac:dyDescent="0.45">
      <c r="A96" s="38" t="s">
        <v>215</v>
      </c>
      <c r="B96" s="38">
        <v>98</v>
      </c>
      <c r="C96" s="38" t="s">
        <v>119</v>
      </c>
      <c r="D96" s="38">
        <v>98</v>
      </c>
      <c r="E96" s="38">
        <v>20150</v>
      </c>
      <c r="F96" s="38">
        <f t="shared" si="2"/>
        <v>20.149999999999999</v>
      </c>
      <c r="G96" s="38">
        <v>7172500</v>
      </c>
      <c r="H96" s="38">
        <f t="shared" si="3"/>
        <v>7.1725000000000003</v>
      </c>
      <c r="I96" s="38">
        <v>2664</v>
      </c>
      <c r="J96" s="38">
        <v>2664</v>
      </c>
      <c r="K96" s="38" t="s">
        <v>120</v>
      </c>
      <c r="L96" s="38" t="s">
        <v>120</v>
      </c>
      <c r="M96" s="38" t="s">
        <v>120</v>
      </c>
      <c r="N96" s="38">
        <v>8.0448789999999999</v>
      </c>
      <c r="O96" s="38" t="s">
        <v>121</v>
      </c>
      <c r="P96" s="38" t="s">
        <v>121</v>
      </c>
      <c r="Q96" s="38" t="s">
        <v>120</v>
      </c>
      <c r="R96" s="38" t="s">
        <v>120</v>
      </c>
      <c r="S96" s="38" t="s">
        <v>120</v>
      </c>
      <c r="T96" s="38">
        <v>52.461053</v>
      </c>
      <c r="U96" s="38">
        <v>78.442937999999998</v>
      </c>
      <c r="V96" s="38" t="s">
        <v>120</v>
      </c>
      <c r="W96" s="38" t="s">
        <v>120</v>
      </c>
      <c r="X96" s="38" t="s">
        <v>120</v>
      </c>
      <c r="Y96" s="38" t="s">
        <v>120</v>
      </c>
      <c r="Z96" s="38" t="s">
        <v>120</v>
      </c>
      <c r="AA96" s="38" t="s">
        <v>120</v>
      </c>
      <c r="AB96" s="38" t="s">
        <v>120</v>
      </c>
      <c r="AC96" s="38" t="s">
        <v>120</v>
      </c>
      <c r="AD96" s="38" t="s">
        <v>120</v>
      </c>
      <c r="AE96" s="38" t="s">
        <v>120</v>
      </c>
      <c r="AF96" s="38" t="s">
        <v>120</v>
      </c>
      <c r="AG96" s="38" t="s">
        <v>120</v>
      </c>
      <c r="AH96" s="38" t="s">
        <v>120</v>
      </c>
      <c r="AI96" s="38" t="s">
        <v>120</v>
      </c>
      <c r="AJ96" s="38" t="s">
        <v>120</v>
      </c>
      <c r="AK96" s="38" t="s">
        <v>120</v>
      </c>
      <c r="AL96" s="38" t="s">
        <v>120</v>
      </c>
      <c r="AM96" s="38" t="s">
        <v>120</v>
      </c>
      <c r="AN96" s="38" t="s">
        <v>120</v>
      </c>
      <c r="AO96" s="38" t="s">
        <v>120</v>
      </c>
      <c r="AP96" s="38" t="s">
        <v>120</v>
      </c>
      <c r="AQ96" s="38" t="s">
        <v>120</v>
      </c>
      <c r="AR96" s="38" t="s">
        <v>120</v>
      </c>
      <c r="AS96" s="38" t="s">
        <v>120</v>
      </c>
      <c r="AT96" s="38" t="s">
        <v>120</v>
      </c>
      <c r="AU96" s="38" t="s">
        <v>120</v>
      </c>
      <c r="AV96" s="38" t="s">
        <v>120</v>
      </c>
      <c r="AW96" s="38" t="s">
        <v>120</v>
      </c>
      <c r="AX96" s="38" t="s">
        <v>120</v>
      </c>
    </row>
    <row r="97" spans="1:50" x14ac:dyDescent="0.45">
      <c r="A97" s="38" t="s">
        <v>216</v>
      </c>
      <c r="B97" s="38">
        <v>99</v>
      </c>
      <c r="C97" s="38" t="s">
        <v>119</v>
      </c>
      <c r="D97" s="38">
        <v>99</v>
      </c>
      <c r="E97" s="38">
        <v>27825</v>
      </c>
      <c r="F97" s="38">
        <f t="shared" si="2"/>
        <v>27.824999999999999</v>
      </c>
      <c r="G97" s="38">
        <v>5262031.25</v>
      </c>
      <c r="H97" s="38">
        <f t="shared" si="3"/>
        <v>5.2620312499999997</v>
      </c>
      <c r="I97" s="38">
        <v>2665</v>
      </c>
      <c r="J97" s="38">
        <v>2665</v>
      </c>
      <c r="K97" s="38" t="s">
        <v>120</v>
      </c>
      <c r="L97" s="38" t="s">
        <v>120</v>
      </c>
      <c r="M97" s="38" t="s">
        <v>120</v>
      </c>
      <c r="N97" s="38">
        <v>17.142901999999999</v>
      </c>
      <c r="O97" s="38" t="s">
        <v>121</v>
      </c>
      <c r="P97" s="38" t="s">
        <v>121</v>
      </c>
      <c r="Q97" s="38" t="s">
        <v>120</v>
      </c>
      <c r="R97" s="38" t="s">
        <v>120</v>
      </c>
      <c r="S97" s="38" t="s">
        <v>120</v>
      </c>
      <c r="T97" s="38">
        <v>55.522834000000003</v>
      </c>
      <c r="U97" s="38">
        <v>76.194827000000004</v>
      </c>
      <c r="V97" s="38" t="s">
        <v>120</v>
      </c>
      <c r="W97" s="38" t="s">
        <v>120</v>
      </c>
      <c r="X97" s="38" t="s">
        <v>120</v>
      </c>
      <c r="Y97" s="38" t="s">
        <v>120</v>
      </c>
      <c r="Z97" s="38" t="s">
        <v>120</v>
      </c>
      <c r="AA97" s="38" t="s">
        <v>120</v>
      </c>
      <c r="AB97" s="38" t="s">
        <v>120</v>
      </c>
      <c r="AC97" s="38" t="s">
        <v>120</v>
      </c>
      <c r="AD97" s="38" t="s">
        <v>120</v>
      </c>
      <c r="AE97" s="38" t="s">
        <v>120</v>
      </c>
      <c r="AF97" s="38" t="s">
        <v>120</v>
      </c>
      <c r="AG97" s="38" t="s">
        <v>120</v>
      </c>
      <c r="AH97" s="38" t="s">
        <v>120</v>
      </c>
      <c r="AI97" s="38" t="s">
        <v>120</v>
      </c>
      <c r="AJ97" s="38" t="s">
        <v>120</v>
      </c>
      <c r="AK97" s="38" t="s">
        <v>120</v>
      </c>
      <c r="AL97" s="38" t="s">
        <v>120</v>
      </c>
      <c r="AM97" s="38" t="s">
        <v>120</v>
      </c>
      <c r="AN97" s="38" t="s">
        <v>120</v>
      </c>
      <c r="AO97" s="38" t="s">
        <v>120</v>
      </c>
      <c r="AP97" s="38" t="s">
        <v>120</v>
      </c>
      <c r="AQ97" s="38" t="s">
        <v>120</v>
      </c>
      <c r="AR97" s="38" t="s">
        <v>120</v>
      </c>
      <c r="AS97" s="38" t="s">
        <v>120</v>
      </c>
      <c r="AT97" s="38" t="s">
        <v>120</v>
      </c>
      <c r="AU97" s="38" t="s">
        <v>120</v>
      </c>
      <c r="AV97" s="38" t="s">
        <v>120</v>
      </c>
      <c r="AW97" s="38" t="s">
        <v>120</v>
      </c>
      <c r="AX97" s="38" t="s">
        <v>120</v>
      </c>
    </row>
    <row r="98" spans="1:50" x14ac:dyDescent="0.45">
      <c r="A98" s="38" t="s">
        <v>217</v>
      </c>
      <c r="B98" s="38">
        <v>100</v>
      </c>
      <c r="C98" s="38" t="s">
        <v>119</v>
      </c>
      <c r="D98" s="38">
        <v>100</v>
      </c>
      <c r="E98" s="38">
        <v>18350</v>
      </c>
      <c r="F98" s="38">
        <f t="shared" si="2"/>
        <v>18.350000000000001</v>
      </c>
      <c r="G98" s="38">
        <v>5258906.25</v>
      </c>
      <c r="H98" s="38">
        <f t="shared" si="3"/>
        <v>5.2589062499999999</v>
      </c>
      <c r="I98" s="38">
        <v>2666</v>
      </c>
      <c r="J98" s="38">
        <v>2666</v>
      </c>
      <c r="K98" s="38" t="s">
        <v>120</v>
      </c>
      <c r="L98" s="38" t="s">
        <v>120</v>
      </c>
      <c r="M98" s="38" t="s">
        <v>120</v>
      </c>
      <c r="N98" s="38">
        <v>9.7511019999999995</v>
      </c>
      <c r="O98" s="38" t="s">
        <v>121</v>
      </c>
      <c r="P98" s="38" t="s">
        <v>121</v>
      </c>
      <c r="Q98" s="38" t="s">
        <v>120</v>
      </c>
      <c r="R98" s="38" t="s">
        <v>120</v>
      </c>
      <c r="S98" s="38" t="s">
        <v>120</v>
      </c>
      <c r="T98" s="38">
        <v>49.518352</v>
      </c>
      <c r="U98" s="38">
        <v>76.426888000000005</v>
      </c>
      <c r="V98" s="38" t="s">
        <v>120</v>
      </c>
      <c r="W98" s="38" t="s">
        <v>120</v>
      </c>
      <c r="X98" s="38" t="s">
        <v>120</v>
      </c>
      <c r="Y98" s="38" t="s">
        <v>120</v>
      </c>
      <c r="Z98" s="38" t="s">
        <v>120</v>
      </c>
      <c r="AA98" s="38" t="s">
        <v>120</v>
      </c>
      <c r="AB98" s="38" t="s">
        <v>120</v>
      </c>
      <c r="AC98" s="38" t="s">
        <v>120</v>
      </c>
      <c r="AD98" s="38" t="s">
        <v>120</v>
      </c>
      <c r="AE98" s="38" t="s">
        <v>120</v>
      </c>
      <c r="AF98" s="38" t="s">
        <v>120</v>
      </c>
      <c r="AG98" s="38" t="s">
        <v>120</v>
      </c>
      <c r="AH98" s="38" t="s">
        <v>120</v>
      </c>
      <c r="AI98" s="38" t="s">
        <v>120</v>
      </c>
      <c r="AJ98" s="38" t="s">
        <v>120</v>
      </c>
      <c r="AK98" s="38" t="s">
        <v>120</v>
      </c>
      <c r="AL98" s="38" t="s">
        <v>120</v>
      </c>
      <c r="AM98" s="38" t="s">
        <v>120</v>
      </c>
      <c r="AN98" s="38" t="s">
        <v>120</v>
      </c>
      <c r="AO98" s="38" t="s">
        <v>120</v>
      </c>
      <c r="AP98" s="38" t="s">
        <v>120</v>
      </c>
      <c r="AQ98" s="38" t="s">
        <v>120</v>
      </c>
      <c r="AR98" s="38" t="s">
        <v>120</v>
      </c>
      <c r="AS98" s="38" t="s">
        <v>120</v>
      </c>
      <c r="AT98" s="38" t="s">
        <v>120</v>
      </c>
      <c r="AU98" s="38" t="s">
        <v>120</v>
      </c>
      <c r="AV98" s="38" t="s">
        <v>120</v>
      </c>
      <c r="AW98" s="38" t="s">
        <v>120</v>
      </c>
      <c r="AX98" s="38" t="s">
        <v>120</v>
      </c>
    </row>
    <row r="99" spans="1:50" x14ac:dyDescent="0.45">
      <c r="A99" s="38" t="s">
        <v>218</v>
      </c>
      <c r="B99" s="38">
        <v>101</v>
      </c>
      <c r="C99" s="38" t="s">
        <v>119</v>
      </c>
      <c r="D99" s="38">
        <v>101</v>
      </c>
      <c r="E99" s="38">
        <v>24350</v>
      </c>
      <c r="F99" s="38">
        <f t="shared" si="2"/>
        <v>24.35</v>
      </c>
      <c r="G99" s="38">
        <v>6972656.25</v>
      </c>
      <c r="H99" s="38">
        <f t="shared" si="3"/>
        <v>6.97265625</v>
      </c>
      <c r="I99" s="38">
        <v>2667</v>
      </c>
      <c r="J99" s="38">
        <v>2667</v>
      </c>
      <c r="K99" s="38" t="s">
        <v>120</v>
      </c>
      <c r="L99" s="38" t="s">
        <v>120</v>
      </c>
      <c r="M99" s="38" t="s">
        <v>120</v>
      </c>
      <c r="N99" s="38">
        <v>6.383076</v>
      </c>
      <c r="O99" s="38" t="s">
        <v>121</v>
      </c>
      <c r="P99" s="38" t="s">
        <v>121</v>
      </c>
      <c r="Q99" s="38" t="s">
        <v>120</v>
      </c>
      <c r="R99" s="38" t="s">
        <v>120</v>
      </c>
      <c r="S99" s="38" t="s">
        <v>120</v>
      </c>
      <c r="T99" s="38">
        <v>63.820019000000002</v>
      </c>
      <c r="U99" s="38">
        <v>90.524017000000001</v>
      </c>
      <c r="V99" s="38" t="s">
        <v>120</v>
      </c>
      <c r="W99" s="38" t="s">
        <v>120</v>
      </c>
      <c r="X99" s="38" t="s">
        <v>120</v>
      </c>
      <c r="Y99" s="38" t="s">
        <v>120</v>
      </c>
      <c r="Z99" s="38" t="s">
        <v>120</v>
      </c>
      <c r="AA99" s="38" t="s">
        <v>120</v>
      </c>
      <c r="AB99" s="38" t="s">
        <v>120</v>
      </c>
      <c r="AC99" s="38" t="s">
        <v>120</v>
      </c>
      <c r="AD99" s="38" t="s">
        <v>120</v>
      </c>
      <c r="AE99" s="38" t="s">
        <v>120</v>
      </c>
      <c r="AF99" s="38" t="s">
        <v>120</v>
      </c>
      <c r="AG99" s="38" t="s">
        <v>120</v>
      </c>
      <c r="AH99" s="38" t="s">
        <v>120</v>
      </c>
      <c r="AI99" s="38" t="s">
        <v>120</v>
      </c>
      <c r="AJ99" s="38" t="s">
        <v>120</v>
      </c>
      <c r="AK99" s="38" t="s">
        <v>120</v>
      </c>
      <c r="AL99" s="38" t="s">
        <v>120</v>
      </c>
      <c r="AM99" s="38" t="s">
        <v>120</v>
      </c>
      <c r="AN99" s="38" t="s">
        <v>120</v>
      </c>
      <c r="AO99" s="38" t="s">
        <v>120</v>
      </c>
      <c r="AP99" s="38" t="s">
        <v>120</v>
      </c>
      <c r="AQ99" s="38" t="s">
        <v>120</v>
      </c>
      <c r="AR99" s="38" t="s">
        <v>120</v>
      </c>
      <c r="AS99" s="38" t="s">
        <v>120</v>
      </c>
      <c r="AT99" s="38" t="s">
        <v>120</v>
      </c>
      <c r="AU99" s="38" t="s">
        <v>120</v>
      </c>
      <c r="AV99" s="38" t="s">
        <v>120</v>
      </c>
      <c r="AW99" s="38" t="s">
        <v>120</v>
      </c>
      <c r="AX99" s="38" t="s">
        <v>120</v>
      </c>
    </row>
    <row r="100" spans="1:50" x14ac:dyDescent="0.45">
      <c r="A100" s="38" t="s">
        <v>219</v>
      </c>
      <c r="B100" s="38">
        <v>102</v>
      </c>
      <c r="C100" s="38" t="s">
        <v>119</v>
      </c>
      <c r="D100" s="38">
        <v>102</v>
      </c>
      <c r="E100" s="38">
        <v>850</v>
      </c>
      <c r="F100" s="38">
        <f t="shared" si="2"/>
        <v>0.85</v>
      </c>
      <c r="G100" s="38">
        <v>21562.5</v>
      </c>
      <c r="H100" s="38">
        <f t="shared" si="3"/>
        <v>2.1562499999999998E-2</v>
      </c>
      <c r="I100" s="38">
        <v>2668</v>
      </c>
      <c r="J100" s="38">
        <v>2668</v>
      </c>
      <c r="K100" s="38" t="s">
        <v>120</v>
      </c>
      <c r="L100" s="38" t="s">
        <v>120</v>
      </c>
      <c r="M100" s="38" t="s">
        <v>120</v>
      </c>
      <c r="N100" s="38">
        <v>5.1482609999999998</v>
      </c>
      <c r="O100" s="38" t="s">
        <v>121</v>
      </c>
      <c r="P100" s="38" t="s">
        <v>121</v>
      </c>
      <c r="Q100" s="38" t="s">
        <v>120</v>
      </c>
      <c r="R100" s="38" t="s">
        <v>120</v>
      </c>
      <c r="S100" s="38" t="s">
        <v>120</v>
      </c>
      <c r="T100" s="38">
        <v>67</v>
      </c>
      <c r="U100" s="38">
        <v>94.663064000000006</v>
      </c>
      <c r="V100" s="38" t="s">
        <v>120</v>
      </c>
      <c r="W100" s="38" t="s">
        <v>120</v>
      </c>
      <c r="X100" s="38" t="s">
        <v>120</v>
      </c>
      <c r="Y100" s="38" t="s">
        <v>120</v>
      </c>
      <c r="Z100" s="38" t="s">
        <v>120</v>
      </c>
      <c r="AA100" s="38" t="s">
        <v>120</v>
      </c>
      <c r="AB100" s="38" t="s">
        <v>120</v>
      </c>
      <c r="AC100" s="38" t="s">
        <v>120</v>
      </c>
      <c r="AD100" s="38" t="s">
        <v>120</v>
      </c>
      <c r="AE100" s="38" t="s">
        <v>120</v>
      </c>
      <c r="AF100" s="38" t="s">
        <v>120</v>
      </c>
      <c r="AG100" s="38" t="s">
        <v>120</v>
      </c>
      <c r="AH100" s="38" t="s">
        <v>120</v>
      </c>
      <c r="AI100" s="38" t="s">
        <v>120</v>
      </c>
      <c r="AJ100" s="38" t="s">
        <v>120</v>
      </c>
      <c r="AK100" s="38" t="s">
        <v>120</v>
      </c>
      <c r="AL100" s="38" t="s">
        <v>120</v>
      </c>
      <c r="AM100" s="38" t="s">
        <v>120</v>
      </c>
      <c r="AN100" s="38" t="s">
        <v>120</v>
      </c>
      <c r="AO100" s="38" t="s">
        <v>120</v>
      </c>
      <c r="AP100" s="38" t="s">
        <v>120</v>
      </c>
      <c r="AQ100" s="38" t="s">
        <v>120</v>
      </c>
      <c r="AR100" s="38" t="s">
        <v>120</v>
      </c>
      <c r="AS100" s="38" t="s">
        <v>120</v>
      </c>
      <c r="AT100" s="38" t="s">
        <v>120</v>
      </c>
      <c r="AU100" s="38" t="s">
        <v>120</v>
      </c>
      <c r="AV100" s="38" t="s">
        <v>120</v>
      </c>
      <c r="AW100" s="38" t="s">
        <v>120</v>
      </c>
      <c r="AX100" s="38" t="s">
        <v>120</v>
      </c>
    </row>
    <row r="101" spans="1:50" x14ac:dyDescent="0.45">
      <c r="A101" s="38" t="s">
        <v>220</v>
      </c>
      <c r="B101" s="38">
        <v>103</v>
      </c>
      <c r="C101" s="38" t="s">
        <v>119</v>
      </c>
      <c r="D101" s="38">
        <v>103</v>
      </c>
      <c r="E101" s="38">
        <v>19025</v>
      </c>
      <c r="F101" s="38">
        <f t="shared" si="2"/>
        <v>19.024999999999999</v>
      </c>
      <c r="G101" s="38">
        <v>4147812.5</v>
      </c>
      <c r="H101" s="38">
        <f t="shared" si="3"/>
        <v>4.1478124999999997</v>
      </c>
      <c r="I101" s="38">
        <v>2669</v>
      </c>
      <c r="J101" s="38">
        <v>2669</v>
      </c>
      <c r="K101" s="38" t="s">
        <v>120</v>
      </c>
      <c r="L101" s="38" t="s">
        <v>120</v>
      </c>
      <c r="M101" s="38" t="s">
        <v>120</v>
      </c>
      <c r="N101" s="38">
        <v>5.5428980000000001</v>
      </c>
      <c r="O101" s="38" t="s">
        <v>121</v>
      </c>
      <c r="P101" s="38" t="s">
        <v>121</v>
      </c>
      <c r="Q101" s="38" t="s">
        <v>120</v>
      </c>
      <c r="R101" s="38" t="s">
        <v>120</v>
      </c>
      <c r="S101" s="38" t="s">
        <v>120</v>
      </c>
      <c r="T101" s="38">
        <v>68.626503</v>
      </c>
      <c r="U101" s="38">
        <v>96.971715000000003</v>
      </c>
      <c r="V101" s="38" t="s">
        <v>120</v>
      </c>
      <c r="W101" s="38" t="s">
        <v>120</v>
      </c>
      <c r="X101" s="38" t="s">
        <v>120</v>
      </c>
      <c r="Y101" s="38" t="s">
        <v>120</v>
      </c>
      <c r="Z101" s="38" t="s">
        <v>120</v>
      </c>
      <c r="AA101" s="38" t="s">
        <v>120</v>
      </c>
      <c r="AB101" s="38" t="s">
        <v>120</v>
      </c>
      <c r="AC101" s="38" t="s">
        <v>120</v>
      </c>
      <c r="AD101" s="38" t="s">
        <v>120</v>
      </c>
      <c r="AE101" s="38" t="s">
        <v>120</v>
      </c>
      <c r="AF101" s="38" t="s">
        <v>120</v>
      </c>
      <c r="AG101" s="38" t="s">
        <v>120</v>
      </c>
      <c r="AH101" s="38" t="s">
        <v>120</v>
      </c>
      <c r="AI101" s="38" t="s">
        <v>120</v>
      </c>
      <c r="AJ101" s="38" t="s">
        <v>120</v>
      </c>
      <c r="AK101" s="38" t="s">
        <v>120</v>
      </c>
      <c r="AL101" s="38" t="s">
        <v>120</v>
      </c>
      <c r="AM101" s="38" t="s">
        <v>120</v>
      </c>
      <c r="AN101" s="38" t="s">
        <v>120</v>
      </c>
      <c r="AO101" s="38" t="s">
        <v>120</v>
      </c>
      <c r="AP101" s="38" t="s">
        <v>120</v>
      </c>
      <c r="AQ101" s="38" t="s">
        <v>120</v>
      </c>
      <c r="AR101" s="38" t="s">
        <v>120</v>
      </c>
      <c r="AS101" s="38" t="s">
        <v>120</v>
      </c>
      <c r="AT101" s="38" t="s">
        <v>120</v>
      </c>
      <c r="AU101" s="38" t="s">
        <v>120</v>
      </c>
      <c r="AV101" s="38" t="s">
        <v>120</v>
      </c>
      <c r="AW101" s="38" t="s">
        <v>120</v>
      </c>
      <c r="AX101" s="38" t="s">
        <v>120</v>
      </c>
    </row>
    <row r="102" spans="1:50" x14ac:dyDescent="0.45">
      <c r="A102" s="38" t="s">
        <v>221</v>
      </c>
      <c r="B102" s="38">
        <v>104</v>
      </c>
      <c r="C102" s="38" t="s">
        <v>119</v>
      </c>
      <c r="D102" s="38">
        <v>104</v>
      </c>
      <c r="E102" s="38">
        <v>28625</v>
      </c>
      <c r="F102" s="38">
        <f t="shared" si="2"/>
        <v>28.625</v>
      </c>
      <c r="G102" s="38">
        <v>21356562.5</v>
      </c>
      <c r="H102" s="38">
        <f t="shared" si="3"/>
        <v>21.356562499999999</v>
      </c>
      <c r="I102" s="38">
        <v>2670</v>
      </c>
      <c r="J102" s="38">
        <v>2670</v>
      </c>
      <c r="K102" s="38" t="s">
        <v>120</v>
      </c>
      <c r="L102" s="38" t="s">
        <v>120</v>
      </c>
      <c r="M102" s="38" t="s">
        <v>120</v>
      </c>
      <c r="N102" s="38">
        <v>47.746265000000001</v>
      </c>
      <c r="O102" s="38" t="s">
        <v>121</v>
      </c>
      <c r="P102" s="38" t="s">
        <v>121</v>
      </c>
      <c r="Q102" s="38" t="s">
        <v>120</v>
      </c>
      <c r="R102" s="38" t="s">
        <v>120</v>
      </c>
      <c r="S102" s="38" t="s">
        <v>120</v>
      </c>
      <c r="T102" s="38">
        <v>76.659279999999995</v>
      </c>
      <c r="U102" s="38">
        <v>77.714821999999998</v>
      </c>
      <c r="V102" s="38" t="s">
        <v>120</v>
      </c>
      <c r="W102" s="38" t="s">
        <v>120</v>
      </c>
      <c r="X102" s="38" t="s">
        <v>120</v>
      </c>
      <c r="Y102" s="38" t="s">
        <v>120</v>
      </c>
      <c r="Z102" s="38" t="s">
        <v>120</v>
      </c>
      <c r="AA102" s="38" t="s">
        <v>120</v>
      </c>
      <c r="AB102" s="38" t="s">
        <v>120</v>
      </c>
      <c r="AC102" s="38" t="s">
        <v>120</v>
      </c>
      <c r="AD102" s="38" t="s">
        <v>120</v>
      </c>
      <c r="AE102" s="38" t="s">
        <v>120</v>
      </c>
      <c r="AF102" s="38" t="s">
        <v>120</v>
      </c>
      <c r="AG102" s="38" t="s">
        <v>120</v>
      </c>
      <c r="AH102" s="38" t="s">
        <v>120</v>
      </c>
      <c r="AI102" s="38" t="s">
        <v>120</v>
      </c>
      <c r="AJ102" s="38" t="s">
        <v>120</v>
      </c>
      <c r="AK102" s="38" t="s">
        <v>120</v>
      </c>
      <c r="AL102" s="38" t="s">
        <v>120</v>
      </c>
      <c r="AM102" s="38" t="s">
        <v>120</v>
      </c>
      <c r="AN102" s="38" t="s">
        <v>120</v>
      </c>
      <c r="AO102" s="38" t="s">
        <v>120</v>
      </c>
      <c r="AP102" s="38" t="s">
        <v>120</v>
      </c>
      <c r="AQ102" s="38" t="s">
        <v>120</v>
      </c>
      <c r="AR102" s="38" t="s">
        <v>120</v>
      </c>
      <c r="AS102" s="38" t="s">
        <v>120</v>
      </c>
      <c r="AT102" s="38" t="s">
        <v>120</v>
      </c>
      <c r="AU102" s="38" t="s">
        <v>120</v>
      </c>
      <c r="AV102" s="38" t="s">
        <v>120</v>
      </c>
      <c r="AW102" s="38" t="s">
        <v>120</v>
      </c>
      <c r="AX102" s="38" t="s">
        <v>120</v>
      </c>
    </row>
    <row r="103" spans="1:50" x14ac:dyDescent="0.45">
      <c r="A103" s="38" t="s">
        <v>7</v>
      </c>
      <c r="B103" s="38">
        <v>105</v>
      </c>
      <c r="C103" s="38" t="s">
        <v>119</v>
      </c>
      <c r="D103" s="38">
        <v>105</v>
      </c>
      <c r="E103" s="38">
        <v>17925</v>
      </c>
      <c r="F103" s="38">
        <f t="shared" si="2"/>
        <v>17.925000000000001</v>
      </c>
      <c r="G103" s="38">
        <v>7787343.75</v>
      </c>
      <c r="H103" s="38">
        <f t="shared" si="3"/>
        <v>7.7873437499999998</v>
      </c>
      <c r="I103" s="38">
        <v>2671</v>
      </c>
      <c r="J103" s="38">
        <v>2671</v>
      </c>
      <c r="K103" s="38" t="s">
        <v>120</v>
      </c>
      <c r="L103" s="38" t="s">
        <v>120</v>
      </c>
      <c r="M103" s="38" t="s">
        <v>120</v>
      </c>
      <c r="N103" s="38">
        <v>26.488610999999999</v>
      </c>
      <c r="O103" s="38" t="s">
        <v>121</v>
      </c>
      <c r="P103" s="38" t="s">
        <v>121</v>
      </c>
      <c r="Q103" s="38" t="s">
        <v>120</v>
      </c>
      <c r="R103" s="38" t="s">
        <v>120</v>
      </c>
      <c r="S103" s="38" t="s">
        <v>120</v>
      </c>
      <c r="T103" s="38">
        <v>73</v>
      </c>
      <c r="U103" s="38">
        <v>77.119973999999999</v>
      </c>
      <c r="V103" s="38" t="s">
        <v>120</v>
      </c>
      <c r="W103" s="38" t="s">
        <v>120</v>
      </c>
      <c r="X103" s="38" t="s">
        <v>120</v>
      </c>
      <c r="Y103" s="38" t="s">
        <v>120</v>
      </c>
      <c r="Z103" s="38" t="s">
        <v>120</v>
      </c>
      <c r="AA103" s="38" t="s">
        <v>120</v>
      </c>
      <c r="AB103" s="38" t="s">
        <v>120</v>
      </c>
      <c r="AC103" s="38" t="s">
        <v>120</v>
      </c>
      <c r="AD103" s="38" t="s">
        <v>120</v>
      </c>
      <c r="AE103" s="38" t="s">
        <v>120</v>
      </c>
      <c r="AF103" s="38" t="s">
        <v>120</v>
      </c>
      <c r="AG103" s="38" t="s">
        <v>120</v>
      </c>
      <c r="AH103" s="38" t="s">
        <v>120</v>
      </c>
      <c r="AI103" s="38" t="s">
        <v>120</v>
      </c>
      <c r="AJ103" s="38" t="s">
        <v>120</v>
      </c>
      <c r="AK103" s="38" t="s">
        <v>120</v>
      </c>
      <c r="AL103" s="38" t="s">
        <v>120</v>
      </c>
      <c r="AM103" s="38" t="s">
        <v>120</v>
      </c>
      <c r="AN103" s="38" t="s">
        <v>120</v>
      </c>
      <c r="AO103" s="38" t="s">
        <v>120</v>
      </c>
      <c r="AP103" s="38" t="s">
        <v>120</v>
      </c>
      <c r="AQ103" s="38" t="s">
        <v>120</v>
      </c>
      <c r="AR103" s="38" t="s">
        <v>120</v>
      </c>
      <c r="AS103" s="38" t="s">
        <v>120</v>
      </c>
      <c r="AT103" s="38" t="s">
        <v>120</v>
      </c>
      <c r="AU103" s="38" t="s">
        <v>120</v>
      </c>
      <c r="AV103" s="38" t="s">
        <v>120</v>
      </c>
      <c r="AW103" s="38" t="s">
        <v>120</v>
      </c>
      <c r="AX103" s="38" t="s">
        <v>120</v>
      </c>
    </row>
    <row r="104" spans="1:50" x14ac:dyDescent="0.45">
      <c r="A104" s="38" t="s">
        <v>8</v>
      </c>
      <c r="B104" s="38">
        <v>106</v>
      </c>
      <c r="C104" s="38" t="s">
        <v>119</v>
      </c>
      <c r="D104" s="38">
        <v>106</v>
      </c>
      <c r="E104" s="38">
        <v>18700</v>
      </c>
      <c r="F104" s="38">
        <f t="shared" si="2"/>
        <v>18.7</v>
      </c>
      <c r="G104" s="38">
        <v>6588906.25</v>
      </c>
      <c r="H104" s="38">
        <f t="shared" si="3"/>
        <v>6.58890625</v>
      </c>
      <c r="I104" s="38">
        <v>2672</v>
      </c>
      <c r="J104" s="38">
        <v>2672</v>
      </c>
      <c r="K104" s="38" t="s">
        <v>120</v>
      </c>
      <c r="L104" s="38" t="s">
        <v>120</v>
      </c>
      <c r="M104" s="38" t="s">
        <v>120</v>
      </c>
      <c r="N104" s="38">
        <v>7.9282810000000001</v>
      </c>
      <c r="O104" s="38" t="s">
        <v>121</v>
      </c>
      <c r="P104" s="38" t="s">
        <v>121</v>
      </c>
      <c r="Q104" s="38" t="s">
        <v>120</v>
      </c>
      <c r="R104" s="38" t="s">
        <v>120</v>
      </c>
      <c r="S104" s="38" t="s">
        <v>120</v>
      </c>
      <c r="T104" s="38">
        <v>45.679437999999998</v>
      </c>
      <c r="U104" s="38">
        <v>78.296144999999996</v>
      </c>
      <c r="V104" s="38" t="s">
        <v>120</v>
      </c>
      <c r="W104" s="38" t="s">
        <v>120</v>
      </c>
      <c r="X104" s="38" t="s">
        <v>120</v>
      </c>
      <c r="Y104" s="38" t="s">
        <v>120</v>
      </c>
      <c r="Z104" s="38" t="s">
        <v>120</v>
      </c>
      <c r="AA104" s="38" t="s">
        <v>120</v>
      </c>
      <c r="AB104" s="38" t="s">
        <v>120</v>
      </c>
      <c r="AC104" s="38" t="s">
        <v>120</v>
      </c>
      <c r="AD104" s="38" t="s">
        <v>120</v>
      </c>
      <c r="AE104" s="38" t="s">
        <v>120</v>
      </c>
      <c r="AF104" s="38" t="s">
        <v>120</v>
      </c>
      <c r="AG104" s="38" t="s">
        <v>120</v>
      </c>
      <c r="AH104" s="38" t="s">
        <v>120</v>
      </c>
      <c r="AI104" s="38" t="s">
        <v>120</v>
      </c>
      <c r="AJ104" s="38" t="s">
        <v>120</v>
      </c>
      <c r="AK104" s="38" t="s">
        <v>120</v>
      </c>
      <c r="AL104" s="38" t="s">
        <v>120</v>
      </c>
      <c r="AM104" s="38" t="s">
        <v>120</v>
      </c>
      <c r="AN104" s="38" t="s">
        <v>120</v>
      </c>
      <c r="AO104" s="38" t="s">
        <v>120</v>
      </c>
      <c r="AP104" s="38" t="s">
        <v>120</v>
      </c>
      <c r="AQ104" s="38" t="s">
        <v>120</v>
      </c>
      <c r="AR104" s="38" t="s">
        <v>120</v>
      </c>
      <c r="AS104" s="38" t="s">
        <v>120</v>
      </c>
      <c r="AT104" s="38" t="s">
        <v>120</v>
      </c>
      <c r="AU104" s="38" t="s">
        <v>120</v>
      </c>
      <c r="AV104" s="38" t="s">
        <v>120</v>
      </c>
      <c r="AW104" s="38" t="s">
        <v>120</v>
      </c>
      <c r="AX104" s="38" t="s">
        <v>120</v>
      </c>
    </row>
    <row r="105" spans="1:50" x14ac:dyDescent="0.45">
      <c r="A105" s="38" t="s">
        <v>9</v>
      </c>
      <c r="B105" s="38">
        <v>108</v>
      </c>
      <c r="C105" s="38" t="s">
        <v>119</v>
      </c>
      <c r="D105" s="38">
        <v>108</v>
      </c>
      <c r="E105" s="38">
        <v>15775</v>
      </c>
      <c r="F105" s="38">
        <f t="shared" si="2"/>
        <v>15.775</v>
      </c>
      <c r="G105" s="38">
        <v>3721093.75</v>
      </c>
      <c r="H105" s="38">
        <f t="shared" si="3"/>
        <v>3.7210937500000001</v>
      </c>
      <c r="I105" s="38">
        <v>2674</v>
      </c>
      <c r="J105" s="38">
        <v>2674</v>
      </c>
      <c r="K105" s="38" t="s">
        <v>120</v>
      </c>
      <c r="L105" s="38" t="s">
        <v>120</v>
      </c>
      <c r="M105" s="38" t="s">
        <v>120</v>
      </c>
      <c r="N105" s="38">
        <v>18.436236999999998</v>
      </c>
      <c r="O105" s="38" t="s">
        <v>121</v>
      </c>
      <c r="P105" s="38" t="s">
        <v>121</v>
      </c>
      <c r="Q105" s="38" t="s">
        <v>120</v>
      </c>
      <c r="R105" s="38" t="s">
        <v>120</v>
      </c>
      <c r="S105" s="38" t="s">
        <v>120</v>
      </c>
      <c r="T105" s="38">
        <v>66.205485999999993</v>
      </c>
      <c r="U105" s="38">
        <v>76.636733000000007</v>
      </c>
      <c r="V105" s="38" t="s">
        <v>120</v>
      </c>
      <c r="W105" s="38" t="s">
        <v>120</v>
      </c>
      <c r="X105" s="38" t="s">
        <v>120</v>
      </c>
      <c r="Y105" s="38" t="s">
        <v>120</v>
      </c>
      <c r="Z105" s="38" t="s">
        <v>120</v>
      </c>
      <c r="AA105" s="38" t="s">
        <v>120</v>
      </c>
      <c r="AB105" s="38" t="s">
        <v>120</v>
      </c>
      <c r="AC105" s="38" t="s">
        <v>120</v>
      </c>
      <c r="AD105" s="38" t="s">
        <v>120</v>
      </c>
      <c r="AE105" s="38" t="s">
        <v>120</v>
      </c>
      <c r="AF105" s="38" t="s">
        <v>120</v>
      </c>
      <c r="AG105" s="38" t="s">
        <v>120</v>
      </c>
      <c r="AH105" s="38" t="s">
        <v>120</v>
      </c>
      <c r="AI105" s="38" t="s">
        <v>120</v>
      </c>
      <c r="AJ105" s="38" t="s">
        <v>120</v>
      </c>
      <c r="AK105" s="38" t="s">
        <v>120</v>
      </c>
      <c r="AL105" s="38" t="s">
        <v>120</v>
      </c>
      <c r="AM105" s="38" t="s">
        <v>120</v>
      </c>
      <c r="AN105" s="38" t="s">
        <v>120</v>
      </c>
      <c r="AO105" s="38" t="s">
        <v>120</v>
      </c>
      <c r="AP105" s="38" t="s">
        <v>120</v>
      </c>
      <c r="AQ105" s="38" t="s">
        <v>120</v>
      </c>
      <c r="AR105" s="38" t="s">
        <v>120</v>
      </c>
      <c r="AS105" s="38" t="s">
        <v>120</v>
      </c>
      <c r="AT105" s="38" t="s">
        <v>120</v>
      </c>
      <c r="AU105" s="38" t="s">
        <v>120</v>
      </c>
      <c r="AV105" s="38" t="s">
        <v>120</v>
      </c>
      <c r="AW105" s="38" t="s">
        <v>120</v>
      </c>
      <c r="AX105" s="38" t="s">
        <v>120</v>
      </c>
    </row>
    <row r="106" spans="1:50" x14ac:dyDescent="0.45">
      <c r="A106" s="38" t="s">
        <v>10</v>
      </c>
      <c r="B106" s="38">
        <v>109</v>
      </c>
      <c r="C106" s="38" t="s">
        <v>119</v>
      </c>
      <c r="D106" s="38">
        <v>109</v>
      </c>
      <c r="E106" s="38">
        <v>9600</v>
      </c>
      <c r="F106" s="38">
        <f t="shared" si="2"/>
        <v>9.6</v>
      </c>
      <c r="G106" s="38">
        <v>1345781.25</v>
      </c>
      <c r="H106" s="38">
        <f t="shared" si="3"/>
        <v>1.3457812499999999</v>
      </c>
      <c r="I106" s="38">
        <v>2675</v>
      </c>
      <c r="J106" s="38">
        <v>2675</v>
      </c>
      <c r="K106" s="38" t="s">
        <v>120</v>
      </c>
      <c r="L106" s="38" t="s">
        <v>120</v>
      </c>
      <c r="M106" s="38" t="s">
        <v>120</v>
      </c>
      <c r="N106" s="38">
        <v>9.9809560000000008</v>
      </c>
      <c r="O106" s="38" t="s">
        <v>121</v>
      </c>
      <c r="P106" s="38" t="s">
        <v>121</v>
      </c>
      <c r="Q106" s="38" t="s">
        <v>120</v>
      </c>
      <c r="R106" s="38" t="s">
        <v>120</v>
      </c>
      <c r="S106" s="38" t="s">
        <v>120</v>
      </c>
      <c r="T106" s="38">
        <v>48.249825000000001</v>
      </c>
      <c r="U106" s="38">
        <v>77.848483999999999</v>
      </c>
      <c r="V106" s="38" t="s">
        <v>120</v>
      </c>
      <c r="W106" s="38" t="s">
        <v>120</v>
      </c>
      <c r="X106" s="38" t="s">
        <v>120</v>
      </c>
      <c r="Y106" s="38" t="s">
        <v>120</v>
      </c>
      <c r="Z106" s="38" t="s">
        <v>120</v>
      </c>
      <c r="AA106" s="38" t="s">
        <v>120</v>
      </c>
      <c r="AB106" s="38" t="s">
        <v>120</v>
      </c>
      <c r="AC106" s="38" t="s">
        <v>120</v>
      </c>
      <c r="AD106" s="38" t="s">
        <v>120</v>
      </c>
      <c r="AE106" s="38" t="s">
        <v>120</v>
      </c>
      <c r="AF106" s="38" t="s">
        <v>120</v>
      </c>
      <c r="AG106" s="38" t="s">
        <v>120</v>
      </c>
      <c r="AH106" s="38" t="s">
        <v>120</v>
      </c>
      <c r="AI106" s="38" t="s">
        <v>120</v>
      </c>
      <c r="AJ106" s="38" t="s">
        <v>120</v>
      </c>
      <c r="AK106" s="38" t="s">
        <v>120</v>
      </c>
      <c r="AL106" s="38" t="s">
        <v>120</v>
      </c>
      <c r="AM106" s="38" t="s">
        <v>120</v>
      </c>
      <c r="AN106" s="38" t="s">
        <v>120</v>
      </c>
      <c r="AO106" s="38" t="s">
        <v>120</v>
      </c>
      <c r="AP106" s="38" t="s">
        <v>120</v>
      </c>
      <c r="AQ106" s="38" t="s">
        <v>120</v>
      </c>
      <c r="AR106" s="38" t="s">
        <v>120</v>
      </c>
      <c r="AS106" s="38" t="s">
        <v>120</v>
      </c>
      <c r="AT106" s="38" t="s">
        <v>120</v>
      </c>
      <c r="AU106" s="38" t="s">
        <v>120</v>
      </c>
      <c r="AV106" s="38" t="s">
        <v>120</v>
      </c>
      <c r="AW106" s="38" t="s">
        <v>120</v>
      </c>
      <c r="AX106" s="38" t="s">
        <v>120</v>
      </c>
    </row>
    <row r="107" spans="1:50" x14ac:dyDescent="0.45">
      <c r="A107" s="38" t="s">
        <v>11</v>
      </c>
      <c r="B107" s="38">
        <v>110</v>
      </c>
      <c r="C107" s="38" t="s">
        <v>119</v>
      </c>
      <c r="D107" s="38">
        <v>110</v>
      </c>
      <c r="E107" s="38">
        <v>35350</v>
      </c>
      <c r="F107" s="38">
        <f t="shared" si="2"/>
        <v>35.35</v>
      </c>
      <c r="G107" s="38">
        <v>20037812.5</v>
      </c>
      <c r="H107" s="38">
        <f t="shared" si="3"/>
        <v>20.037812500000001</v>
      </c>
      <c r="I107" s="38">
        <v>2676</v>
      </c>
      <c r="J107" s="38">
        <v>2676</v>
      </c>
      <c r="K107" s="38" t="s">
        <v>120</v>
      </c>
      <c r="L107" s="38" t="s">
        <v>120</v>
      </c>
      <c r="M107" s="38" t="s">
        <v>120</v>
      </c>
      <c r="N107" s="38">
        <v>40.708495999999997</v>
      </c>
      <c r="O107" s="38" t="s">
        <v>121</v>
      </c>
      <c r="P107" s="38" t="s">
        <v>121</v>
      </c>
      <c r="Q107" s="38" t="s">
        <v>120</v>
      </c>
      <c r="R107" s="38" t="s">
        <v>120</v>
      </c>
      <c r="S107" s="38" t="s">
        <v>120</v>
      </c>
      <c r="T107" s="38">
        <v>75.843097</v>
      </c>
      <c r="U107" s="38">
        <v>77.068961000000002</v>
      </c>
      <c r="V107" s="38" t="s">
        <v>120</v>
      </c>
      <c r="W107" s="38" t="s">
        <v>120</v>
      </c>
      <c r="X107" s="38" t="s">
        <v>120</v>
      </c>
      <c r="Y107" s="38" t="s">
        <v>120</v>
      </c>
      <c r="Z107" s="38" t="s">
        <v>120</v>
      </c>
      <c r="AA107" s="38" t="s">
        <v>120</v>
      </c>
      <c r="AB107" s="38" t="s">
        <v>120</v>
      </c>
      <c r="AC107" s="38" t="s">
        <v>120</v>
      </c>
      <c r="AD107" s="38" t="s">
        <v>120</v>
      </c>
      <c r="AE107" s="38" t="s">
        <v>120</v>
      </c>
      <c r="AF107" s="38" t="s">
        <v>120</v>
      </c>
      <c r="AG107" s="38" t="s">
        <v>120</v>
      </c>
      <c r="AH107" s="38" t="s">
        <v>120</v>
      </c>
      <c r="AI107" s="38" t="s">
        <v>120</v>
      </c>
      <c r="AJ107" s="38" t="s">
        <v>120</v>
      </c>
      <c r="AK107" s="38" t="s">
        <v>120</v>
      </c>
      <c r="AL107" s="38" t="s">
        <v>120</v>
      </c>
      <c r="AM107" s="38" t="s">
        <v>120</v>
      </c>
      <c r="AN107" s="38" t="s">
        <v>120</v>
      </c>
      <c r="AO107" s="38" t="s">
        <v>120</v>
      </c>
      <c r="AP107" s="38" t="s">
        <v>120</v>
      </c>
      <c r="AQ107" s="38" t="s">
        <v>120</v>
      </c>
      <c r="AR107" s="38" t="s">
        <v>120</v>
      </c>
      <c r="AS107" s="38" t="s">
        <v>120</v>
      </c>
      <c r="AT107" s="38" t="s">
        <v>120</v>
      </c>
      <c r="AU107" s="38" t="s">
        <v>120</v>
      </c>
      <c r="AV107" s="38" t="s">
        <v>120</v>
      </c>
      <c r="AW107" s="38" t="s">
        <v>120</v>
      </c>
      <c r="AX107" s="38" t="s">
        <v>120</v>
      </c>
    </row>
    <row r="108" spans="1:50" x14ac:dyDescent="0.45">
      <c r="A108" s="38" t="s">
        <v>12</v>
      </c>
      <c r="B108" s="38">
        <v>111</v>
      </c>
      <c r="C108" s="38" t="s">
        <v>119</v>
      </c>
      <c r="D108" s="38">
        <v>111</v>
      </c>
      <c r="E108" s="38">
        <v>11200</v>
      </c>
      <c r="F108" s="38">
        <f t="shared" si="2"/>
        <v>11.2</v>
      </c>
      <c r="G108" s="38">
        <v>3798437.5</v>
      </c>
      <c r="H108" s="38">
        <f t="shared" si="3"/>
        <v>3.7984374999999999</v>
      </c>
      <c r="I108" s="38">
        <v>2677</v>
      </c>
      <c r="J108" s="38">
        <v>2677</v>
      </c>
      <c r="K108" s="38" t="s">
        <v>120</v>
      </c>
      <c r="L108" s="38" t="s">
        <v>120</v>
      </c>
      <c r="M108" s="38" t="s">
        <v>120</v>
      </c>
      <c r="N108" s="38">
        <v>24.909047999999999</v>
      </c>
      <c r="O108" s="38" t="s">
        <v>121</v>
      </c>
      <c r="P108" s="38" t="s">
        <v>121</v>
      </c>
      <c r="Q108" s="38" t="s">
        <v>120</v>
      </c>
      <c r="R108" s="38" t="s">
        <v>120</v>
      </c>
      <c r="S108" s="38" t="s">
        <v>120</v>
      </c>
      <c r="T108" s="38">
        <v>73</v>
      </c>
      <c r="U108" s="38">
        <v>77.588508000000004</v>
      </c>
      <c r="V108" s="38" t="s">
        <v>120</v>
      </c>
      <c r="W108" s="38" t="s">
        <v>120</v>
      </c>
      <c r="X108" s="38" t="s">
        <v>120</v>
      </c>
      <c r="Y108" s="38" t="s">
        <v>120</v>
      </c>
      <c r="Z108" s="38" t="s">
        <v>120</v>
      </c>
      <c r="AA108" s="38" t="s">
        <v>120</v>
      </c>
      <c r="AB108" s="38" t="s">
        <v>120</v>
      </c>
      <c r="AC108" s="38" t="s">
        <v>120</v>
      </c>
      <c r="AD108" s="38" t="s">
        <v>120</v>
      </c>
      <c r="AE108" s="38" t="s">
        <v>120</v>
      </c>
      <c r="AF108" s="38" t="s">
        <v>120</v>
      </c>
      <c r="AG108" s="38" t="s">
        <v>120</v>
      </c>
      <c r="AH108" s="38" t="s">
        <v>120</v>
      </c>
      <c r="AI108" s="38" t="s">
        <v>120</v>
      </c>
      <c r="AJ108" s="38" t="s">
        <v>120</v>
      </c>
      <c r="AK108" s="38" t="s">
        <v>120</v>
      </c>
      <c r="AL108" s="38" t="s">
        <v>120</v>
      </c>
      <c r="AM108" s="38" t="s">
        <v>120</v>
      </c>
      <c r="AN108" s="38" t="s">
        <v>120</v>
      </c>
      <c r="AO108" s="38" t="s">
        <v>120</v>
      </c>
      <c r="AP108" s="38" t="s">
        <v>120</v>
      </c>
      <c r="AQ108" s="38" t="s">
        <v>120</v>
      </c>
      <c r="AR108" s="38" t="s">
        <v>120</v>
      </c>
      <c r="AS108" s="38" t="s">
        <v>120</v>
      </c>
      <c r="AT108" s="38" t="s">
        <v>120</v>
      </c>
      <c r="AU108" s="38" t="s">
        <v>120</v>
      </c>
      <c r="AV108" s="38" t="s">
        <v>120</v>
      </c>
      <c r="AW108" s="38" t="s">
        <v>120</v>
      </c>
      <c r="AX108" s="38" t="s">
        <v>120</v>
      </c>
    </row>
    <row r="109" spans="1:50" x14ac:dyDescent="0.45">
      <c r="A109" s="38" t="s">
        <v>13</v>
      </c>
      <c r="B109" s="38">
        <v>112</v>
      </c>
      <c r="C109" s="38" t="s">
        <v>119</v>
      </c>
      <c r="D109" s="38">
        <v>112</v>
      </c>
      <c r="E109" s="38">
        <v>25250</v>
      </c>
      <c r="F109" s="38">
        <f t="shared" si="2"/>
        <v>25.25</v>
      </c>
      <c r="G109" s="38">
        <v>11014062.5</v>
      </c>
      <c r="H109" s="38">
        <f t="shared" si="3"/>
        <v>11.0140625</v>
      </c>
      <c r="I109" s="38">
        <v>2678</v>
      </c>
      <c r="J109" s="38">
        <v>2678</v>
      </c>
      <c r="K109" s="38" t="s">
        <v>120</v>
      </c>
      <c r="L109" s="38" t="s">
        <v>120</v>
      </c>
      <c r="M109" s="38" t="s">
        <v>120</v>
      </c>
      <c r="N109" s="38">
        <v>8.4656479999999998</v>
      </c>
      <c r="O109" s="38" t="s">
        <v>121</v>
      </c>
      <c r="P109" s="38" t="s">
        <v>121</v>
      </c>
      <c r="Q109" s="38" t="s">
        <v>120</v>
      </c>
      <c r="R109" s="38" t="s">
        <v>120</v>
      </c>
      <c r="S109" s="38" t="s">
        <v>120</v>
      </c>
      <c r="T109" s="38">
        <v>47.073822999999997</v>
      </c>
      <c r="U109" s="38">
        <v>77.549965</v>
      </c>
      <c r="V109" s="38" t="s">
        <v>120</v>
      </c>
      <c r="W109" s="38" t="s">
        <v>120</v>
      </c>
      <c r="X109" s="38" t="s">
        <v>120</v>
      </c>
      <c r="Y109" s="38" t="s">
        <v>120</v>
      </c>
      <c r="Z109" s="38" t="s">
        <v>120</v>
      </c>
      <c r="AA109" s="38" t="s">
        <v>120</v>
      </c>
      <c r="AB109" s="38" t="s">
        <v>120</v>
      </c>
      <c r="AC109" s="38" t="s">
        <v>120</v>
      </c>
      <c r="AD109" s="38" t="s">
        <v>120</v>
      </c>
      <c r="AE109" s="38" t="s">
        <v>120</v>
      </c>
      <c r="AF109" s="38" t="s">
        <v>120</v>
      </c>
      <c r="AG109" s="38" t="s">
        <v>120</v>
      </c>
      <c r="AH109" s="38" t="s">
        <v>120</v>
      </c>
      <c r="AI109" s="38" t="s">
        <v>120</v>
      </c>
      <c r="AJ109" s="38" t="s">
        <v>120</v>
      </c>
      <c r="AK109" s="38" t="s">
        <v>120</v>
      </c>
      <c r="AL109" s="38" t="s">
        <v>120</v>
      </c>
      <c r="AM109" s="38" t="s">
        <v>120</v>
      </c>
      <c r="AN109" s="38" t="s">
        <v>120</v>
      </c>
      <c r="AO109" s="38" t="s">
        <v>120</v>
      </c>
      <c r="AP109" s="38" t="s">
        <v>120</v>
      </c>
      <c r="AQ109" s="38" t="s">
        <v>120</v>
      </c>
      <c r="AR109" s="38" t="s">
        <v>120</v>
      </c>
      <c r="AS109" s="38" t="s">
        <v>120</v>
      </c>
      <c r="AT109" s="38" t="s">
        <v>120</v>
      </c>
      <c r="AU109" s="38" t="s">
        <v>120</v>
      </c>
      <c r="AV109" s="38" t="s">
        <v>120</v>
      </c>
      <c r="AW109" s="38" t="s">
        <v>120</v>
      </c>
      <c r="AX109" s="38" t="s">
        <v>120</v>
      </c>
    </row>
    <row r="110" spans="1:50" x14ac:dyDescent="0.45">
      <c r="A110" s="38" t="s">
        <v>14</v>
      </c>
      <c r="B110" s="38">
        <v>113</v>
      </c>
      <c r="C110" s="38" t="s">
        <v>119</v>
      </c>
      <c r="D110" s="38">
        <v>113</v>
      </c>
      <c r="E110" s="38">
        <v>50150</v>
      </c>
      <c r="F110" s="38">
        <f t="shared" si="2"/>
        <v>50.15</v>
      </c>
      <c r="G110" s="38">
        <v>31629531.25</v>
      </c>
      <c r="H110" s="38">
        <f t="shared" si="3"/>
        <v>31.629531249999999</v>
      </c>
      <c r="I110" s="38">
        <v>2679</v>
      </c>
      <c r="J110" s="38">
        <v>2679</v>
      </c>
      <c r="K110" s="38" t="s">
        <v>120</v>
      </c>
      <c r="L110" s="38" t="s">
        <v>120</v>
      </c>
      <c r="M110" s="38" t="s">
        <v>120</v>
      </c>
      <c r="N110" s="38">
        <v>46.026890000000002</v>
      </c>
      <c r="O110" s="38" t="s">
        <v>121</v>
      </c>
      <c r="P110" s="38" t="s">
        <v>121</v>
      </c>
      <c r="Q110" s="38" t="s">
        <v>120</v>
      </c>
      <c r="R110" s="38" t="s">
        <v>120</v>
      </c>
      <c r="S110" s="38" t="s">
        <v>120</v>
      </c>
      <c r="T110" s="38">
        <v>73.942716000000004</v>
      </c>
      <c r="U110" s="38">
        <v>76.958428999999995</v>
      </c>
      <c r="V110" s="38" t="s">
        <v>120</v>
      </c>
      <c r="W110" s="38" t="s">
        <v>120</v>
      </c>
      <c r="X110" s="38" t="s">
        <v>120</v>
      </c>
      <c r="Y110" s="38" t="s">
        <v>120</v>
      </c>
      <c r="Z110" s="38" t="s">
        <v>120</v>
      </c>
      <c r="AA110" s="38" t="s">
        <v>120</v>
      </c>
      <c r="AB110" s="38" t="s">
        <v>120</v>
      </c>
      <c r="AC110" s="38" t="s">
        <v>120</v>
      </c>
      <c r="AD110" s="38" t="s">
        <v>120</v>
      </c>
      <c r="AE110" s="38" t="s">
        <v>120</v>
      </c>
      <c r="AF110" s="38" t="s">
        <v>120</v>
      </c>
      <c r="AG110" s="38" t="s">
        <v>120</v>
      </c>
      <c r="AH110" s="38" t="s">
        <v>120</v>
      </c>
      <c r="AI110" s="38" t="s">
        <v>120</v>
      </c>
      <c r="AJ110" s="38" t="s">
        <v>120</v>
      </c>
      <c r="AK110" s="38" t="s">
        <v>120</v>
      </c>
      <c r="AL110" s="38" t="s">
        <v>120</v>
      </c>
      <c r="AM110" s="38" t="s">
        <v>120</v>
      </c>
      <c r="AN110" s="38" t="s">
        <v>120</v>
      </c>
      <c r="AO110" s="38" t="s">
        <v>120</v>
      </c>
      <c r="AP110" s="38" t="s">
        <v>120</v>
      </c>
      <c r="AQ110" s="38" t="s">
        <v>120</v>
      </c>
      <c r="AR110" s="38" t="s">
        <v>120</v>
      </c>
      <c r="AS110" s="38" t="s">
        <v>120</v>
      </c>
      <c r="AT110" s="38" t="s">
        <v>120</v>
      </c>
      <c r="AU110" s="38" t="s">
        <v>120</v>
      </c>
      <c r="AV110" s="38" t="s">
        <v>120</v>
      </c>
      <c r="AW110" s="38" t="s">
        <v>120</v>
      </c>
      <c r="AX110" s="38" t="s">
        <v>120</v>
      </c>
    </row>
    <row r="111" spans="1:50" x14ac:dyDescent="0.45">
      <c r="A111" s="38" t="s">
        <v>15</v>
      </c>
      <c r="B111" s="38">
        <v>115</v>
      </c>
      <c r="C111" s="38" t="s">
        <v>119</v>
      </c>
      <c r="D111" s="38">
        <v>115</v>
      </c>
      <c r="E111" s="38">
        <v>28025</v>
      </c>
      <c r="F111" s="38">
        <f t="shared" si="2"/>
        <v>28.024999999999999</v>
      </c>
      <c r="G111" s="38">
        <v>16107968.75</v>
      </c>
      <c r="H111" s="38">
        <f t="shared" si="3"/>
        <v>16.107968750000001</v>
      </c>
      <c r="I111" s="38">
        <v>2681</v>
      </c>
      <c r="J111" s="38">
        <v>2681</v>
      </c>
      <c r="K111" s="38" t="s">
        <v>120</v>
      </c>
      <c r="L111" s="38" t="s">
        <v>120</v>
      </c>
      <c r="M111" s="38" t="s">
        <v>120</v>
      </c>
      <c r="N111" s="38">
        <v>52.823185000000002</v>
      </c>
      <c r="O111" s="38" t="s">
        <v>121</v>
      </c>
      <c r="P111" s="38" t="s">
        <v>121</v>
      </c>
      <c r="Q111" s="38" t="s">
        <v>120</v>
      </c>
      <c r="R111" s="38" t="s">
        <v>120</v>
      </c>
      <c r="S111" s="38" t="s">
        <v>120</v>
      </c>
      <c r="T111" s="38">
        <v>77.039235000000005</v>
      </c>
      <c r="U111" s="38">
        <v>77.158355</v>
      </c>
      <c r="V111" s="38" t="s">
        <v>120</v>
      </c>
      <c r="W111" s="38" t="s">
        <v>120</v>
      </c>
      <c r="X111" s="38" t="s">
        <v>120</v>
      </c>
      <c r="Y111" s="38" t="s">
        <v>120</v>
      </c>
      <c r="Z111" s="38" t="s">
        <v>120</v>
      </c>
      <c r="AA111" s="38" t="s">
        <v>120</v>
      </c>
      <c r="AB111" s="38" t="s">
        <v>120</v>
      </c>
      <c r="AC111" s="38" t="s">
        <v>120</v>
      </c>
      <c r="AD111" s="38" t="s">
        <v>120</v>
      </c>
      <c r="AE111" s="38" t="s">
        <v>120</v>
      </c>
      <c r="AF111" s="38" t="s">
        <v>120</v>
      </c>
      <c r="AG111" s="38" t="s">
        <v>120</v>
      </c>
      <c r="AH111" s="38" t="s">
        <v>120</v>
      </c>
      <c r="AI111" s="38" t="s">
        <v>120</v>
      </c>
      <c r="AJ111" s="38" t="s">
        <v>120</v>
      </c>
      <c r="AK111" s="38" t="s">
        <v>120</v>
      </c>
      <c r="AL111" s="38" t="s">
        <v>120</v>
      </c>
      <c r="AM111" s="38" t="s">
        <v>120</v>
      </c>
      <c r="AN111" s="38" t="s">
        <v>120</v>
      </c>
      <c r="AO111" s="38" t="s">
        <v>120</v>
      </c>
      <c r="AP111" s="38" t="s">
        <v>120</v>
      </c>
      <c r="AQ111" s="38" t="s">
        <v>120</v>
      </c>
      <c r="AR111" s="38" t="s">
        <v>120</v>
      </c>
      <c r="AS111" s="38" t="s">
        <v>120</v>
      </c>
      <c r="AT111" s="38" t="s">
        <v>120</v>
      </c>
      <c r="AU111" s="38" t="s">
        <v>120</v>
      </c>
      <c r="AV111" s="38" t="s">
        <v>120</v>
      </c>
      <c r="AW111" s="38" t="s">
        <v>120</v>
      </c>
      <c r="AX111" s="38" t="s">
        <v>120</v>
      </c>
    </row>
    <row r="112" spans="1:50" x14ac:dyDescent="0.45">
      <c r="A112" s="38" t="s">
        <v>16</v>
      </c>
      <c r="B112" s="38">
        <v>116</v>
      </c>
      <c r="C112" s="38" t="s">
        <v>119</v>
      </c>
      <c r="D112" s="38">
        <v>116</v>
      </c>
      <c r="E112" s="38">
        <v>7250</v>
      </c>
      <c r="F112" s="38">
        <f t="shared" si="2"/>
        <v>7.25</v>
      </c>
      <c r="G112" s="38">
        <v>991093.75</v>
      </c>
      <c r="H112" s="38">
        <f t="shared" si="3"/>
        <v>0.99109375</v>
      </c>
      <c r="I112" s="38">
        <v>2682</v>
      </c>
      <c r="J112" s="38">
        <v>2682</v>
      </c>
      <c r="K112" s="38" t="s">
        <v>120</v>
      </c>
      <c r="L112" s="38" t="s">
        <v>120</v>
      </c>
      <c r="M112" s="38" t="s">
        <v>120</v>
      </c>
      <c r="N112" s="38">
        <v>10.660062999999999</v>
      </c>
      <c r="O112" s="38" t="s">
        <v>121</v>
      </c>
      <c r="P112" s="38" t="s">
        <v>121</v>
      </c>
      <c r="Q112" s="38" t="s">
        <v>120</v>
      </c>
      <c r="R112" s="38" t="s">
        <v>120</v>
      </c>
      <c r="S112" s="38" t="s">
        <v>120</v>
      </c>
      <c r="T112" s="38">
        <v>58.678435</v>
      </c>
      <c r="U112" s="38">
        <v>76.878765000000001</v>
      </c>
      <c r="V112" s="38" t="s">
        <v>120</v>
      </c>
      <c r="W112" s="38" t="s">
        <v>120</v>
      </c>
      <c r="X112" s="38" t="s">
        <v>120</v>
      </c>
      <c r="Y112" s="38" t="s">
        <v>120</v>
      </c>
      <c r="Z112" s="38" t="s">
        <v>120</v>
      </c>
      <c r="AA112" s="38" t="s">
        <v>120</v>
      </c>
      <c r="AB112" s="38" t="s">
        <v>120</v>
      </c>
      <c r="AC112" s="38" t="s">
        <v>120</v>
      </c>
      <c r="AD112" s="38" t="s">
        <v>120</v>
      </c>
      <c r="AE112" s="38" t="s">
        <v>120</v>
      </c>
      <c r="AF112" s="38" t="s">
        <v>120</v>
      </c>
      <c r="AG112" s="38" t="s">
        <v>120</v>
      </c>
      <c r="AH112" s="38" t="s">
        <v>120</v>
      </c>
      <c r="AI112" s="38" t="s">
        <v>120</v>
      </c>
      <c r="AJ112" s="38" t="s">
        <v>120</v>
      </c>
      <c r="AK112" s="38" t="s">
        <v>120</v>
      </c>
      <c r="AL112" s="38" t="s">
        <v>120</v>
      </c>
      <c r="AM112" s="38" t="s">
        <v>120</v>
      </c>
      <c r="AN112" s="38" t="s">
        <v>120</v>
      </c>
      <c r="AO112" s="38" t="s">
        <v>120</v>
      </c>
      <c r="AP112" s="38" t="s">
        <v>120</v>
      </c>
      <c r="AQ112" s="38" t="s">
        <v>120</v>
      </c>
      <c r="AR112" s="38" t="s">
        <v>120</v>
      </c>
      <c r="AS112" s="38" t="s">
        <v>120</v>
      </c>
      <c r="AT112" s="38" t="s">
        <v>120</v>
      </c>
      <c r="AU112" s="38" t="s">
        <v>120</v>
      </c>
      <c r="AV112" s="38" t="s">
        <v>120</v>
      </c>
      <c r="AW112" s="38" t="s">
        <v>120</v>
      </c>
      <c r="AX112" s="38" t="s">
        <v>120</v>
      </c>
    </row>
    <row r="113" spans="1:50" x14ac:dyDescent="0.45">
      <c r="A113" s="38" t="s">
        <v>222</v>
      </c>
      <c r="B113" s="38">
        <v>117</v>
      </c>
      <c r="C113" s="38" t="s">
        <v>119</v>
      </c>
      <c r="D113" s="38">
        <v>117</v>
      </c>
      <c r="E113" s="38">
        <v>20150</v>
      </c>
      <c r="F113" s="38">
        <f t="shared" si="2"/>
        <v>20.149999999999999</v>
      </c>
      <c r="G113" s="38">
        <v>8746093.75</v>
      </c>
      <c r="H113" s="38">
        <f t="shared" si="3"/>
        <v>8.74609375</v>
      </c>
      <c r="I113" s="38">
        <v>2683</v>
      </c>
      <c r="J113" s="38">
        <v>2683</v>
      </c>
      <c r="K113" s="38" t="s">
        <v>120</v>
      </c>
      <c r="L113" s="38" t="s">
        <v>120</v>
      </c>
      <c r="M113" s="38" t="s">
        <v>120</v>
      </c>
      <c r="N113" s="38">
        <v>48.929606999999997</v>
      </c>
      <c r="O113" s="38" t="s">
        <v>121</v>
      </c>
      <c r="P113" s="38" t="s">
        <v>121</v>
      </c>
      <c r="Q113" s="38" t="s">
        <v>120</v>
      </c>
      <c r="R113" s="38" t="s">
        <v>120</v>
      </c>
      <c r="S113" s="38" t="s">
        <v>120</v>
      </c>
      <c r="T113" s="38">
        <v>77.609318999999999</v>
      </c>
      <c r="U113" s="38">
        <v>77.506204999999994</v>
      </c>
      <c r="V113" s="38" t="s">
        <v>120</v>
      </c>
      <c r="W113" s="38" t="s">
        <v>120</v>
      </c>
      <c r="X113" s="38" t="s">
        <v>120</v>
      </c>
      <c r="Y113" s="38" t="s">
        <v>120</v>
      </c>
      <c r="Z113" s="38" t="s">
        <v>120</v>
      </c>
      <c r="AA113" s="38" t="s">
        <v>120</v>
      </c>
      <c r="AB113" s="38" t="s">
        <v>120</v>
      </c>
      <c r="AC113" s="38" t="s">
        <v>120</v>
      </c>
      <c r="AD113" s="38" t="s">
        <v>120</v>
      </c>
      <c r="AE113" s="38" t="s">
        <v>120</v>
      </c>
      <c r="AF113" s="38" t="s">
        <v>120</v>
      </c>
      <c r="AG113" s="38" t="s">
        <v>120</v>
      </c>
      <c r="AH113" s="38" t="s">
        <v>120</v>
      </c>
      <c r="AI113" s="38" t="s">
        <v>120</v>
      </c>
      <c r="AJ113" s="38" t="s">
        <v>120</v>
      </c>
      <c r="AK113" s="38" t="s">
        <v>120</v>
      </c>
      <c r="AL113" s="38" t="s">
        <v>120</v>
      </c>
      <c r="AM113" s="38" t="s">
        <v>120</v>
      </c>
      <c r="AN113" s="38" t="s">
        <v>120</v>
      </c>
      <c r="AO113" s="38" t="s">
        <v>120</v>
      </c>
      <c r="AP113" s="38" t="s">
        <v>120</v>
      </c>
      <c r="AQ113" s="38" t="s">
        <v>120</v>
      </c>
      <c r="AR113" s="38" t="s">
        <v>120</v>
      </c>
      <c r="AS113" s="38" t="s">
        <v>120</v>
      </c>
      <c r="AT113" s="38" t="s">
        <v>120</v>
      </c>
      <c r="AU113" s="38" t="s">
        <v>120</v>
      </c>
      <c r="AV113" s="38" t="s">
        <v>120</v>
      </c>
      <c r="AW113" s="38" t="s">
        <v>120</v>
      </c>
      <c r="AX113" s="38" t="s">
        <v>120</v>
      </c>
    </row>
    <row r="114" spans="1:50" x14ac:dyDescent="0.45">
      <c r="A114" s="38" t="s">
        <v>17</v>
      </c>
      <c r="B114" s="38">
        <v>118</v>
      </c>
      <c r="C114" s="38" t="s">
        <v>119</v>
      </c>
      <c r="D114" s="38">
        <v>118</v>
      </c>
      <c r="E114" s="38">
        <v>16550</v>
      </c>
      <c r="F114" s="38">
        <f t="shared" si="2"/>
        <v>16.55</v>
      </c>
      <c r="G114" s="38">
        <v>3681718.75</v>
      </c>
      <c r="H114" s="38">
        <f t="shared" si="3"/>
        <v>3.6817187499999999</v>
      </c>
      <c r="I114" s="38">
        <v>2684</v>
      </c>
      <c r="J114" s="38">
        <v>2684</v>
      </c>
      <c r="K114" s="38" t="s">
        <v>120</v>
      </c>
      <c r="L114" s="38" t="s">
        <v>120</v>
      </c>
      <c r="M114" s="38" t="s">
        <v>120</v>
      </c>
      <c r="N114" s="38">
        <v>8.0271559999999997</v>
      </c>
      <c r="O114" s="38" t="s">
        <v>121</v>
      </c>
      <c r="P114" s="38" t="s">
        <v>121</v>
      </c>
      <c r="Q114" s="38" t="s">
        <v>120</v>
      </c>
      <c r="R114" s="38" t="s">
        <v>120</v>
      </c>
      <c r="S114" s="38" t="s">
        <v>120</v>
      </c>
      <c r="T114" s="38">
        <v>68.590908999999996</v>
      </c>
      <c r="U114" s="38">
        <v>76.590093999999993</v>
      </c>
      <c r="V114" s="38" t="s">
        <v>120</v>
      </c>
      <c r="W114" s="38" t="s">
        <v>120</v>
      </c>
      <c r="X114" s="38" t="s">
        <v>120</v>
      </c>
      <c r="Y114" s="38" t="s">
        <v>120</v>
      </c>
      <c r="Z114" s="38" t="s">
        <v>120</v>
      </c>
      <c r="AA114" s="38" t="s">
        <v>120</v>
      </c>
      <c r="AB114" s="38" t="s">
        <v>120</v>
      </c>
      <c r="AC114" s="38" t="s">
        <v>120</v>
      </c>
      <c r="AD114" s="38" t="s">
        <v>120</v>
      </c>
      <c r="AE114" s="38" t="s">
        <v>120</v>
      </c>
      <c r="AF114" s="38" t="s">
        <v>120</v>
      </c>
      <c r="AG114" s="38" t="s">
        <v>120</v>
      </c>
      <c r="AH114" s="38" t="s">
        <v>120</v>
      </c>
      <c r="AI114" s="38" t="s">
        <v>120</v>
      </c>
      <c r="AJ114" s="38" t="s">
        <v>120</v>
      </c>
      <c r="AK114" s="38" t="s">
        <v>120</v>
      </c>
      <c r="AL114" s="38" t="s">
        <v>120</v>
      </c>
      <c r="AM114" s="38" t="s">
        <v>120</v>
      </c>
      <c r="AN114" s="38" t="s">
        <v>120</v>
      </c>
      <c r="AO114" s="38" t="s">
        <v>120</v>
      </c>
      <c r="AP114" s="38" t="s">
        <v>120</v>
      </c>
      <c r="AQ114" s="38" t="s">
        <v>120</v>
      </c>
      <c r="AR114" s="38" t="s">
        <v>120</v>
      </c>
      <c r="AS114" s="38" t="s">
        <v>120</v>
      </c>
      <c r="AT114" s="38" t="s">
        <v>120</v>
      </c>
      <c r="AU114" s="38" t="s">
        <v>120</v>
      </c>
      <c r="AV114" s="38" t="s">
        <v>120</v>
      </c>
      <c r="AW114" s="38" t="s">
        <v>120</v>
      </c>
      <c r="AX114" s="38" t="s">
        <v>120</v>
      </c>
    </row>
    <row r="115" spans="1:50" x14ac:dyDescent="0.45">
      <c r="A115" s="38" t="s">
        <v>18</v>
      </c>
      <c r="B115" s="38">
        <v>119</v>
      </c>
      <c r="C115" s="38" t="s">
        <v>119</v>
      </c>
      <c r="D115" s="38">
        <v>119</v>
      </c>
      <c r="E115" s="38">
        <v>17850</v>
      </c>
      <c r="F115" s="38">
        <f t="shared" si="2"/>
        <v>17.850000000000001</v>
      </c>
      <c r="G115" s="38">
        <v>5526093.75</v>
      </c>
      <c r="H115" s="38">
        <f t="shared" si="3"/>
        <v>5.5260937500000002</v>
      </c>
      <c r="I115" s="38">
        <v>2685</v>
      </c>
      <c r="J115" s="38">
        <v>2685</v>
      </c>
      <c r="K115" s="38" t="s">
        <v>120</v>
      </c>
      <c r="L115" s="38" t="s">
        <v>120</v>
      </c>
      <c r="M115" s="38" t="s">
        <v>120</v>
      </c>
      <c r="N115" s="38">
        <v>12.367421999999999</v>
      </c>
      <c r="O115" s="38" t="s">
        <v>121</v>
      </c>
      <c r="P115" s="38" t="s">
        <v>121</v>
      </c>
      <c r="Q115" s="38" t="s">
        <v>120</v>
      </c>
      <c r="R115" s="38" t="s">
        <v>120</v>
      </c>
      <c r="S115" s="38" t="s">
        <v>120</v>
      </c>
      <c r="T115" s="38">
        <v>56.692228999999998</v>
      </c>
      <c r="U115" s="38">
        <v>76.781514000000001</v>
      </c>
      <c r="V115" s="38" t="s">
        <v>120</v>
      </c>
      <c r="W115" s="38" t="s">
        <v>120</v>
      </c>
      <c r="X115" s="38" t="s">
        <v>120</v>
      </c>
      <c r="Y115" s="38" t="s">
        <v>120</v>
      </c>
      <c r="Z115" s="38" t="s">
        <v>120</v>
      </c>
      <c r="AA115" s="38" t="s">
        <v>120</v>
      </c>
      <c r="AB115" s="38" t="s">
        <v>120</v>
      </c>
      <c r="AC115" s="38" t="s">
        <v>120</v>
      </c>
      <c r="AD115" s="38" t="s">
        <v>120</v>
      </c>
      <c r="AE115" s="38" t="s">
        <v>120</v>
      </c>
      <c r="AF115" s="38" t="s">
        <v>120</v>
      </c>
      <c r="AG115" s="38" t="s">
        <v>120</v>
      </c>
      <c r="AH115" s="38" t="s">
        <v>120</v>
      </c>
      <c r="AI115" s="38" t="s">
        <v>120</v>
      </c>
      <c r="AJ115" s="38" t="s">
        <v>120</v>
      </c>
      <c r="AK115" s="38" t="s">
        <v>120</v>
      </c>
      <c r="AL115" s="38" t="s">
        <v>120</v>
      </c>
      <c r="AM115" s="38" t="s">
        <v>120</v>
      </c>
      <c r="AN115" s="38" t="s">
        <v>120</v>
      </c>
      <c r="AO115" s="38" t="s">
        <v>120</v>
      </c>
      <c r="AP115" s="38" t="s">
        <v>120</v>
      </c>
      <c r="AQ115" s="38" t="s">
        <v>120</v>
      </c>
      <c r="AR115" s="38" t="s">
        <v>120</v>
      </c>
      <c r="AS115" s="38" t="s">
        <v>120</v>
      </c>
      <c r="AT115" s="38" t="s">
        <v>120</v>
      </c>
      <c r="AU115" s="38" t="s">
        <v>120</v>
      </c>
      <c r="AV115" s="38" t="s">
        <v>120</v>
      </c>
      <c r="AW115" s="38" t="s">
        <v>120</v>
      </c>
      <c r="AX115" s="38" t="s">
        <v>120</v>
      </c>
    </row>
    <row r="116" spans="1:50" x14ac:dyDescent="0.45">
      <c r="A116" s="38" t="s">
        <v>223</v>
      </c>
      <c r="B116" s="38">
        <v>121</v>
      </c>
      <c r="C116" s="38" t="s">
        <v>119</v>
      </c>
      <c r="D116" s="38">
        <v>121</v>
      </c>
      <c r="E116" s="38">
        <v>21100</v>
      </c>
      <c r="F116" s="38">
        <f t="shared" si="2"/>
        <v>21.1</v>
      </c>
      <c r="G116" s="38">
        <v>9101406.25</v>
      </c>
      <c r="H116" s="38">
        <f t="shared" si="3"/>
        <v>9.1014062500000001</v>
      </c>
      <c r="I116" s="38">
        <v>2687</v>
      </c>
      <c r="J116" s="38">
        <v>2687</v>
      </c>
      <c r="K116" s="38" t="s">
        <v>120</v>
      </c>
      <c r="L116" s="38" t="s">
        <v>120</v>
      </c>
      <c r="M116" s="38" t="s">
        <v>120</v>
      </c>
      <c r="N116" s="38">
        <v>26.648869000000001</v>
      </c>
      <c r="O116" s="38" t="s">
        <v>121</v>
      </c>
      <c r="P116" s="38" t="s">
        <v>121</v>
      </c>
      <c r="Q116" s="38" t="s">
        <v>120</v>
      </c>
      <c r="R116" s="38" t="s">
        <v>120</v>
      </c>
      <c r="S116" s="38" t="s">
        <v>120</v>
      </c>
      <c r="T116" s="38">
        <v>64.786783</v>
      </c>
      <c r="U116" s="38">
        <v>77.023183000000003</v>
      </c>
      <c r="V116" s="38" t="s">
        <v>120</v>
      </c>
      <c r="W116" s="38" t="s">
        <v>120</v>
      </c>
      <c r="X116" s="38" t="s">
        <v>120</v>
      </c>
      <c r="Y116" s="38" t="s">
        <v>120</v>
      </c>
      <c r="Z116" s="38" t="s">
        <v>120</v>
      </c>
      <c r="AA116" s="38" t="s">
        <v>120</v>
      </c>
      <c r="AB116" s="38" t="s">
        <v>120</v>
      </c>
      <c r="AC116" s="38" t="s">
        <v>120</v>
      </c>
      <c r="AD116" s="38" t="s">
        <v>120</v>
      </c>
      <c r="AE116" s="38" t="s">
        <v>120</v>
      </c>
      <c r="AF116" s="38" t="s">
        <v>120</v>
      </c>
      <c r="AG116" s="38" t="s">
        <v>120</v>
      </c>
      <c r="AH116" s="38" t="s">
        <v>120</v>
      </c>
      <c r="AI116" s="38" t="s">
        <v>120</v>
      </c>
      <c r="AJ116" s="38" t="s">
        <v>120</v>
      </c>
      <c r="AK116" s="38" t="s">
        <v>120</v>
      </c>
      <c r="AL116" s="38" t="s">
        <v>120</v>
      </c>
      <c r="AM116" s="38" t="s">
        <v>120</v>
      </c>
      <c r="AN116" s="38" t="s">
        <v>120</v>
      </c>
      <c r="AO116" s="38" t="s">
        <v>120</v>
      </c>
      <c r="AP116" s="38" t="s">
        <v>120</v>
      </c>
      <c r="AQ116" s="38" t="s">
        <v>120</v>
      </c>
      <c r="AR116" s="38" t="s">
        <v>120</v>
      </c>
      <c r="AS116" s="38" t="s">
        <v>120</v>
      </c>
      <c r="AT116" s="38" t="s">
        <v>120</v>
      </c>
      <c r="AU116" s="38" t="s">
        <v>120</v>
      </c>
      <c r="AV116" s="38" t="s">
        <v>120</v>
      </c>
      <c r="AW116" s="38" t="s">
        <v>120</v>
      </c>
      <c r="AX116" s="38" t="s">
        <v>120</v>
      </c>
    </row>
    <row r="117" spans="1:50" x14ac:dyDescent="0.45">
      <c r="A117" s="38" t="s">
        <v>19</v>
      </c>
      <c r="B117" s="38">
        <v>122</v>
      </c>
      <c r="C117" s="38" t="s">
        <v>119</v>
      </c>
      <c r="D117" s="38">
        <v>122</v>
      </c>
      <c r="E117" s="38">
        <v>15100</v>
      </c>
      <c r="F117" s="38">
        <f t="shared" si="2"/>
        <v>15.1</v>
      </c>
      <c r="G117" s="38">
        <v>3484843.75</v>
      </c>
      <c r="H117" s="38">
        <f t="shared" si="3"/>
        <v>3.48484375</v>
      </c>
      <c r="I117" s="38">
        <v>2688</v>
      </c>
      <c r="J117" s="38">
        <v>2688</v>
      </c>
      <c r="K117" s="38" t="s">
        <v>120</v>
      </c>
      <c r="L117" s="38" t="s">
        <v>120</v>
      </c>
      <c r="M117" s="38" t="s">
        <v>120</v>
      </c>
      <c r="N117" s="38">
        <v>12.622348000000001</v>
      </c>
      <c r="O117" s="38" t="s">
        <v>121</v>
      </c>
      <c r="P117" s="38" t="s">
        <v>121</v>
      </c>
      <c r="Q117" s="38" t="s">
        <v>120</v>
      </c>
      <c r="R117" s="38" t="s">
        <v>120</v>
      </c>
      <c r="S117" s="38" t="s">
        <v>120</v>
      </c>
      <c r="T117" s="38">
        <v>70.102327000000002</v>
      </c>
      <c r="U117" s="38">
        <v>77.065083999999999</v>
      </c>
      <c r="V117" s="38" t="s">
        <v>120</v>
      </c>
      <c r="W117" s="38" t="s">
        <v>120</v>
      </c>
      <c r="X117" s="38" t="s">
        <v>120</v>
      </c>
      <c r="Y117" s="38" t="s">
        <v>120</v>
      </c>
      <c r="Z117" s="38" t="s">
        <v>120</v>
      </c>
      <c r="AA117" s="38" t="s">
        <v>120</v>
      </c>
      <c r="AB117" s="38" t="s">
        <v>120</v>
      </c>
      <c r="AC117" s="38" t="s">
        <v>120</v>
      </c>
      <c r="AD117" s="38" t="s">
        <v>120</v>
      </c>
      <c r="AE117" s="38" t="s">
        <v>120</v>
      </c>
      <c r="AF117" s="38" t="s">
        <v>120</v>
      </c>
      <c r="AG117" s="38" t="s">
        <v>120</v>
      </c>
      <c r="AH117" s="38" t="s">
        <v>120</v>
      </c>
      <c r="AI117" s="38" t="s">
        <v>120</v>
      </c>
      <c r="AJ117" s="38" t="s">
        <v>120</v>
      </c>
      <c r="AK117" s="38" t="s">
        <v>120</v>
      </c>
      <c r="AL117" s="38" t="s">
        <v>120</v>
      </c>
      <c r="AM117" s="38" t="s">
        <v>120</v>
      </c>
      <c r="AN117" s="38" t="s">
        <v>120</v>
      </c>
      <c r="AO117" s="38" t="s">
        <v>120</v>
      </c>
      <c r="AP117" s="38" t="s">
        <v>120</v>
      </c>
      <c r="AQ117" s="38" t="s">
        <v>120</v>
      </c>
      <c r="AR117" s="38" t="s">
        <v>120</v>
      </c>
      <c r="AS117" s="38" t="s">
        <v>120</v>
      </c>
      <c r="AT117" s="38" t="s">
        <v>120</v>
      </c>
      <c r="AU117" s="38" t="s">
        <v>120</v>
      </c>
      <c r="AV117" s="38" t="s">
        <v>120</v>
      </c>
      <c r="AW117" s="38" t="s">
        <v>120</v>
      </c>
      <c r="AX117" s="38" t="s">
        <v>120</v>
      </c>
    </row>
    <row r="118" spans="1:50" x14ac:dyDescent="0.45">
      <c r="A118" s="38" t="s">
        <v>224</v>
      </c>
      <c r="B118" s="38">
        <v>123</v>
      </c>
      <c r="C118" s="38" t="s">
        <v>119</v>
      </c>
      <c r="D118" s="38">
        <v>123</v>
      </c>
      <c r="E118" s="38">
        <v>4650</v>
      </c>
      <c r="F118" s="38">
        <f t="shared" si="2"/>
        <v>4.6500000000000004</v>
      </c>
      <c r="G118" s="38">
        <v>464062.5</v>
      </c>
      <c r="H118" s="38">
        <f t="shared" si="3"/>
        <v>0.46406249999999999</v>
      </c>
      <c r="I118" s="38">
        <v>2689</v>
      </c>
      <c r="J118" s="38">
        <v>2689</v>
      </c>
      <c r="K118" s="38" t="s">
        <v>120</v>
      </c>
      <c r="L118" s="38" t="s">
        <v>120</v>
      </c>
      <c r="M118" s="38" t="s">
        <v>120</v>
      </c>
      <c r="N118" s="38">
        <v>8.6032729999999997</v>
      </c>
      <c r="O118" s="38" t="s">
        <v>121</v>
      </c>
      <c r="P118" s="38" t="s">
        <v>121</v>
      </c>
      <c r="Q118" s="38" t="s">
        <v>120</v>
      </c>
      <c r="R118" s="38" t="s">
        <v>120</v>
      </c>
      <c r="S118" s="38" t="s">
        <v>120</v>
      </c>
      <c r="T118" s="38">
        <v>60.362139999999997</v>
      </c>
      <c r="U118" s="38">
        <v>76.948556999999994</v>
      </c>
      <c r="V118" s="38" t="s">
        <v>120</v>
      </c>
      <c r="W118" s="38" t="s">
        <v>120</v>
      </c>
      <c r="X118" s="38" t="s">
        <v>120</v>
      </c>
      <c r="Y118" s="38" t="s">
        <v>120</v>
      </c>
      <c r="Z118" s="38" t="s">
        <v>120</v>
      </c>
      <c r="AA118" s="38" t="s">
        <v>120</v>
      </c>
      <c r="AB118" s="38" t="s">
        <v>120</v>
      </c>
      <c r="AC118" s="38" t="s">
        <v>120</v>
      </c>
      <c r="AD118" s="38" t="s">
        <v>120</v>
      </c>
      <c r="AE118" s="38" t="s">
        <v>120</v>
      </c>
      <c r="AF118" s="38" t="s">
        <v>120</v>
      </c>
      <c r="AG118" s="38" t="s">
        <v>120</v>
      </c>
      <c r="AH118" s="38" t="s">
        <v>120</v>
      </c>
      <c r="AI118" s="38" t="s">
        <v>120</v>
      </c>
      <c r="AJ118" s="38" t="s">
        <v>120</v>
      </c>
      <c r="AK118" s="38" t="s">
        <v>120</v>
      </c>
      <c r="AL118" s="38" t="s">
        <v>120</v>
      </c>
      <c r="AM118" s="38" t="s">
        <v>120</v>
      </c>
      <c r="AN118" s="38" t="s">
        <v>120</v>
      </c>
      <c r="AO118" s="38" t="s">
        <v>120</v>
      </c>
      <c r="AP118" s="38" t="s">
        <v>120</v>
      </c>
      <c r="AQ118" s="38" t="s">
        <v>120</v>
      </c>
      <c r="AR118" s="38" t="s">
        <v>120</v>
      </c>
      <c r="AS118" s="38" t="s">
        <v>120</v>
      </c>
      <c r="AT118" s="38" t="s">
        <v>120</v>
      </c>
      <c r="AU118" s="38" t="s">
        <v>120</v>
      </c>
      <c r="AV118" s="38" t="s">
        <v>120</v>
      </c>
      <c r="AW118" s="38" t="s">
        <v>120</v>
      </c>
      <c r="AX118" s="38" t="s">
        <v>120</v>
      </c>
    </row>
    <row r="119" spans="1:50" x14ac:dyDescent="0.45">
      <c r="A119" s="38" t="s">
        <v>20</v>
      </c>
      <c r="B119" s="38">
        <v>124</v>
      </c>
      <c r="C119" s="38" t="s">
        <v>119</v>
      </c>
      <c r="D119" s="38">
        <v>124</v>
      </c>
      <c r="E119" s="38">
        <v>5350</v>
      </c>
      <c r="F119" s="38">
        <f t="shared" si="2"/>
        <v>5.35</v>
      </c>
      <c r="G119" s="38">
        <v>490625</v>
      </c>
      <c r="H119" s="38">
        <f t="shared" si="3"/>
        <v>0.49062499999999998</v>
      </c>
      <c r="I119" s="38">
        <v>2690</v>
      </c>
      <c r="J119" s="38">
        <v>2690</v>
      </c>
      <c r="K119" s="38" t="s">
        <v>120</v>
      </c>
      <c r="L119" s="38" t="s">
        <v>120</v>
      </c>
      <c r="M119" s="38" t="s">
        <v>120</v>
      </c>
      <c r="N119" s="38">
        <v>8.9123809999999999</v>
      </c>
      <c r="O119" s="38" t="s">
        <v>121</v>
      </c>
      <c r="P119" s="38" t="s">
        <v>121</v>
      </c>
      <c r="Q119" s="38" t="s">
        <v>120</v>
      </c>
      <c r="R119" s="38" t="s">
        <v>120</v>
      </c>
      <c r="S119" s="38" t="s">
        <v>120</v>
      </c>
      <c r="T119" s="38">
        <v>68.944551000000004</v>
      </c>
      <c r="U119" s="38">
        <v>76.975762000000003</v>
      </c>
      <c r="V119" s="38" t="s">
        <v>120</v>
      </c>
      <c r="W119" s="38" t="s">
        <v>120</v>
      </c>
      <c r="X119" s="38" t="s">
        <v>120</v>
      </c>
      <c r="Y119" s="38" t="s">
        <v>120</v>
      </c>
      <c r="Z119" s="38" t="s">
        <v>120</v>
      </c>
      <c r="AA119" s="38" t="s">
        <v>120</v>
      </c>
      <c r="AB119" s="38" t="s">
        <v>120</v>
      </c>
      <c r="AC119" s="38" t="s">
        <v>120</v>
      </c>
      <c r="AD119" s="38" t="s">
        <v>120</v>
      </c>
      <c r="AE119" s="38" t="s">
        <v>120</v>
      </c>
      <c r="AF119" s="38" t="s">
        <v>120</v>
      </c>
      <c r="AG119" s="38" t="s">
        <v>120</v>
      </c>
      <c r="AH119" s="38" t="s">
        <v>120</v>
      </c>
      <c r="AI119" s="38" t="s">
        <v>120</v>
      </c>
      <c r="AJ119" s="38" t="s">
        <v>120</v>
      </c>
      <c r="AK119" s="38" t="s">
        <v>120</v>
      </c>
      <c r="AL119" s="38" t="s">
        <v>120</v>
      </c>
      <c r="AM119" s="38" t="s">
        <v>120</v>
      </c>
      <c r="AN119" s="38" t="s">
        <v>120</v>
      </c>
      <c r="AO119" s="38" t="s">
        <v>120</v>
      </c>
      <c r="AP119" s="38" t="s">
        <v>120</v>
      </c>
      <c r="AQ119" s="38" t="s">
        <v>120</v>
      </c>
      <c r="AR119" s="38" t="s">
        <v>120</v>
      </c>
      <c r="AS119" s="38" t="s">
        <v>120</v>
      </c>
      <c r="AT119" s="38" t="s">
        <v>120</v>
      </c>
      <c r="AU119" s="38" t="s">
        <v>120</v>
      </c>
      <c r="AV119" s="38" t="s">
        <v>120</v>
      </c>
      <c r="AW119" s="38" t="s">
        <v>120</v>
      </c>
      <c r="AX119" s="38" t="s">
        <v>120</v>
      </c>
    </row>
    <row r="120" spans="1:50" x14ac:dyDescent="0.45">
      <c r="A120" s="38" t="s">
        <v>21</v>
      </c>
      <c r="B120" s="38">
        <v>125</v>
      </c>
      <c r="C120" s="38" t="s">
        <v>119</v>
      </c>
      <c r="D120" s="38">
        <v>125</v>
      </c>
      <c r="E120" s="38">
        <v>21250</v>
      </c>
      <c r="F120" s="38">
        <f t="shared" si="2"/>
        <v>21.25</v>
      </c>
      <c r="G120" s="38">
        <v>6614531.25</v>
      </c>
      <c r="H120" s="38">
        <f t="shared" si="3"/>
        <v>6.6145312499999998</v>
      </c>
      <c r="I120" s="38">
        <v>2691</v>
      </c>
      <c r="J120" s="38">
        <v>2691</v>
      </c>
      <c r="K120" s="38" t="s">
        <v>120</v>
      </c>
      <c r="L120" s="38" t="s">
        <v>120</v>
      </c>
      <c r="M120" s="38" t="s">
        <v>120</v>
      </c>
      <c r="N120" s="38">
        <v>8.8770930000000003</v>
      </c>
      <c r="O120" s="38" t="s">
        <v>121</v>
      </c>
      <c r="P120" s="38" t="s">
        <v>121</v>
      </c>
      <c r="Q120" s="38" t="s">
        <v>120</v>
      </c>
      <c r="R120" s="38" t="s">
        <v>120</v>
      </c>
      <c r="S120" s="38" t="s">
        <v>120</v>
      </c>
      <c r="T120" s="38">
        <v>64.938463999999996</v>
      </c>
      <c r="U120" s="38">
        <v>77.079503000000003</v>
      </c>
      <c r="V120" s="38" t="s">
        <v>120</v>
      </c>
      <c r="W120" s="38" t="s">
        <v>120</v>
      </c>
      <c r="X120" s="38" t="s">
        <v>120</v>
      </c>
      <c r="Y120" s="38" t="s">
        <v>120</v>
      </c>
      <c r="Z120" s="38" t="s">
        <v>120</v>
      </c>
      <c r="AA120" s="38" t="s">
        <v>120</v>
      </c>
      <c r="AB120" s="38" t="s">
        <v>120</v>
      </c>
      <c r="AC120" s="38" t="s">
        <v>120</v>
      </c>
      <c r="AD120" s="38" t="s">
        <v>120</v>
      </c>
      <c r="AE120" s="38" t="s">
        <v>120</v>
      </c>
      <c r="AF120" s="38" t="s">
        <v>120</v>
      </c>
      <c r="AG120" s="38" t="s">
        <v>120</v>
      </c>
      <c r="AH120" s="38" t="s">
        <v>120</v>
      </c>
      <c r="AI120" s="38" t="s">
        <v>120</v>
      </c>
      <c r="AJ120" s="38" t="s">
        <v>120</v>
      </c>
      <c r="AK120" s="38" t="s">
        <v>120</v>
      </c>
      <c r="AL120" s="38" t="s">
        <v>120</v>
      </c>
      <c r="AM120" s="38" t="s">
        <v>120</v>
      </c>
      <c r="AN120" s="38" t="s">
        <v>120</v>
      </c>
      <c r="AO120" s="38" t="s">
        <v>120</v>
      </c>
      <c r="AP120" s="38" t="s">
        <v>120</v>
      </c>
      <c r="AQ120" s="38" t="s">
        <v>120</v>
      </c>
      <c r="AR120" s="38" t="s">
        <v>120</v>
      </c>
      <c r="AS120" s="38" t="s">
        <v>120</v>
      </c>
      <c r="AT120" s="38" t="s">
        <v>120</v>
      </c>
      <c r="AU120" s="38" t="s">
        <v>120</v>
      </c>
      <c r="AV120" s="38" t="s">
        <v>120</v>
      </c>
      <c r="AW120" s="38" t="s">
        <v>120</v>
      </c>
      <c r="AX120" s="38" t="s">
        <v>120</v>
      </c>
    </row>
    <row r="121" spans="1:50" x14ac:dyDescent="0.45">
      <c r="A121" s="38" t="s">
        <v>22</v>
      </c>
      <c r="B121" s="38">
        <v>126</v>
      </c>
      <c r="C121" s="38" t="s">
        <v>119</v>
      </c>
      <c r="D121" s="38">
        <v>126</v>
      </c>
      <c r="E121" s="38">
        <v>250</v>
      </c>
      <c r="F121" s="38">
        <f t="shared" si="2"/>
        <v>0.25</v>
      </c>
      <c r="G121" s="38">
        <v>1562.5</v>
      </c>
      <c r="H121" s="38">
        <f t="shared" si="3"/>
        <v>1.5625000000000001E-3</v>
      </c>
      <c r="I121" s="38">
        <v>2692</v>
      </c>
      <c r="J121" s="38">
        <v>2692</v>
      </c>
      <c r="K121" s="38" t="s">
        <v>120</v>
      </c>
      <c r="L121" s="38" t="s">
        <v>120</v>
      </c>
      <c r="M121" s="38" t="s">
        <v>120</v>
      </c>
      <c r="N121" s="38">
        <v>9.2921040000000001</v>
      </c>
      <c r="O121" s="38" t="s">
        <v>121</v>
      </c>
      <c r="P121" s="38" t="s">
        <v>121</v>
      </c>
      <c r="Q121" s="38" t="s">
        <v>120</v>
      </c>
      <c r="R121" s="38" t="s">
        <v>120</v>
      </c>
      <c r="S121" s="38" t="s">
        <v>120</v>
      </c>
      <c r="T121" s="38">
        <v>67</v>
      </c>
      <c r="U121" s="38">
        <v>76.993347</v>
      </c>
      <c r="V121" s="38" t="s">
        <v>120</v>
      </c>
      <c r="W121" s="38" t="s">
        <v>120</v>
      </c>
      <c r="X121" s="38" t="s">
        <v>120</v>
      </c>
      <c r="Y121" s="38" t="s">
        <v>120</v>
      </c>
      <c r="Z121" s="38" t="s">
        <v>120</v>
      </c>
      <c r="AA121" s="38" t="s">
        <v>120</v>
      </c>
      <c r="AB121" s="38" t="s">
        <v>120</v>
      </c>
      <c r="AC121" s="38" t="s">
        <v>120</v>
      </c>
      <c r="AD121" s="38" t="s">
        <v>120</v>
      </c>
      <c r="AE121" s="38" t="s">
        <v>120</v>
      </c>
      <c r="AF121" s="38" t="s">
        <v>120</v>
      </c>
      <c r="AG121" s="38" t="s">
        <v>120</v>
      </c>
      <c r="AH121" s="38" t="s">
        <v>120</v>
      </c>
      <c r="AI121" s="38" t="s">
        <v>120</v>
      </c>
      <c r="AJ121" s="38" t="s">
        <v>120</v>
      </c>
      <c r="AK121" s="38" t="s">
        <v>120</v>
      </c>
      <c r="AL121" s="38" t="s">
        <v>120</v>
      </c>
      <c r="AM121" s="38" t="s">
        <v>120</v>
      </c>
      <c r="AN121" s="38" t="s">
        <v>120</v>
      </c>
      <c r="AO121" s="38" t="s">
        <v>120</v>
      </c>
      <c r="AP121" s="38" t="s">
        <v>120</v>
      </c>
      <c r="AQ121" s="38" t="s">
        <v>120</v>
      </c>
      <c r="AR121" s="38" t="s">
        <v>120</v>
      </c>
      <c r="AS121" s="38" t="s">
        <v>120</v>
      </c>
      <c r="AT121" s="38" t="s">
        <v>120</v>
      </c>
      <c r="AU121" s="38" t="s">
        <v>120</v>
      </c>
      <c r="AV121" s="38" t="s">
        <v>120</v>
      </c>
      <c r="AW121" s="38" t="s">
        <v>120</v>
      </c>
      <c r="AX121" s="38" t="s">
        <v>120</v>
      </c>
    </row>
    <row r="122" spans="1:50" x14ac:dyDescent="0.45">
      <c r="A122" s="38" t="s">
        <v>23</v>
      </c>
      <c r="B122" s="38">
        <v>127</v>
      </c>
      <c r="C122" s="38" t="s">
        <v>119</v>
      </c>
      <c r="D122" s="38">
        <v>127</v>
      </c>
      <c r="E122" s="38">
        <v>2025</v>
      </c>
      <c r="F122" s="38">
        <f t="shared" si="2"/>
        <v>2.0249999999999999</v>
      </c>
      <c r="G122" s="38">
        <v>110625</v>
      </c>
      <c r="H122" s="38">
        <f t="shared" si="3"/>
        <v>0.110625</v>
      </c>
      <c r="I122" s="38">
        <v>2693</v>
      </c>
      <c r="J122" s="38">
        <v>2693</v>
      </c>
      <c r="K122" s="38" t="s">
        <v>120</v>
      </c>
      <c r="L122" s="38" t="s">
        <v>120</v>
      </c>
      <c r="M122" s="38" t="s">
        <v>120</v>
      </c>
      <c r="N122" s="38">
        <v>13.083462000000001</v>
      </c>
      <c r="O122" s="38" t="s">
        <v>121</v>
      </c>
      <c r="P122" s="38" t="s">
        <v>121</v>
      </c>
      <c r="Q122" s="38" t="s">
        <v>120</v>
      </c>
      <c r="R122" s="38" t="s">
        <v>120</v>
      </c>
      <c r="S122" s="38" t="s">
        <v>120</v>
      </c>
      <c r="T122" s="38">
        <v>60.128205000000001</v>
      </c>
      <c r="U122" s="38">
        <v>76.992400000000004</v>
      </c>
      <c r="V122" s="38" t="s">
        <v>120</v>
      </c>
      <c r="W122" s="38" t="s">
        <v>120</v>
      </c>
      <c r="X122" s="38" t="s">
        <v>120</v>
      </c>
      <c r="Y122" s="38" t="s">
        <v>120</v>
      </c>
      <c r="Z122" s="38" t="s">
        <v>120</v>
      </c>
      <c r="AA122" s="38" t="s">
        <v>120</v>
      </c>
      <c r="AB122" s="38" t="s">
        <v>120</v>
      </c>
      <c r="AC122" s="38" t="s">
        <v>120</v>
      </c>
      <c r="AD122" s="38" t="s">
        <v>120</v>
      </c>
      <c r="AE122" s="38" t="s">
        <v>120</v>
      </c>
      <c r="AF122" s="38" t="s">
        <v>120</v>
      </c>
      <c r="AG122" s="38" t="s">
        <v>120</v>
      </c>
      <c r="AH122" s="38" t="s">
        <v>120</v>
      </c>
      <c r="AI122" s="38" t="s">
        <v>120</v>
      </c>
      <c r="AJ122" s="38" t="s">
        <v>120</v>
      </c>
      <c r="AK122" s="38" t="s">
        <v>120</v>
      </c>
      <c r="AL122" s="38" t="s">
        <v>120</v>
      </c>
      <c r="AM122" s="38" t="s">
        <v>120</v>
      </c>
      <c r="AN122" s="38" t="s">
        <v>120</v>
      </c>
      <c r="AO122" s="38" t="s">
        <v>120</v>
      </c>
      <c r="AP122" s="38" t="s">
        <v>120</v>
      </c>
      <c r="AQ122" s="38" t="s">
        <v>120</v>
      </c>
      <c r="AR122" s="38" t="s">
        <v>120</v>
      </c>
      <c r="AS122" s="38" t="s">
        <v>120</v>
      </c>
      <c r="AT122" s="38" t="s">
        <v>120</v>
      </c>
      <c r="AU122" s="38" t="s">
        <v>120</v>
      </c>
      <c r="AV122" s="38" t="s">
        <v>120</v>
      </c>
      <c r="AW122" s="38" t="s">
        <v>120</v>
      </c>
      <c r="AX122" s="38" t="s">
        <v>120</v>
      </c>
    </row>
    <row r="123" spans="1:50" x14ac:dyDescent="0.45">
      <c r="A123" s="38" t="s">
        <v>24</v>
      </c>
      <c r="B123" s="38">
        <v>128</v>
      </c>
      <c r="C123" s="38" t="s">
        <v>119</v>
      </c>
      <c r="D123" s="38">
        <v>128</v>
      </c>
      <c r="E123" s="38">
        <v>21425</v>
      </c>
      <c r="F123" s="38">
        <f t="shared" si="2"/>
        <v>21.425000000000001</v>
      </c>
      <c r="G123" s="38">
        <v>12036875</v>
      </c>
      <c r="H123" s="38">
        <f t="shared" si="3"/>
        <v>12.036875</v>
      </c>
      <c r="I123" s="38">
        <v>2694</v>
      </c>
      <c r="J123" s="38">
        <v>2694</v>
      </c>
      <c r="K123" s="38" t="s">
        <v>120</v>
      </c>
      <c r="L123" s="38" t="s">
        <v>120</v>
      </c>
      <c r="M123" s="38" t="s">
        <v>120</v>
      </c>
      <c r="N123" s="38">
        <v>33.212749000000002</v>
      </c>
      <c r="O123" s="38" t="s">
        <v>121</v>
      </c>
      <c r="P123" s="38" t="s">
        <v>121</v>
      </c>
      <c r="Q123" s="38" t="s">
        <v>120</v>
      </c>
      <c r="R123" s="38" t="s">
        <v>120</v>
      </c>
      <c r="S123" s="38" t="s">
        <v>120</v>
      </c>
      <c r="T123" s="38">
        <v>59.005809999999997</v>
      </c>
      <c r="U123" s="38">
        <v>76.984435000000005</v>
      </c>
      <c r="V123" s="38" t="s">
        <v>120</v>
      </c>
      <c r="W123" s="38" t="s">
        <v>120</v>
      </c>
      <c r="X123" s="38" t="s">
        <v>120</v>
      </c>
      <c r="Y123" s="38" t="s">
        <v>120</v>
      </c>
      <c r="Z123" s="38" t="s">
        <v>120</v>
      </c>
      <c r="AA123" s="38" t="s">
        <v>120</v>
      </c>
      <c r="AB123" s="38" t="s">
        <v>120</v>
      </c>
      <c r="AC123" s="38" t="s">
        <v>120</v>
      </c>
      <c r="AD123" s="38" t="s">
        <v>120</v>
      </c>
      <c r="AE123" s="38" t="s">
        <v>120</v>
      </c>
      <c r="AF123" s="38" t="s">
        <v>120</v>
      </c>
      <c r="AG123" s="38" t="s">
        <v>120</v>
      </c>
      <c r="AH123" s="38" t="s">
        <v>120</v>
      </c>
      <c r="AI123" s="38" t="s">
        <v>120</v>
      </c>
      <c r="AJ123" s="38" t="s">
        <v>120</v>
      </c>
      <c r="AK123" s="38" t="s">
        <v>120</v>
      </c>
      <c r="AL123" s="38" t="s">
        <v>120</v>
      </c>
      <c r="AM123" s="38" t="s">
        <v>120</v>
      </c>
      <c r="AN123" s="38" t="s">
        <v>120</v>
      </c>
      <c r="AO123" s="38" t="s">
        <v>120</v>
      </c>
      <c r="AP123" s="38" t="s">
        <v>120</v>
      </c>
      <c r="AQ123" s="38" t="s">
        <v>120</v>
      </c>
      <c r="AR123" s="38" t="s">
        <v>120</v>
      </c>
      <c r="AS123" s="38" t="s">
        <v>120</v>
      </c>
      <c r="AT123" s="38" t="s">
        <v>120</v>
      </c>
      <c r="AU123" s="38" t="s">
        <v>120</v>
      </c>
      <c r="AV123" s="38" t="s">
        <v>120</v>
      </c>
      <c r="AW123" s="38" t="s">
        <v>120</v>
      </c>
      <c r="AX123" s="38" t="s">
        <v>120</v>
      </c>
    </row>
    <row r="124" spans="1:50" x14ac:dyDescent="0.45">
      <c r="A124" s="38" t="s">
        <v>225</v>
      </c>
      <c r="B124" s="38">
        <v>129</v>
      </c>
      <c r="C124" s="38" t="s">
        <v>119</v>
      </c>
      <c r="D124" s="38">
        <v>129</v>
      </c>
      <c r="E124" s="38">
        <v>2325</v>
      </c>
      <c r="F124" s="38">
        <f t="shared" si="2"/>
        <v>2.3250000000000002</v>
      </c>
      <c r="G124" s="38">
        <v>159062.5</v>
      </c>
      <c r="H124" s="38">
        <f t="shared" si="3"/>
        <v>0.1590625</v>
      </c>
      <c r="I124" s="38">
        <v>2695</v>
      </c>
      <c r="J124" s="38">
        <v>2695</v>
      </c>
      <c r="K124" s="38" t="s">
        <v>120</v>
      </c>
      <c r="L124" s="38" t="s">
        <v>120</v>
      </c>
      <c r="M124" s="38" t="s">
        <v>120</v>
      </c>
      <c r="N124" s="38">
        <v>8.9377169999999992</v>
      </c>
      <c r="O124" s="38" t="s">
        <v>121</v>
      </c>
      <c r="P124" s="38" t="s">
        <v>121</v>
      </c>
      <c r="Q124" s="38" t="s">
        <v>120</v>
      </c>
      <c r="R124" s="38" t="s">
        <v>120</v>
      </c>
      <c r="S124" s="38" t="s">
        <v>120</v>
      </c>
      <c r="T124" s="38">
        <v>76.147058999999999</v>
      </c>
      <c r="U124" s="38">
        <v>76.248654000000002</v>
      </c>
      <c r="V124" s="38" t="s">
        <v>120</v>
      </c>
      <c r="W124" s="38" t="s">
        <v>120</v>
      </c>
      <c r="X124" s="38" t="s">
        <v>120</v>
      </c>
      <c r="Y124" s="38" t="s">
        <v>120</v>
      </c>
      <c r="Z124" s="38" t="s">
        <v>120</v>
      </c>
      <c r="AA124" s="38" t="s">
        <v>120</v>
      </c>
      <c r="AB124" s="38" t="s">
        <v>120</v>
      </c>
      <c r="AC124" s="38" t="s">
        <v>120</v>
      </c>
      <c r="AD124" s="38" t="s">
        <v>120</v>
      </c>
      <c r="AE124" s="38" t="s">
        <v>120</v>
      </c>
      <c r="AF124" s="38" t="s">
        <v>120</v>
      </c>
      <c r="AG124" s="38" t="s">
        <v>120</v>
      </c>
      <c r="AH124" s="38" t="s">
        <v>120</v>
      </c>
      <c r="AI124" s="38" t="s">
        <v>120</v>
      </c>
      <c r="AJ124" s="38" t="s">
        <v>120</v>
      </c>
      <c r="AK124" s="38" t="s">
        <v>120</v>
      </c>
      <c r="AL124" s="38" t="s">
        <v>120</v>
      </c>
      <c r="AM124" s="38" t="s">
        <v>120</v>
      </c>
      <c r="AN124" s="38" t="s">
        <v>120</v>
      </c>
      <c r="AO124" s="38" t="s">
        <v>120</v>
      </c>
      <c r="AP124" s="38" t="s">
        <v>120</v>
      </c>
      <c r="AQ124" s="38" t="s">
        <v>120</v>
      </c>
      <c r="AR124" s="38" t="s">
        <v>120</v>
      </c>
      <c r="AS124" s="38" t="s">
        <v>120</v>
      </c>
      <c r="AT124" s="38" t="s">
        <v>120</v>
      </c>
      <c r="AU124" s="38" t="s">
        <v>120</v>
      </c>
      <c r="AV124" s="38" t="s">
        <v>120</v>
      </c>
      <c r="AW124" s="38" t="s">
        <v>120</v>
      </c>
      <c r="AX124" s="38" t="s">
        <v>120</v>
      </c>
    </row>
    <row r="125" spans="1:50" x14ac:dyDescent="0.45">
      <c r="A125" s="38" t="s">
        <v>25</v>
      </c>
      <c r="B125" s="38">
        <v>130</v>
      </c>
      <c r="C125" s="38" t="s">
        <v>119</v>
      </c>
      <c r="D125" s="38">
        <v>130</v>
      </c>
      <c r="E125" s="38">
        <v>28975</v>
      </c>
      <c r="F125" s="38">
        <f t="shared" si="2"/>
        <v>28.975000000000001</v>
      </c>
      <c r="G125" s="38">
        <v>17039218.75</v>
      </c>
      <c r="H125" s="38">
        <f t="shared" si="3"/>
        <v>17.03921875</v>
      </c>
      <c r="I125" s="38">
        <v>2696</v>
      </c>
      <c r="J125" s="38">
        <v>2696</v>
      </c>
      <c r="K125" s="38" t="s">
        <v>120</v>
      </c>
      <c r="L125" s="38" t="s">
        <v>120</v>
      </c>
      <c r="M125" s="38" t="s">
        <v>120</v>
      </c>
      <c r="N125" s="38">
        <v>20.997906</v>
      </c>
      <c r="O125" s="38" t="s">
        <v>121</v>
      </c>
      <c r="P125" s="38" t="s">
        <v>121</v>
      </c>
      <c r="Q125" s="38" t="s">
        <v>120</v>
      </c>
      <c r="R125" s="38" t="s">
        <v>120</v>
      </c>
      <c r="S125" s="38" t="s">
        <v>120</v>
      </c>
      <c r="T125" s="38">
        <v>70.473813000000007</v>
      </c>
      <c r="U125" s="38">
        <v>77.105700999999996</v>
      </c>
      <c r="V125" s="38" t="s">
        <v>120</v>
      </c>
      <c r="W125" s="38" t="s">
        <v>120</v>
      </c>
      <c r="X125" s="38" t="s">
        <v>120</v>
      </c>
      <c r="Y125" s="38" t="s">
        <v>120</v>
      </c>
      <c r="Z125" s="38" t="s">
        <v>120</v>
      </c>
      <c r="AA125" s="38" t="s">
        <v>120</v>
      </c>
      <c r="AB125" s="38" t="s">
        <v>120</v>
      </c>
      <c r="AC125" s="38" t="s">
        <v>120</v>
      </c>
      <c r="AD125" s="38" t="s">
        <v>120</v>
      </c>
      <c r="AE125" s="38" t="s">
        <v>120</v>
      </c>
      <c r="AF125" s="38" t="s">
        <v>120</v>
      </c>
      <c r="AG125" s="38" t="s">
        <v>120</v>
      </c>
      <c r="AH125" s="38" t="s">
        <v>120</v>
      </c>
      <c r="AI125" s="38" t="s">
        <v>120</v>
      </c>
      <c r="AJ125" s="38" t="s">
        <v>120</v>
      </c>
      <c r="AK125" s="38" t="s">
        <v>120</v>
      </c>
      <c r="AL125" s="38" t="s">
        <v>120</v>
      </c>
      <c r="AM125" s="38" t="s">
        <v>120</v>
      </c>
      <c r="AN125" s="38" t="s">
        <v>120</v>
      </c>
      <c r="AO125" s="38" t="s">
        <v>120</v>
      </c>
      <c r="AP125" s="38" t="s">
        <v>120</v>
      </c>
      <c r="AQ125" s="38" t="s">
        <v>120</v>
      </c>
      <c r="AR125" s="38" t="s">
        <v>120</v>
      </c>
      <c r="AS125" s="38" t="s">
        <v>120</v>
      </c>
      <c r="AT125" s="38" t="s">
        <v>120</v>
      </c>
      <c r="AU125" s="38" t="s">
        <v>120</v>
      </c>
      <c r="AV125" s="38" t="s">
        <v>120</v>
      </c>
      <c r="AW125" s="38" t="s">
        <v>120</v>
      </c>
      <c r="AX125" s="38" t="s">
        <v>120</v>
      </c>
    </row>
    <row r="126" spans="1:50" x14ac:dyDescent="0.45">
      <c r="A126" s="38" t="s">
        <v>26</v>
      </c>
      <c r="B126" s="38">
        <v>131</v>
      </c>
      <c r="C126" s="38" t="s">
        <v>119</v>
      </c>
      <c r="D126" s="38">
        <v>131</v>
      </c>
      <c r="E126" s="38">
        <v>15375</v>
      </c>
      <c r="F126" s="38">
        <f t="shared" si="2"/>
        <v>15.375</v>
      </c>
      <c r="G126" s="38">
        <v>8341718.75</v>
      </c>
      <c r="H126" s="38">
        <f t="shared" si="3"/>
        <v>8.3417187500000001</v>
      </c>
      <c r="I126" s="38">
        <v>2697</v>
      </c>
      <c r="J126" s="38">
        <v>2697</v>
      </c>
      <c r="K126" s="38" t="s">
        <v>120</v>
      </c>
      <c r="L126" s="38" t="s">
        <v>120</v>
      </c>
      <c r="M126" s="38" t="s">
        <v>120</v>
      </c>
      <c r="N126" s="38">
        <v>56.354819999999997</v>
      </c>
      <c r="O126" s="38" t="s">
        <v>121</v>
      </c>
      <c r="P126" s="38" t="s">
        <v>121</v>
      </c>
      <c r="Q126" s="38" t="s">
        <v>120</v>
      </c>
      <c r="R126" s="38" t="s">
        <v>120</v>
      </c>
      <c r="S126" s="38" t="s">
        <v>120</v>
      </c>
      <c r="T126" s="38">
        <v>79</v>
      </c>
      <c r="U126" s="38">
        <v>77.268124</v>
      </c>
      <c r="V126" s="38" t="s">
        <v>120</v>
      </c>
      <c r="W126" s="38" t="s">
        <v>120</v>
      </c>
      <c r="X126" s="38" t="s">
        <v>120</v>
      </c>
      <c r="Y126" s="38" t="s">
        <v>120</v>
      </c>
      <c r="Z126" s="38" t="s">
        <v>120</v>
      </c>
      <c r="AA126" s="38" t="s">
        <v>120</v>
      </c>
      <c r="AB126" s="38" t="s">
        <v>120</v>
      </c>
      <c r="AC126" s="38" t="s">
        <v>120</v>
      </c>
      <c r="AD126" s="38" t="s">
        <v>120</v>
      </c>
      <c r="AE126" s="38" t="s">
        <v>120</v>
      </c>
      <c r="AF126" s="38" t="s">
        <v>120</v>
      </c>
      <c r="AG126" s="38" t="s">
        <v>120</v>
      </c>
      <c r="AH126" s="38" t="s">
        <v>120</v>
      </c>
      <c r="AI126" s="38" t="s">
        <v>120</v>
      </c>
      <c r="AJ126" s="38" t="s">
        <v>120</v>
      </c>
      <c r="AK126" s="38" t="s">
        <v>120</v>
      </c>
      <c r="AL126" s="38" t="s">
        <v>120</v>
      </c>
      <c r="AM126" s="38" t="s">
        <v>120</v>
      </c>
      <c r="AN126" s="38" t="s">
        <v>120</v>
      </c>
      <c r="AO126" s="38" t="s">
        <v>120</v>
      </c>
      <c r="AP126" s="38" t="s">
        <v>120</v>
      </c>
      <c r="AQ126" s="38" t="s">
        <v>120</v>
      </c>
      <c r="AR126" s="38" t="s">
        <v>120</v>
      </c>
      <c r="AS126" s="38" t="s">
        <v>120</v>
      </c>
      <c r="AT126" s="38" t="s">
        <v>120</v>
      </c>
      <c r="AU126" s="38" t="s">
        <v>120</v>
      </c>
      <c r="AV126" s="38" t="s">
        <v>120</v>
      </c>
      <c r="AW126" s="38" t="s">
        <v>120</v>
      </c>
      <c r="AX126" s="38" t="s">
        <v>120</v>
      </c>
    </row>
    <row r="127" spans="1:50" x14ac:dyDescent="0.45">
      <c r="A127" s="38" t="s">
        <v>226</v>
      </c>
      <c r="B127" s="38">
        <v>132</v>
      </c>
      <c r="C127" s="38" t="s">
        <v>119</v>
      </c>
      <c r="D127" s="38">
        <v>132</v>
      </c>
      <c r="E127" s="38">
        <v>14100</v>
      </c>
      <c r="F127" s="38">
        <f t="shared" si="2"/>
        <v>14.1</v>
      </c>
      <c r="G127" s="38">
        <v>2334531.25</v>
      </c>
      <c r="H127" s="38">
        <f t="shared" si="3"/>
        <v>2.3345312499999999</v>
      </c>
      <c r="I127" s="38">
        <v>2698</v>
      </c>
      <c r="J127" s="38">
        <v>2698</v>
      </c>
      <c r="K127" s="38" t="s">
        <v>120</v>
      </c>
      <c r="L127" s="38" t="s">
        <v>120</v>
      </c>
      <c r="M127" s="38" t="s">
        <v>120</v>
      </c>
      <c r="N127" s="38">
        <v>8.8691289999999992</v>
      </c>
      <c r="O127" s="38" t="s">
        <v>121</v>
      </c>
      <c r="P127" s="38" t="s">
        <v>121</v>
      </c>
      <c r="Q127" s="38" t="s">
        <v>120</v>
      </c>
      <c r="R127" s="38" t="s">
        <v>120</v>
      </c>
      <c r="S127" s="38" t="s">
        <v>120</v>
      </c>
      <c r="T127" s="38">
        <v>52.786606999999997</v>
      </c>
      <c r="U127" s="38">
        <v>75.890182999999993</v>
      </c>
      <c r="V127" s="38" t="s">
        <v>120</v>
      </c>
      <c r="W127" s="38" t="s">
        <v>120</v>
      </c>
      <c r="X127" s="38" t="s">
        <v>120</v>
      </c>
      <c r="Y127" s="38" t="s">
        <v>120</v>
      </c>
      <c r="Z127" s="38" t="s">
        <v>120</v>
      </c>
      <c r="AA127" s="38" t="s">
        <v>120</v>
      </c>
      <c r="AB127" s="38" t="s">
        <v>120</v>
      </c>
      <c r="AC127" s="38" t="s">
        <v>120</v>
      </c>
      <c r="AD127" s="38" t="s">
        <v>120</v>
      </c>
      <c r="AE127" s="38" t="s">
        <v>120</v>
      </c>
      <c r="AF127" s="38" t="s">
        <v>120</v>
      </c>
      <c r="AG127" s="38" t="s">
        <v>120</v>
      </c>
      <c r="AH127" s="38" t="s">
        <v>120</v>
      </c>
      <c r="AI127" s="38" t="s">
        <v>120</v>
      </c>
      <c r="AJ127" s="38" t="s">
        <v>120</v>
      </c>
      <c r="AK127" s="38" t="s">
        <v>120</v>
      </c>
      <c r="AL127" s="38" t="s">
        <v>120</v>
      </c>
      <c r="AM127" s="38" t="s">
        <v>120</v>
      </c>
      <c r="AN127" s="38" t="s">
        <v>120</v>
      </c>
      <c r="AO127" s="38" t="s">
        <v>120</v>
      </c>
      <c r="AP127" s="38" t="s">
        <v>120</v>
      </c>
      <c r="AQ127" s="38" t="s">
        <v>120</v>
      </c>
      <c r="AR127" s="38" t="s">
        <v>120</v>
      </c>
      <c r="AS127" s="38" t="s">
        <v>120</v>
      </c>
      <c r="AT127" s="38" t="s">
        <v>120</v>
      </c>
      <c r="AU127" s="38" t="s">
        <v>120</v>
      </c>
      <c r="AV127" s="38" t="s">
        <v>120</v>
      </c>
      <c r="AW127" s="38" t="s">
        <v>120</v>
      </c>
      <c r="AX127" s="38" t="s">
        <v>120</v>
      </c>
    </row>
    <row r="128" spans="1:50" x14ac:dyDescent="0.45">
      <c r="A128" s="38" t="s">
        <v>27</v>
      </c>
      <c r="B128" s="38">
        <v>133</v>
      </c>
      <c r="C128" s="38" t="s">
        <v>119</v>
      </c>
      <c r="D128" s="38">
        <v>133</v>
      </c>
      <c r="E128" s="38">
        <v>26400</v>
      </c>
      <c r="F128" s="38">
        <f t="shared" si="2"/>
        <v>26.4</v>
      </c>
      <c r="G128" s="38">
        <v>11921718.75</v>
      </c>
      <c r="H128" s="38">
        <f t="shared" si="3"/>
        <v>11.92171875</v>
      </c>
      <c r="I128" s="38">
        <v>2699</v>
      </c>
      <c r="J128" s="38">
        <v>2699</v>
      </c>
      <c r="K128" s="38" t="s">
        <v>120</v>
      </c>
      <c r="L128" s="38" t="s">
        <v>120</v>
      </c>
      <c r="M128" s="38" t="s">
        <v>120</v>
      </c>
      <c r="N128" s="38">
        <v>36.128017</v>
      </c>
      <c r="O128" s="38" t="s">
        <v>121</v>
      </c>
      <c r="P128" s="38" t="s">
        <v>121</v>
      </c>
      <c r="Q128" s="38" t="s">
        <v>120</v>
      </c>
      <c r="R128" s="38" t="s">
        <v>120</v>
      </c>
      <c r="S128" s="38" t="s">
        <v>120</v>
      </c>
      <c r="T128" s="38">
        <v>65.150975000000003</v>
      </c>
      <c r="U128" s="38">
        <v>76.995063000000002</v>
      </c>
      <c r="V128" s="38" t="s">
        <v>120</v>
      </c>
      <c r="W128" s="38" t="s">
        <v>120</v>
      </c>
      <c r="X128" s="38" t="s">
        <v>120</v>
      </c>
      <c r="Y128" s="38" t="s">
        <v>120</v>
      </c>
      <c r="Z128" s="38" t="s">
        <v>120</v>
      </c>
      <c r="AA128" s="38" t="s">
        <v>120</v>
      </c>
      <c r="AB128" s="38" t="s">
        <v>120</v>
      </c>
      <c r="AC128" s="38" t="s">
        <v>120</v>
      </c>
      <c r="AD128" s="38" t="s">
        <v>120</v>
      </c>
      <c r="AE128" s="38" t="s">
        <v>120</v>
      </c>
      <c r="AF128" s="38" t="s">
        <v>120</v>
      </c>
      <c r="AG128" s="38" t="s">
        <v>120</v>
      </c>
      <c r="AH128" s="38" t="s">
        <v>120</v>
      </c>
      <c r="AI128" s="38" t="s">
        <v>120</v>
      </c>
      <c r="AJ128" s="38" t="s">
        <v>120</v>
      </c>
      <c r="AK128" s="38" t="s">
        <v>120</v>
      </c>
      <c r="AL128" s="38" t="s">
        <v>120</v>
      </c>
      <c r="AM128" s="38" t="s">
        <v>120</v>
      </c>
      <c r="AN128" s="38" t="s">
        <v>120</v>
      </c>
      <c r="AO128" s="38" t="s">
        <v>120</v>
      </c>
      <c r="AP128" s="38" t="s">
        <v>120</v>
      </c>
      <c r="AQ128" s="38" t="s">
        <v>120</v>
      </c>
      <c r="AR128" s="38" t="s">
        <v>120</v>
      </c>
      <c r="AS128" s="38" t="s">
        <v>120</v>
      </c>
      <c r="AT128" s="38" t="s">
        <v>120</v>
      </c>
      <c r="AU128" s="38" t="s">
        <v>120</v>
      </c>
      <c r="AV128" s="38" t="s">
        <v>120</v>
      </c>
      <c r="AW128" s="38" t="s">
        <v>120</v>
      </c>
      <c r="AX128" s="38" t="s">
        <v>120</v>
      </c>
    </row>
    <row r="129" spans="1:50" x14ac:dyDescent="0.45">
      <c r="A129" s="38" t="s">
        <v>28</v>
      </c>
      <c r="B129" s="38">
        <v>134</v>
      </c>
      <c r="C129" s="38" t="s">
        <v>119</v>
      </c>
      <c r="D129" s="38">
        <v>134</v>
      </c>
      <c r="E129" s="38">
        <v>36925</v>
      </c>
      <c r="F129" s="38">
        <f t="shared" si="2"/>
        <v>36.924999999999997</v>
      </c>
      <c r="G129" s="38">
        <v>20121562.5</v>
      </c>
      <c r="H129" s="38">
        <f t="shared" si="3"/>
        <v>20.1215625</v>
      </c>
      <c r="I129" s="38">
        <v>2700</v>
      </c>
      <c r="J129" s="38">
        <v>2700</v>
      </c>
      <c r="K129" s="38" t="s">
        <v>120</v>
      </c>
      <c r="L129" s="38" t="s">
        <v>120</v>
      </c>
      <c r="M129" s="38" t="s">
        <v>120</v>
      </c>
      <c r="N129" s="38">
        <v>49.445374000000001</v>
      </c>
      <c r="O129" s="38" t="s">
        <v>121</v>
      </c>
      <c r="P129" s="38" t="s">
        <v>121</v>
      </c>
      <c r="Q129" s="38" t="s">
        <v>120</v>
      </c>
      <c r="R129" s="38" t="s">
        <v>120</v>
      </c>
      <c r="S129" s="38" t="s">
        <v>120</v>
      </c>
      <c r="T129" s="38">
        <v>74.244427000000002</v>
      </c>
      <c r="U129" s="38">
        <v>76.938479999999998</v>
      </c>
      <c r="V129" s="38" t="s">
        <v>120</v>
      </c>
      <c r="W129" s="38" t="s">
        <v>120</v>
      </c>
      <c r="X129" s="38" t="s">
        <v>120</v>
      </c>
      <c r="Y129" s="38" t="s">
        <v>120</v>
      </c>
      <c r="Z129" s="38" t="s">
        <v>120</v>
      </c>
      <c r="AA129" s="38" t="s">
        <v>120</v>
      </c>
      <c r="AB129" s="38" t="s">
        <v>120</v>
      </c>
      <c r="AC129" s="38" t="s">
        <v>120</v>
      </c>
      <c r="AD129" s="38" t="s">
        <v>120</v>
      </c>
      <c r="AE129" s="38" t="s">
        <v>120</v>
      </c>
      <c r="AF129" s="38" t="s">
        <v>120</v>
      </c>
      <c r="AG129" s="38" t="s">
        <v>120</v>
      </c>
      <c r="AH129" s="38" t="s">
        <v>120</v>
      </c>
      <c r="AI129" s="38" t="s">
        <v>120</v>
      </c>
      <c r="AJ129" s="38" t="s">
        <v>120</v>
      </c>
      <c r="AK129" s="38" t="s">
        <v>120</v>
      </c>
      <c r="AL129" s="38" t="s">
        <v>120</v>
      </c>
      <c r="AM129" s="38" t="s">
        <v>120</v>
      </c>
      <c r="AN129" s="38" t="s">
        <v>120</v>
      </c>
      <c r="AO129" s="38" t="s">
        <v>120</v>
      </c>
      <c r="AP129" s="38" t="s">
        <v>120</v>
      </c>
      <c r="AQ129" s="38" t="s">
        <v>120</v>
      </c>
      <c r="AR129" s="38" t="s">
        <v>120</v>
      </c>
      <c r="AS129" s="38" t="s">
        <v>120</v>
      </c>
      <c r="AT129" s="38" t="s">
        <v>120</v>
      </c>
      <c r="AU129" s="38" t="s">
        <v>120</v>
      </c>
      <c r="AV129" s="38" t="s">
        <v>120</v>
      </c>
      <c r="AW129" s="38" t="s">
        <v>120</v>
      </c>
      <c r="AX129" s="38" t="s">
        <v>120</v>
      </c>
    </row>
    <row r="130" spans="1:50" x14ac:dyDescent="0.45">
      <c r="A130" s="38" t="s">
        <v>29</v>
      </c>
      <c r="B130" s="38">
        <v>135</v>
      </c>
      <c r="C130" s="38" t="s">
        <v>119</v>
      </c>
      <c r="D130" s="38">
        <v>135</v>
      </c>
      <c r="E130" s="38">
        <v>20175</v>
      </c>
      <c r="F130" s="38">
        <f t="shared" si="2"/>
        <v>20.175000000000001</v>
      </c>
      <c r="G130" s="38">
        <v>11410937.5</v>
      </c>
      <c r="H130" s="38">
        <f t="shared" si="3"/>
        <v>11.410937499999999</v>
      </c>
      <c r="I130" s="38">
        <v>2701</v>
      </c>
      <c r="J130" s="38">
        <v>2701</v>
      </c>
      <c r="K130" s="38" t="s">
        <v>120</v>
      </c>
      <c r="L130" s="38" t="s">
        <v>120</v>
      </c>
      <c r="M130" s="38" t="s">
        <v>120</v>
      </c>
      <c r="N130" s="38">
        <v>61.13776</v>
      </c>
      <c r="O130" s="38" t="s">
        <v>121</v>
      </c>
      <c r="P130" s="38" t="s">
        <v>121</v>
      </c>
      <c r="Q130" s="38" t="s">
        <v>120</v>
      </c>
      <c r="R130" s="38" t="s">
        <v>120</v>
      </c>
      <c r="S130" s="38" t="s">
        <v>120</v>
      </c>
      <c r="T130" s="38">
        <v>79</v>
      </c>
      <c r="U130" s="38">
        <v>76.876686000000007</v>
      </c>
      <c r="V130" s="38" t="s">
        <v>120</v>
      </c>
      <c r="W130" s="38" t="s">
        <v>120</v>
      </c>
      <c r="X130" s="38" t="s">
        <v>120</v>
      </c>
      <c r="Y130" s="38" t="s">
        <v>120</v>
      </c>
      <c r="Z130" s="38" t="s">
        <v>120</v>
      </c>
      <c r="AA130" s="38" t="s">
        <v>120</v>
      </c>
      <c r="AB130" s="38" t="s">
        <v>120</v>
      </c>
      <c r="AC130" s="38" t="s">
        <v>120</v>
      </c>
      <c r="AD130" s="38" t="s">
        <v>120</v>
      </c>
      <c r="AE130" s="38" t="s">
        <v>120</v>
      </c>
      <c r="AF130" s="38" t="s">
        <v>120</v>
      </c>
      <c r="AG130" s="38" t="s">
        <v>120</v>
      </c>
      <c r="AH130" s="38" t="s">
        <v>120</v>
      </c>
      <c r="AI130" s="38" t="s">
        <v>120</v>
      </c>
      <c r="AJ130" s="38" t="s">
        <v>120</v>
      </c>
      <c r="AK130" s="38" t="s">
        <v>120</v>
      </c>
      <c r="AL130" s="38" t="s">
        <v>120</v>
      </c>
      <c r="AM130" s="38" t="s">
        <v>120</v>
      </c>
      <c r="AN130" s="38" t="s">
        <v>120</v>
      </c>
      <c r="AO130" s="38" t="s">
        <v>120</v>
      </c>
      <c r="AP130" s="38" t="s">
        <v>120</v>
      </c>
      <c r="AQ130" s="38" t="s">
        <v>120</v>
      </c>
      <c r="AR130" s="38" t="s">
        <v>120</v>
      </c>
      <c r="AS130" s="38" t="s">
        <v>120</v>
      </c>
      <c r="AT130" s="38" t="s">
        <v>120</v>
      </c>
      <c r="AU130" s="38" t="s">
        <v>120</v>
      </c>
      <c r="AV130" s="38" t="s">
        <v>120</v>
      </c>
      <c r="AW130" s="38" t="s">
        <v>120</v>
      </c>
      <c r="AX130" s="38" t="s">
        <v>120</v>
      </c>
    </row>
    <row r="131" spans="1:50" x14ac:dyDescent="0.45">
      <c r="A131" s="38" t="s">
        <v>30</v>
      </c>
      <c r="B131" s="38">
        <v>138</v>
      </c>
      <c r="C131" s="38" t="s">
        <v>119</v>
      </c>
      <c r="D131" s="38">
        <v>138</v>
      </c>
      <c r="E131" s="38">
        <v>17850</v>
      </c>
      <c r="F131" s="38">
        <f t="shared" ref="F131:F160" si="4">E131/1000</f>
        <v>17.850000000000001</v>
      </c>
      <c r="G131" s="38">
        <v>6074843.75</v>
      </c>
      <c r="H131" s="38">
        <f t="shared" ref="H131:H160" si="5">G131/(1000*1000)</f>
        <v>6.0748437500000003</v>
      </c>
      <c r="I131" s="38">
        <v>2704</v>
      </c>
      <c r="J131" s="38">
        <v>2704</v>
      </c>
      <c r="K131" s="38" t="s">
        <v>120</v>
      </c>
      <c r="L131" s="38" t="s">
        <v>120</v>
      </c>
      <c r="M131" s="38" t="s">
        <v>120</v>
      </c>
      <c r="N131" s="38">
        <v>18.645164000000001</v>
      </c>
      <c r="O131" s="38" t="s">
        <v>121</v>
      </c>
      <c r="P131" s="38" t="s">
        <v>121</v>
      </c>
      <c r="Q131" s="38" t="s">
        <v>120</v>
      </c>
      <c r="R131" s="38" t="s">
        <v>120</v>
      </c>
      <c r="S131" s="38" t="s">
        <v>120</v>
      </c>
      <c r="T131" s="38">
        <v>71.248061000000007</v>
      </c>
      <c r="U131" s="38">
        <v>76.565398999999999</v>
      </c>
      <c r="V131" s="38" t="s">
        <v>120</v>
      </c>
      <c r="W131" s="38" t="s">
        <v>120</v>
      </c>
      <c r="X131" s="38" t="s">
        <v>120</v>
      </c>
      <c r="Y131" s="38" t="s">
        <v>120</v>
      </c>
      <c r="Z131" s="38" t="s">
        <v>120</v>
      </c>
      <c r="AA131" s="38" t="s">
        <v>120</v>
      </c>
      <c r="AB131" s="38" t="s">
        <v>120</v>
      </c>
      <c r="AC131" s="38" t="s">
        <v>120</v>
      </c>
      <c r="AD131" s="38" t="s">
        <v>120</v>
      </c>
      <c r="AE131" s="38" t="s">
        <v>120</v>
      </c>
      <c r="AF131" s="38" t="s">
        <v>120</v>
      </c>
      <c r="AG131" s="38" t="s">
        <v>120</v>
      </c>
      <c r="AH131" s="38" t="s">
        <v>120</v>
      </c>
      <c r="AI131" s="38" t="s">
        <v>120</v>
      </c>
      <c r="AJ131" s="38" t="s">
        <v>120</v>
      </c>
      <c r="AK131" s="38" t="s">
        <v>120</v>
      </c>
      <c r="AL131" s="38" t="s">
        <v>120</v>
      </c>
      <c r="AM131" s="38" t="s">
        <v>120</v>
      </c>
      <c r="AN131" s="38" t="s">
        <v>120</v>
      </c>
      <c r="AO131" s="38" t="s">
        <v>120</v>
      </c>
      <c r="AP131" s="38" t="s">
        <v>120</v>
      </c>
      <c r="AQ131" s="38" t="s">
        <v>120</v>
      </c>
      <c r="AR131" s="38" t="s">
        <v>120</v>
      </c>
      <c r="AS131" s="38" t="s">
        <v>120</v>
      </c>
      <c r="AT131" s="38" t="s">
        <v>120</v>
      </c>
      <c r="AU131" s="38" t="s">
        <v>120</v>
      </c>
      <c r="AV131" s="38" t="s">
        <v>120</v>
      </c>
      <c r="AW131" s="38" t="s">
        <v>120</v>
      </c>
      <c r="AX131" s="38" t="s">
        <v>120</v>
      </c>
    </row>
    <row r="132" spans="1:50" x14ac:dyDescent="0.45">
      <c r="A132" s="38" t="s">
        <v>227</v>
      </c>
      <c r="B132" s="38">
        <v>139</v>
      </c>
      <c r="C132" s="38" t="s">
        <v>119</v>
      </c>
      <c r="D132" s="38">
        <v>139</v>
      </c>
      <c r="E132" s="38">
        <v>22650</v>
      </c>
      <c r="F132" s="38">
        <f t="shared" si="4"/>
        <v>22.65</v>
      </c>
      <c r="G132" s="38">
        <v>11265937.5</v>
      </c>
      <c r="H132" s="38">
        <f t="shared" si="5"/>
        <v>11.2659375</v>
      </c>
      <c r="I132" s="38">
        <v>2705</v>
      </c>
      <c r="J132" s="38">
        <v>2705</v>
      </c>
      <c r="K132" s="38" t="s">
        <v>120</v>
      </c>
      <c r="L132" s="38" t="s">
        <v>120</v>
      </c>
      <c r="M132" s="38" t="s">
        <v>120</v>
      </c>
      <c r="N132" s="38">
        <v>17.769231999999999</v>
      </c>
      <c r="O132" s="38" t="s">
        <v>121</v>
      </c>
      <c r="P132" s="38" t="s">
        <v>121</v>
      </c>
      <c r="Q132" s="38" t="s">
        <v>120</v>
      </c>
      <c r="R132" s="38" t="s">
        <v>120</v>
      </c>
      <c r="S132" s="38" t="s">
        <v>120</v>
      </c>
      <c r="T132" s="38">
        <v>62.820864</v>
      </c>
      <c r="U132" s="38">
        <v>76.347205000000002</v>
      </c>
      <c r="V132" s="38" t="s">
        <v>120</v>
      </c>
      <c r="W132" s="38" t="s">
        <v>120</v>
      </c>
      <c r="X132" s="38" t="s">
        <v>120</v>
      </c>
      <c r="Y132" s="38" t="s">
        <v>120</v>
      </c>
      <c r="Z132" s="38" t="s">
        <v>120</v>
      </c>
      <c r="AA132" s="38" t="s">
        <v>120</v>
      </c>
      <c r="AB132" s="38" t="s">
        <v>120</v>
      </c>
      <c r="AC132" s="38" t="s">
        <v>120</v>
      </c>
      <c r="AD132" s="38" t="s">
        <v>120</v>
      </c>
      <c r="AE132" s="38" t="s">
        <v>120</v>
      </c>
      <c r="AF132" s="38" t="s">
        <v>120</v>
      </c>
      <c r="AG132" s="38" t="s">
        <v>120</v>
      </c>
      <c r="AH132" s="38" t="s">
        <v>120</v>
      </c>
      <c r="AI132" s="38" t="s">
        <v>120</v>
      </c>
      <c r="AJ132" s="38" t="s">
        <v>120</v>
      </c>
      <c r="AK132" s="38" t="s">
        <v>120</v>
      </c>
      <c r="AL132" s="38" t="s">
        <v>120</v>
      </c>
      <c r="AM132" s="38" t="s">
        <v>120</v>
      </c>
      <c r="AN132" s="38" t="s">
        <v>120</v>
      </c>
      <c r="AO132" s="38" t="s">
        <v>120</v>
      </c>
      <c r="AP132" s="38" t="s">
        <v>120</v>
      </c>
      <c r="AQ132" s="38" t="s">
        <v>120</v>
      </c>
      <c r="AR132" s="38" t="s">
        <v>120</v>
      </c>
      <c r="AS132" s="38" t="s">
        <v>120</v>
      </c>
      <c r="AT132" s="38" t="s">
        <v>120</v>
      </c>
      <c r="AU132" s="38" t="s">
        <v>120</v>
      </c>
      <c r="AV132" s="38" t="s">
        <v>120</v>
      </c>
      <c r="AW132" s="38" t="s">
        <v>120</v>
      </c>
      <c r="AX132" s="38" t="s">
        <v>120</v>
      </c>
    </row>
    <row r="133" spans="1:50" x14ac:dyDescent="0.45">
      <c r="A133" s="38" t="s">
        <v>31</v>
      </c>
      <c r="B133" s="38">
        <v>140</v>
      </c>
      <c r="C133" s="38" t="s">
        <v>119</v>
      </c>
      <c r="D133" s="38">
        <v>140</v>
      </c>
      <c r="E133" s="38">
        <v>30050</v>
      </c>
      <c r="F133" s="38">
        <f t="shared" si="4"/>
        <v>30.05</v>
      </c>
      <c r="G133" s="38">
        <v>8132343.75</v>
      </c>
      <c r="H133" s="38">
        <f t="shared" si="5"/>
        <v>8.1323437500000004</v>
      </c>
      <c r="I133" s="38">
        <v>2706</v>
      </c>
      <c r="J133" s="38">
        <v>2706</v>
      </c>
      <c r="K133" s="38" t="s">
        <v>120</v>
      </c>
      <c r="L133" s="38" t="s">
        <v>120</v>
      </c>
      <c r="M133" s="38" t="s">
        <v>120</v>
      </c>
      <c r="N133" s="38">
        <v>38.365600999999998</v>
      </c>
      <c r="O133" s="38" t="s">
        <v>121</v>
      </c>
      <c r="P133" s="38" t="s">
        <v>121</v>
      </c>
      <c r="Q133" s="38" t="s">
        <v>120</v>
      </c>
      <c r="R133" s="38" t="s">
        <v>120</v>
      </c>
      <c r="S133" s="38" t="s">
        <v>120</v>
      </c>
      <c r="T133" s="38">
        <v>65.764419000000004</v>
      </c>
      <c r="U133" s="38">
        <v>76.723639000000006</v>
      </c>
      <c r="V133" s="38" t="s">
        <v>120</v>
      </c>
      <c r="W133" s="38" t="s">
        <v>120</v>
      </c>
      <c r="X133" s="38" t="s">
        <v>120</v>
      </c>
      <c r="Y133" s="38" t="s">
        <v>120</v>
      </c>
      <c r="Z133" s="38" t="s">
        <v>120</v>
      </c>
      <c r="AA133" s="38" t="s">
        <v>120</v>
      </c>
      <c r="AB133" s="38" t="s">
        <v>120</v>
      </c>
      <c r="AC133" s="38" t="s">
        <v>120</v>
      </c>
      <c r="AD133" s="38" t="s">
        <v>120</v>
      </c>
      <c r="AE133" s="38" t="s">
        <v>120</v>
      </c>
      <c r="AF133" s="38" t="s">
        <v>120</v>
      </c>
      <c r="AG133" s="38" t="s">
        <v>120</v>
      </c>
      <c r="AH133" s="38" t="s">
        <v>120</v>
      </c>
      <c r="AI133" s="38" t="s">
        <v>120</v>
      </c>
      <c r="AJ133" s="38" t="s">
        <v>120</v>
      </c>
      <c r="AK133" s="38" t="s">
        <v>120</v>
      </c>
      <c r="AL133" s="38" t="s">
        <v>120</v>
      </c>
      <c r="AM133" s="38" t="s">
        <v>120</v>
      </c>
      <c r="AN133" s="38" t="s">
        <v>120</v>
      </c>
      <c r="AO133" s="38" t="s">
        <v>120</v>
      </c>
      <c r="AP133" s="38" t="s">
        <v>120</v>
      </c>
      <c r="AQ133" s="38" t="s">
        <v>120</v>
      </c>
      <c r="AR133" s="38" t="s">
        <v>120</v>
      </c>
      <c r="AS133" s="38" t="s">
        <v>120</v>
      </c>
      <c r="AT133" s="38" t="s">
        <v>120</v>
      </c>
      <c r="AU133" s="38" t="s">
        <v>120</v>
      </c>
      <c r="AV133" s="38" t="s">
        <v>120</v>
      </c>
      <c r="AW133" s="38" t="s">
        <v>120</v>
      </c>
      <c r="AX133" s="38" t="s">
        <v>120</v>
      </c>
    </row>
    <row r="134" spans="1:50" x14ac:dyDescent="0.45">
      <c r="A134" s="38" t="s">
        <v>228</v>
      </c>
      <c r="B134" s="38">
        <v>141</v>
      </c>
      <c r="C134" s="38" t="s">
        <v>119</v>
      </c>
      <c r="D134" s="38">
        <v>141</v>
      </c>
      <c r="E134" s="38">
        <v>27200</v>
      </c>
      <c r="F134" s="38">
        <f t="shared" si="4"/>
        <v>27.2</v>
      </c>
      <c r="G134" s="38">
        <v>16078437.5</v>
      </c>
      <c r="H134" s="38">
        <f t="shared" si="5"/>
        <v>16.0784375</v>
      </c>
      <c r="I134" s="38">
        <v>2707</v>
      </c>
      <c r="J134" s="38">
        <v>2707</v>
      </c>
      <c r="K134" s="38" t="s">
        <v>120</v>
      </c>
      <c r="L134" s="38" t="s">
        <v>120</v>
      </c>
      <c r="M134" s="38" t="s">
        <v>120</v>
      </c>
      <c r="N134" s="38">
        <v>54.982475000000001</v>
      </c>
      <c r="O134" s="38" t="s">
        <v>121</v>
      </c>
      <c r="P134" s="38" t="s">
        <v>121</v>
      </c>
      <c r="Q134" s="38" t="s">
        <v>120</v>
      </c>
      <c r="R134" s="38" t="s">
        <v>120</v>
      </c>
      <c r="S134" s="38" t="s">
        <v>120</v>
      </c>
      <c r="T134" s="38">
        <v>76.484297999999995</v>
      </c>
      <c r="U134" s="38">
        <v>76.664073000000002</v>
      </c>
      <c r="V134" s="38" t="s">
        <v>120</v>
      </c>
      <c r="W134" s="38" t="s">
        <v>120</v>
      </c>
      <c r="X134" s="38" t="s">
        <v>120</v>
      </c>
      <c r="Y134" s="38" t="s">
        <v>120</v>
      </c>
      <c r="Z134" s="38" t="s">
        <v>120</v>
      </c>
      <c r="AA134" s="38" t="s">
        <v>120</v>
      </c>
      <c r="AB134" s="38" t="s">
        <v>120</v>
      </c>
      <c r="AC134" s="38" t="s">
        <v>120</v>
      </c>
      <c r="AD134" s="38" t="s">
        <v>120</v>
      </c>
      <c r="AE134" s="38" t="s">
        <v>120</v>
      </c>
      <c r="AF134" s="38" t="s">
        <v>120</v>
      </c>
      <c r="AG134" s="38" t="s">
        <v>120</v>
      </c>
      <c r="AH134" s="38" t="s">
        <v>120</v>
      </c>
      <c r="AI134" s="38" t="s">
        <v>120</v>
      </c>
      <c r="AJ134" s="38" t="s">
        <v>120</v>
      </c>
      <c r="AK134" s="38" t="s">
        <v>120</v>
      </c>
      <c r="AL134" s="38" t="s">
        <v>120</v>
      </c>
      <c r="AM134" s="38" t="s">
        <v>120</v>
      </c>
      <c r="AN134" s="38" t="s">
        <v>120</v>
      </c>
      <c r="AO134" s="38" t="s">
        <v>120</v>
      </c>
      <c r="AP134" s="38" t="s">
        <v>120</v>
      </c>
      <c r="AQ134" s="38" t="s">
        <v>120</v>
      </c>
      <c r="AR134" s="38" t="s">
        <v>120</v>
      </c>
      <c r="AS134" s="38" t="s">
        <v>120</v>
      </c>
      <c r="AT134" s="38" t="s">
        <v>120</v>
      </c>
      <c r="AU134" s="38" t="s">
        <v>120</v>
      </c>
      <c r="AV134" s="38" t="s">
        <v>120</v>
      </c>
      <c r="AW134" s="38" t="s">
        <v>120</v>
      </c>
      <c r="AX134" s="38" t="s">
        <v>120</v>
      </c>
    </row>
    <row r="135" spans="1:50" x14ac:dyDescent="0.45">
      <c r="A135" s="38" t="s">
        <v>32</v>
      </c>
      <c r="B135" s="38">
        <v>142</v>
      </c>
      <c r="C135" s="38" t="s">
        <v>119</v>
      </c>
      <c r="D135" s="38">
        <v>142</v>
      </c>
      <c r="E135" s="38">
        <v>14675</v>
      </c>
      <c r="F135" s="38">
        <f t="shared" si="4"/>
        <v>14.675000000000001</v>
      </c>
      <c r="G135" s="38">
        <v>4866875</v>
      </c>
      <c r="H135" s="38">
        <f t="shared" si="5"/>
        <v>4.8668750000000003</v>
      </c>
      <c r="I135" s="38">
        <v>2708</v>
      </c>
      <c r="J135" s="38">
        <v>2708</v>
      </c>
      <c r="K135" s="38" t="s">
        <v>120</v>
      </c>
      <c r="L135" s="38" t="s">
        <v>120</v>
      </c>
      <c r="M135" s="38" t="s">
        <v>120</v>
      </c>
      <c r="N135" s="38">
        <v>59.124949999999998</v>
      </c>
      <c r="O135" s="38" t="s">
        <v>121</v>
      </c>
      <c r="P135" s="38" t="s">
        <v>121</v>
      </c>
      <c r="Q135" s="38" t="s">
        <v>120</v>
      </c>
      <c r="R135" s="38" t="s">
        <v>120</v>
      </c>
      <c r="S135" s="38" t="s">
        <v>120</v>
      </c>
      <c r="T135" s="38">
        <v>77.095691000000002</v>
      </c>
      <c r="U135" s="38">
        <v>76.750123000000002</v>
      </c>
      <c r="V135" s="38" t="s">
        <v>120</v>
      </c>
      <c r="W135" s="38" t="s">
        <v>120</v>
      </c>
      <c r="X135" s="38" t="s">
        <v>120</v>
      </c>
      <c r="Y135" s="38" t="s">
        <v>120</v>
      </c>
      <c r="Z135" s="38" t="s">
        <v>120</v>
      </c>
      <c r="AA135" s="38" t="s">
        <v>120</v>
      </c>
      <c r="AB135" s="38" t="s">
        <v>120</v>
      </c>
      <c r="AC135" s="38" t="s">
        <v>120</v>
      </c>
      <c r="AD135" s="38" t="s">
        <v>120</v>
      </c>
      <c r="AE135" s="38" t="s">
        <v>120</v>
      </c>
      <c r="AF135" s="38" t="s">
        <v>120</v>
      </c>
      <c r="AG135" s="38" t="s">
        <v>120</v>
      </c>
      <c r="AH135" s="38" t="s">
        <v>120</v>
      </c>
      <c r="AI135" s="38" t="s">
        <v>120</v>
      </c>
      <c r="AJ135" s="38" t="s">
        <v>120</v>
      </c>
      <c r="AK135" s="38" t="s">
        <v>120</v>
      </c>
      <c r="AL135" s="38" t="s">
        <v>120</v>
      </c>
      <c r="AM135" s="38" t="s">
        <v>120</v>
      </c>
      <c r="AN135" s="38" t="s">
        <v>120</v>
      </c>
      <c r="AO135" s="38" t="s">
        <v>120</v>
      </c>
      <c r="AP135" s="38" t="s">
        <v>120</v>
      </c>
      <c r="AQ135" s="38" t="s">
        <v>120</v>
      </c>
      <c r="AR135" s="38" t="s">
        <v>120</v>
      </c>
      <c r="AS135" s="38" t="s">
        <v>120</v>
      </c>
      <c r="AT135" s="38" t="s">
        <v>120</v>
      </c>
      <c r="AU135" s="38" t="s">
        <v>120</v>
      </c>
      <c r="AV135" s="38" t="s">
        <v>120</v>
      </c>
      <c r="AW135" s="38" t="s">
        <v>120</v>
      </c>
      <c r="AX135" s="38" t="s">
        <v>120</v>
      </c>
    </row>
    <row r="136" spans="1:50" x14ac:dyDescent="0.45">
      <c r="A136" s="38" t="s">
        <v>229</v>
      </c>
      <c r="B136" s="38">
        <v>143</v>
      </c>
      <c r="C136" s="38" t="s">
        <v>119</v>
      </c>
      <c r="D136" s="38">
        <v>143</v>
      </c>
      <c r="E136" s="38">
        <v>13475</v>
      </c>
      <c r="F136" s="38">
        <f t="shared" si="4"/>
        <v>13.475</v>
      </c>
      <c r="G136" s="38">
        <v>4185937.5</v>
      </c>
      <c r="H136" s="38">
        <f t="shared" si="5"/>
        <v>4.1859374999999996</v>
      </c>
      <c r="I136" s="38">
        <v>2709</v>
      </c>
      <c r="J136" s="38">
        <v>2709</v>
      </c>
      <c r="K136" s="38" t="s">
        <v>120</v>
      </c>
      <c r="L136" s="38" t="s">
        <v>120</v>
      </c>
      <c r="M136" s="38" t="s">
        <v>120</v>
      </c>
      <c r="N136" s="38">
        <v>39.797809999999998</v>
      </c>
      <c r="O136" s="38" t="s">
        <v>121</v>
      </c>
      <c r="P136" s="38" t="s">
        <v>121</v>
      </c>
      <c r="Q136" s="38" t="s">
        <v>120</v>
      </c>
      <c r="R136" s="38" t="s">
        <v>120</v>
      </c>
      <c r="S136" s="38" t="s">
        <v>120</v>
      </c>
      <c r="T136" s="38">
        <v>76.541206000000003</v>
      </c>
      <c r="U136" s="38">
        <v>76.749577000000002</v>
      </c>
      <c r="V136" s="38" t="s">
        <v>120</v>
      </c>
      <c r="W136" s="38" t="s">
        <v>120</v>
      </c>
      <c r="X136" s="38" t="s">
        <v>120</v>
      </c>
      <c r="Y136" s="38" t="s">
        <v>120</v>
      </c>
      <c r="Z136" s="38" t="s">
        <v>120</v>
      </c>
      <c r="AA136" s="38" t="s">
        <v>120</v>
      </c>
      <c r="AB136" s="38" t="s">
        <v>120</v>
      </c>
      <c r="AC136" s="38" t="s">
        <v>120</v>
      </c>
      <c r="AD136" s="38" t="s">
        <v>120</v>
      </c>
      <c r="AE136" s="38" t="s">
        <v>120</v>
      </c>
      <c r="AF136" s="38" t="s">
        <v>120</v>
      </c>
      <c r="AG136" s="38" t="s">
        <v>120</v>
      </c>
      <c r="AH136" s="38" t="s">
        <v>120</v>
      </c>
      <c r="AI136" s="38" t="s">
        <v>120</v>
      </c>
      <c r="AJ136" s="38" t="s">
        <v>120</v>
      </c>
      <c r="AK136" s="38" t="s">
        <v>120</v>
      </c>
      <c r="AL136" s="38" t="s">
        <v>120</v>
      </c>
      <c r="AM136" s="38" t="s">
        <v>120</v>
      </c>
      <c r="AN136" s="38" t="s">
        <v>120</v>
      </c>
      <c r="AO136" s="38" t="s">
        <v>120</v>
      </c>
      <c r="AP136" s="38" t="s">
        <v>120</v>
      </c>
      <c r="AQ136" s="38" t="s">
        <v>120</v>
      </c>
      <c r="AR136" s="38" t="s">
        <v>120</v>
      </c>
      <c r="AS136" s="38" t="s">
        <v>120</v>
      </c>
      <c r="AT136" s="38" t="s">
        <v>120</v>
      </c>
      <c r="AU136" s="38" t="s">
        <v>120</v>
      </c>
      <c r="AV136" s="38" t="s">
        <v>120</v>
      </c>
      <c r="AW136" s="38" t="s">
        <v>120</v>
      </c>
      <c r="AX136" s="38" t="s">
        <v>120</v>
      </c>
    </row>
    <row r="137" spans="1:50" x14ac:dyDescent="0.45">
      <c r="A137" s="38" t="s">
        <v>33</v>
      </c>
      <c r="B137" s="38">
        <v>144</v>
      </c>
      <c r="C137" s="38" t="s">
        <v>119</v>
      </c>
      <c r="D137" s="38">
        <v>144</v>
      </c>
      <c r="E137" s="38">
        <v>12625</v>
      </c>
      <c r="F137" s="38">
        <f t="shared" si="4"/>
        <v>12.625</v>
      </c>
      <c r="G137" s="38">
        <v>4817968.75</v>
      </c>
      <c r="H137" s="38">
        <f t="shared" si="5"/>
        <v>4.8179687500000004</v>
      </c>
      <c r="I137" s="38">
        <v>2710</v>
      </c>
      <c r="J137" s="38">
        <v>2710</v>
      </c>
      <c r="K137" s="38" t="s">
        <v>120</v>
      </c>
      <c r="L137" s="38" t="s">
        <v>120</v>
      </c>
      <c r="M137" s="38" t="s">
        <v>120</v>
      </c>
      <c r="N137" s="38">
        <v>52.547722</v>
      </c>
      <c r="O137" s="38" t="s">
        <v>121</v>
      </c>
      <c r="P137" s="38" t="s">
        <v>121</v>
      </c>
      <c r="Q137" s="38" t="s">
        <v>120</v>
      </c>
      <c r="R137" s="38" t="s">
        <v>120</v>
      </c>
      <c r="S137" s="38" t="s">
        <v>120</v>
      </c>
      <c r="T137" s="38">
        <v>77.930205000000001</v>
      </c>
      <c r="U137" s="38">
        <v>76.769672</v>
      </c>
      <c r="V137" s="38" t="s">
        <v>120</v>
      </c>
      <c r="W137" s="38" t="s">
        <v>120</v>
      </c>
      <c r="X137" s="38" t="s">
        <v>120</v>
      </c>
      <c r="Y137" s="38" t="s">
        <v>120</v>
      </c>
      <c r="Z137" s="38" t="s">
        <v>120</v>
      </c>
      <c r="AA137" s="38" t="s">
        <v>120</v>
      </c>
      <c r="AB137" s="38" t="s">
        <v>120</v>
      </c>
      <c r="AC137" s="38" t="s">
        <v>120</v>
      </c>
      <c r="AD137" s="38" t="s">
        <v>120</v>
      </c>
      <c r="AE137" s="38" t="s">
        <v>120</v>
      </c>
      <c r="AF137" s="38" t="s">
        <v>120</v>
      </c>
      <c r="AG137" s="38" t="s">
        <v>120</v>
      </c>
      <c r="AH137" s="38" t="s">
        <v>120</v>
      </c>
      <c r="AI137" s="38" t="s">
        <v>120</v>
      </c>
      <c r="AJ137" s="38" t="s">
        <v>120</v>
      </c>
      <c r="AK137" s="38" t="s">
        <v>120</v>
      </c>
      <c r="AL137" s="38" t="s">
        <v>120</v>
      </c>
      <c r="AM137" s="38" t="s">
        <v>120</v>
      </c>
      <c r="AN137" s="38" t="s">
        <v>120</v>
      </c>
      <c r="AO137" s="38" t="s">
        <v>120</v>
      </c>
      <c r="AP137" s="38" t="s">
        <v>120</v>
      </c>
      <c r="AQ137" s="38" t="s">
        <v>120</v>
      </c>
      <c r="AR137" s="38" t="s">
        <v>120</v>
      </c>
      <c r="AS137" s="38" t="s">
        <v>120</v>
      </c>
      <c r="AT137" s="38" t="s">
        <v>120</v>
      </c>
      <c r="AU137" s="38" t="s">
        <v>120</v>
      </c>
      <c r="AV137" s="38" t="s">
        <v>120</v>
      </c>
      <c r="AW137" s="38" t="s">
        <v>120</v>
      </c>
      <c r="AX137" s="38" t="s">
        <v>120</v>
      </c>
    </row>
    <row r="138" spans="1:50" x14ac:dyDescent="0.45">
      <c r="A138" s="38" t="s">
        <v>230</v>
      </c>
      <c r="B138" s="38">
        <v>145</v>
      </c>
      <c r="C138" s="38" t="s">
        <v>119</v>
      </c>
      <c r="D138" s="38">
        <v>145</v>
      </c>
      <c r="E138" s="38">
        <v>9825</v>
      </c>
      <c r="F138" s="38">
        <f t="shared" si="4"/>
        <v>9.8249999999999993</v>
      </c>
      <c r="G138" s="38">
        <v>1339687.5</v>
      </c>
      <c r="H138" s="38">
        <f t="shared" si="5"/>
        <v>1.3396874999999999</v>
      </c>
      <c r="I138" s="38">
        <v>2711</v>
      </c>
      <c r="J138" s="38">
        <v>2711</v>
      </c>
      <c r="K138" s="38" t="s">
        <v>120</v>
      </c>
      <c r="L138" s="38" t="s">
        <v>120</v>
      </c>
      <c r="M138" s="38" t="s">
        <v>120</v>
      </c>
      <c r="N138" s="38">
        <v>30.64603</v>
      </c>
      <c r="O138" s="38" t="s">
        <v>121</v>
      </c>
      <c r="P138" s="38" t="s">
        <v>121</v>
      </c>
      <c r="Q138" s="38" t="s">
        <v>120</v>
      </c>
      <c r="R138" s="38" t="s">
        <v>120</v>
      </c>
      <c r="S138" s="38" t="s">
        <v>120</v>
      </c>
      <c r="T138" s="38">
        <v>65.422914000000006</v>
      </c>
      <c r="U138" s="38">
        <v>76.691765000000004</v>
      </c>
      <c r="V138" s="38" t="s">
        <v>120</v>
      </c>
      <c r="W138" s="38" t="s">
        <v>120</v>
      </c>
      <c r="X138" s="38" t="s">
        <v>120</v>
      </c>
      <c r="Y138" s="38" t="s">
        <v>120</v>
      </c>
      <c r="Z138" s="38" t="s">
        <v>120</v>
      </c>
      <c r="AA138" s="38" t="s">
        <v>120</v>
      </c>
      <c r="AB138" s="38" t="s">
        <v>120</v>
      </c>
      <c r="AC138" s="38" t="s">
        <v>120</v>
      </c>
      <c r="AD138" s="38" t="s">
        <v>120</v>
      </c>
      <c r="AE138" s="38" t="s">
        <v>120</v>
      </c>
      <c r="AF138" s="38" t="s">
        <v>120</v>
      </c>
      <c r="AG138" s="38" t="s">
        <v>120</v>
      </c>
      <c r="AH138" s="38" t="s">
        <v>120</v>
      </c>
      <c r="AI138" s="38" t="s">
        <v>120</v>
      </c>
      <c r="AJ138" s="38" t="s">
        <v>120</v>
      </c>
      <c r="AK138" s="38" t="s">
        <v>120</v>
      </c>
      <c r="AL138" s="38" t="s">
        <v>120</v>
      </c>
      <c r="AM138" s="38" t="s">
        <v>120</v>
      </c>
      <c r="AN138" s="38" t="s">
        <v>120</v>
      </c>
      <c r="AO138" s="38" t="s">
        <v>120</v>
      </c>
      <c r="AP138" s="38" t="s">
        <v>120</v>
      </c>
      <c r="AQ138" s="38" t="s">
        <v>120</v>
      </c>
      <c r="AR138" s="38" t="s">
        <v>120</v>
      </c>
      <c r="AS138" s="38" t="s">
        <v>120</v>
      </c>
      <c r="AT138" s="38" t="s">
        <v>120</v>
      </c>
      <c r="AU138" s="38" t="s">
        <v>120</v>
      </c>
      <c r="AV138" s="38" t="s">
        <v>120</v>
      </c>
      <c r="AW138" s="38" t="s">
        <v>120</v>
      </c>
      <c r="AX138" s="38" t="s">
        <v>120</v>
      </c>
    </row>
    <row r="139" spans="1:50" x14ac:dyDescent="0.45">
      <c r="A139" s="38" t="s">
        <v>34</v>
      </c>
      <c r="B139" s="38">
        <v>146</v>
      </c>
      <c r="C139" s="38" t="s">
        <v>119</v>
      </c>
      <c r="D139" s="38">
        <v>146</v>
      </c>
      <c r="E139" s="38">
        <v>21700</v>
      </c>
      <c r="F139" s="38">
        <f t="shared" si="4"/>
        <v>21.7</v>
      </c>
      <c r="G139" s="38">
        <v>11559843.75</v>
      </c>
      <c r="H139" s="38">
        <f t="shared" si="5"/>
        <v>11.559843750000001</v>
      </c>
      <c r="I139" s="38">
        <v>2712</v>
      </c>
      <c r="J139" s="38">
        <v>2712</v>
      </c>
      <c r="K139" s="38" t="s">
        <v>120</v>
      </c>
      <c r="L139" s="38" t="s">
        <v>120</v>
      </c>
      <c r="M139" s="38" t="s">
        <v>120</v>
      </c>
      <c r="N139" s="38">
        <v>42.085915</v>
      </c>
      <c r="O139" s="38" t="s">
        <v>121</v>
      </c>
      <c r="P139" s="38" t="s">
        <v>121</v>
      </c>
      <c r="Q139" s="38" t="s">
        <v>120</v>
      </c>
      <c r="R139" s="38" t="s">
        <v>120</v>
      </c>
      <c r="S139" s="38" t="s">
        <v>120</v>
      </c>
      <c r="T139" s="38">
        <v>74.406396000000001</v>
      </c>
      <c r="U139" s="38">
        <v>76.713818000000003</v>
      </c>
      <c r="V139" s="38" t="s">
        <v>120</v>
      </c>
      <c r="W139" s="38" t="s">
        <v>120</v>
      </c>
      <c r="X139" s="38" t="s">
        <v>120</v>
      </c>
      <c r="Y139" s="38" t="s">
        <v>120</v>
      </c>
      <c r="Z139" s="38" t="s">
        <v>120</v>
      </c>
      <c r="AA139" s="38" t="s">
        <v>120</v>
      </c>
      <c r="AB139" s="38" t="s">
        <v>120</v>
      </c>
      <c r="AC139" s="38" t="s">
        <v>120</v>
      </c>
      <c r="AD139" s="38" t="s">
        <v>120</v>
      </c>
      <c r="AE139" s="38" t="s">
        <v>120</v>
      </c>
      <c r="AF139" s="38" t="s">
        <v>120</v>
      </c>
      <c r="AG139" s="38" t="s">
        <v>120</v>
      </c>
      <c r="AH139" s="38" t="s">
        <v>120</v>
      </c>
      <c r="AI139" s="38" t="s">
        <v>120</v>
      </c>
      <c r="AJ139" s="38" t="s">
        <v>120</v>
      </c>
      <c r="AK139" s="38" t="s">
        <v>120</v>
      </c>
      <c r="AL139" s="38" t="s">
        <v>120</v>
      </c>
      <c r="AM139" s="38" t="s">
        <v>120</v>
      </c>
      <c r="AN139" s="38" t="s">
        <v>120</v>
      </c>
      <c r="AO139" s="38" t="s">
        <v>120</v>
      </c>
      <c r="AP139" s="38" t="s">
        <v>120</v>
      </c>
      <c r="AQ139" s="38" t="s">
        <v>120</v>
      </c>
      <c r="AR139" s="38" t="s">
        <v>120</v>
      </c>
      <c r="AS139" s="38" t="s">
        <v>120</v>
      </c>
      <c r="AT139" s="38" t="s">
        <v>120</v>
      </c>
      <c r="AU139" s="38" t="s">
        <v>120</v>
      </c>
      <c r="AV139" s="38" t="s">
        <v>120</v>
      </c>
      <c r="AW139" s="38" t="s">
        <v>120</v>
      </c>
      <c r="AX139" s="38" t="s">
        <v>120</v>
      </c>
    </row>
    <row r="140" spans="1:50" x14ac:dyDescent="0.45">
      <c r="A140" s="38" t="s">
        <v>35</v>
      </c>
      <c r="B140" s="38">
        <v>147</v>
      </c>
      <c r="C140" s="38" t="s">
        <v>119</v>
      </c>
      <c r="D140" s="38">
        <v>147</v>
      </c>
      <c r="E140" s="38">
        <v>3950</v>
      </c>
      <c r="F140" s="38">
        <f t="shared" si="4"/>
        <v>3.95</v>
      </c>
      <c r="G140" s="38">
        <v>271562.5</v>
      </c>
      <c r="H140" s="38">
        <f t="shared" si="5"/>
        <v>0.27156249999999998</v>
      </c>
      <c r="I140" s="38">
        <v>2713</v>
      </c>
      <c r="J140" s="38">
        <v>2713</v>
      </c>
      <c r="K140" s="38" t="s">
        <v>120</v>
      </c>
      <c r="L140" s="38" t="s">
        <v>120</v>
      </c>
      <c r="M140" s="38" t="s">
        <v>120</v>
      </c>
      <c r="N140" s="38">
        <v>8.4432340000000003</v>
      </c>
      <c r="O140" s="38" t="s">
        <v>121</v>
      </c>
      <c r="P140" s="38" t="s">
        <v>121</v>
      </c>
      <c r="Q140" s="38" t="s">
        <v>120</v>
      </c>
      <c r="R140" s="38" t="s">
        <v>120</v>
      </c>
      <c r="S140" s="38" t="s">
        <v>120</v>
      </c>
      <c r="T140" s="38">
        <v>42.089041000000002</v>
      </c>
      <c r="U140" s="38">
        <v>76.604721999999995</v>
      </c>
      <c r="V140" s="38" t="s">
        <v>120</v>
      </c>
      <c r="W140" s="38" t="s">
        <v>120</v>
      </c>
      <c r="X140" s="38" t="s">
        <v>120</v>
      </c>
      <c r="Y140" s="38" t="s">
        <v>120</v>
      </c>
      <c r="Z140" s="38" t="s">
        <v>120</v>
      </c>
      <c r="AA140" s="38" t="s">
        <v>120</v>
      </c>
      <c r="AB140" s="38" t="s">
        <v>120</v>
      </c>
      <c r="AC140" s="38" t="s">
        <v>120</v>
      </c>
      <c r="AD140" s="38" t="s">
        <v>120</v>
      </c>
      <c r="AE140" s="38" t="s">
        <v>120</v>
      </c>
      <c r="AF140" s="38" t="s">
        <v>120</v>
      </c>
      <c r="AG140" s="38" t="s">
        <v>120</v>
      </c>
      <c r="AH140" s="38" t="s">
        <v>120</v>
      </c>
      <c r="AI140" s="38" t="s">
        <v>120</v>
      </c>
      <c r="AJ140" s="38" t="s">
        <v>120</v>
      </c>
      <c r="AK140" s="38" t="s">
        <v>120</v>
      </c>
      <c r="AL140" s="38" t="s">
        <v>120</v>
      </c>
      <c r="AM140" s="38" t="s">
        <v>120</v>
      </c>
      <c r="AN140" s="38" t="s">
        <v>120</v>
      </c>
      <c r="AO140" s="38" t="s">
        <v>120</v>
      </c>
      <c r="AP140" s="38" t="s">
        <v>120</v>
      </c>
      <c r="AQ140" s="38" t="s">
        <v>120</v>
      </c>
      <c r="AR140" s="38" t="s">
        <v>120</v>
      </c>
      <c r="AS140" s="38" t="s">
        <v>120</v>
      </c>
      <c r="AT140" s="38" t="s">
        <v>120</v>
      </c>
      <c r="AU140" s="38" t="s">
        <v>120</v>
      </c>
      <c r="AV140" s="38" t="s">
        <v>120</v>
      </c>
      <c r="AW140" s="38" t="s">
        <v>120</v>
      </c>
      <c r="AX140" s="38" t="s">
        <v>120</v>
      </c>
    </row>
    <row r="141" spans="1:50" x14ac:dyDescent="0.45">
      <c r="A141" s="38" t="s">
        <v>36</v>
      </c>
      <c r="B141" s="38">
        <v>148</v>
      </c>
      <c r="C141" s="38" t="s">
        <v>119</v>
      </c>
      <c r="D141" s="38">
        <v>148</v>
      </c>
      <c r="E141" s="38">
        <v>25300</v>
      </c>
      <c r="F141" s="38">
        <f t="shared" si="4"/>
        <v>25.3</v>
      </c>
      <c r="G141" s="38">
        <v>19750937.5</v>
      </c>
      <c r="H141" s="38">
        <f t="shared" si="5"/>
        <v>19.750937499999999</v>
      </c>
      <c r="I141" s="38">
        <v>2714</v>
      </c>
      <c r="J141" s="38">
        <v>2714</v>
      </c>
      <c r="K141" s="38" t="s">
        <v>120</v>
      </c>
      <c r="L141" s="38" t="s">
        <v>120</v>
      </c>
      <c r="M141" s="38" t="s">
        <v>120</v>
      </c>
      <c r="N141" s="38">
        <v>64.814971999999997</v>
      </c>
      <c r="O141" s="38" t="s">
        <v>121</v>
      </c>
      <c r="P141" s="38" t="s">
        <v>121</v>
      </c>
      <c r="Q141" s="38" t="s">
        <v>120</v>
      </c>
      <c r="R141" s="38" t="s">
        <v>120</v>
      </c>
      <c r="S141" s="38" t="s">
        <v>120</v>
      </c>
      <c r="T141" s="38">
        <v>77.765540000000001</v>
      </c>
      <c r="U141" s="38">
        <v>76.280776000000003</v>
      </c>
      <c r="V141" s="38" t="s">
        <v>120</v>
      </c>
      <c r="W141" s="38" t="s">
        <v>120</v>
      </c>
      <c r="X141" s="38" t="s">
        <v>120</v>
      </c>
      <c r="Y141" s="38" t="s">
        <v>120</v>
      </c>
      <c r="Z141" s="38" t="s">
        <v>120</v>
      </c>
      <c r="AA141" s="38" t="s">
        <v>120</v>
      </c>
      <c r="AB141" s="38" t="s">
        <v>120</v>
      </c>
      <c r="AC141" s="38" t="s">
        <v>120</v>
      </c>
      <c r="AD141" s="38" t="s">
        <v>120</v>
      </c>
      <c r="AE141" s="38" t="s">
        <v>120</v>
      </c>
      <c r="AF141" s="38" t="s">
        <v>120</v>
      </c>
      <c r="AG141" s="38" t="s">
        <v>120</v>
      </c>
      <c r="AH141" s="38" t="s">
        <v>120</v>
      </c>
      <c r="AI141" s="38" t="s">
        <v>120</v>
      </c>
      <c r="AJ141" s="38" t="s">
        <v>120</v>
      </c>
      <c r="AK141" s="38" t="s">
        <v>120</v>
      </c>
      <c r="AL141" s="38" t="s">
        <v>120</v>
      </c>
      <c r="AM141" s="38" t="s">
        <v>120</v>
      </c>
      <c r="AN141" s="38" t="s">
        <v>120</v>
      </c>
      <c r="AO141" s="38" t="s">
        <v>120</v>
      </c>
      <c r="AP141" s="38" t="s">
        <v>120</v>
      </c>
      <c r="AQ141" s="38" t="s">
        <v>120</v>
      </c>
      <c r="AR141" s="38" t="s">
        <v>120</v>
      </c>
      <c r="AS141" s="38" t="s">
        <v>120</v>
      </c>
      <c r="AT141" s="38" t="s">
        <v>120</v>
      </c>
      <c r="AU141" s="38" t="s">
        <v>120</v>
      </c>
      <c r="AV141" s="38" t="s">
        <v>120</v>
      </c>
      <c r="AW141" s="38" t="s">
        <v>120</v>
      </c>
      <c r="AX141" s="38" t="s">
        <v>120</v>
      </c>
    </row>
    <row r="142" spans="1:50" x14ac:dyDescent="0.45">
      <c r="A142" s="38" t="s">
        <v>37</v>
      </c>
      <c r="B142" s="38">
        <v>149</v>
      </c>
      <c r="C142" s="38" t="s">
        <v>119</v>
      </c>
      <c r="D142" s="38">
        <v>149</v>
      </c>
      <c r="E142" s="38">
        <v>21375</v>
      </c>
      <c r="F142" s="38">
        <f t="shared" si="4"/>
        <v>21.375</v>
      </c>
      <c r="G142" s="38">
        <v>9134843.75</v>
      </c>
      <c r="H142" s="38">
        <f t="shared" si="5"/>
        <v>9.1348437499999999</v>
      </c>
      <c r="I142" s="38">
        <v>2715</v>
      </c>
      <c r="J142" s="38">
        <v>2715</v>
      </c>
      <c r="K142" s="38" t="s">
        <v>120</v>
      </c>
      <c r="L142" s="38" t="s">
        <v>120</v>
      </c>
      <c r="M142" s="38" t="s">
        <v>120</v>
      </c>
      <c r="N142" s="38">
        <v>57.222251999999997</v>
      </c>
      <c r="O142" s="38" t="s">
        <v>121</v>
      </c>
      <c r="P142" s="38" t="s">
        <v>121</v>
      </c>
      <c r="Q142" s="38" t="s">
        <v>120</v>
      </c>
      <c r="R142" s="38" t="s">
        <v>120</v>
      </c>
      <c r="S142" s="38" t="s">
        <v>120</v>
      </c>
      <c r="T142" s="38">
        <v>76.697982999999994</v>
      </c>
      <c r="U142" s="38">
        <v>76.194621999999995</v>
      </c>
      <c r="V142" s="38" t="s">
        <v>120</v>
      </c>
      <c r="W142" s="38" t="s">
        <v>120</v>
      </c>
      <c r="X142" s="38" t="s">
        <v>120</v>
      </c>
      <c r="Y142" s="38" t="s">
        <v>120</v>
      </c>
      <c r="Z142" s="38" t="s">
        <v>120</v>
      </c>
      <c r="AA142" s="38" t="s">
        <v>120</v>
      </c>
      <c r="AB142" s="38" t="s">
        <v>120</v>
      </c>
      <c r="AC142" s="38" t="s">
        <v>120</v>
      </c>
      <c r="AD142" s="38" t="s">
        <v>120</v>
      </c>
      <c r="AE142" s="38" t="s">
        <v>120</v>
      </c>
      <c r="AF142" s="38" t="s">
        <v>120</v>
      </c>
      <c r="AG142" s="38" t="s">
        <v>120</v>
      </c>
      <c r="AH142" s="38" t="s">
        <v>120</v>
      </c>
      <c r="AI142" s="38" t="s">
        <v>120</v>
      </c>
      <c r="AJ142" s="38" t="s">
        <v>120</v>
      </c>
      <c r="AK142" s="38" t="s">
        <v>120</v>
      </c>
      <c r="AL142" s="38" t="s">
        <v>120</v>
      </c>
      <c r="AM142" s="38" t="s">
        <v>120</v>
      </c>
      <c r="AN142" s="38" t="s">
        <v>120</v>
      </c>
      <c r="AO142" s="38" t="s">
        <v>120</v>
      </c>
      <c r="AP142" s="38" t="s">
        <v>120</v>
      </c>
      <c r="AQ142" s="38" t="s">
        <v>120</v>
      </c>
      <c r="AR142" s="38" t="s">
        <v>120</v>
      </c>
      <c r="AS142" s="38" t="s">
        <v>120</v>
      </c>
      <c r="AT142" s="38" t="s">
        <v>120</v>
      </c>
      <c r="AU142" s="38" t="s">
        <v>120</v>
      </c>
      <c r="AV142" s="38" t="s">
        <v>120</v>
      </c>
      <c r="AW142" s="38" t="s">
        <v>120</v>
      </c>
      <c r="AX142" s="38" t="s">
        <v>120</v>
      </c>
    </row>
    <row r="143" spans="1:50" x14ac:dyDescent="0.45">
      <c r="A143" s="38" t="s">
        <v>38</v>
      </c>
      <c r="B143" s="38">
        <v>150</v>
      </c>
      <c r="C143" s="38" t="s">
        <v>119</v>
      </c>
      <c r="D143" s="38">
        <v>150</v>
      </c>
      <c r="E143" s="38">
        <v>6200</v>
      </c>
      <c r="F143" s="38">
        <f t="shared" si="4"/>
        <v>6.2</v>
      </c>
      <c r="G143" s="38">
        <v>751250</v>
      </c>
      <c r="H143" s="38">
        <f t="shared" si="5"/>
        <v>0.75124999999999997</v>
      </c>
      <c r="I143" s="38">
        <v>2716</v>
      </c>
      <c r="J143" s="38">
        <v>2716</v>
      </c>
      <c r="K143" s="38" t="s">
        <v>120</v>
      </c>
      <c r="L143" s="38" t="s">
        <v>120</v>
      </c>
      <c r="M143" s="38" t="s">
        <v>120</v>
      </c>
      <c r="N143" s="38">
        <v>8.8301320000000008</v>
      </c>
      <c r="O143" s="38" t="s">
        <v>121</v>
      </c>
      <c r="P143" s="38" t="s">
        <v>121</v>
      </c>
      <c r="Q143" s="38" t="s">
        <v>120</v>
      </c>
      <c r="R143" s="38" t="s">
        <v>120</v>
      </c>
      <c r="S143" s="38" t="s">
        <v>120</v>
      </c>
      <c r="T143" s="38">
        <v>49.8125</v>
      </c>
      <c r="U143" s="38">
        <v>76.591643000000005</v>
      </c>
      <c r="V143" s="38" t="s">
        <v>120</v>
      </c>
      <c r="W143" s="38" t="s">
        <v>120</v>
      </c>
      <c r="X143" s="38" t="s">
        <v>120</v>
      </c>
      <c r="Y143" s="38" t="s">
        <v>120</v>
      </c>
      <c r="Z143" s="38" t="s">
        <v>120</v>
      </c>
      <c r="AA143" s="38" t="s">
        <v>120</v>
      </c>
      <c r="AB143" s="38" t="s">
        <v>120</v>
      </c>
      <c r="AC143" s="38" t="s">
        <v>120</v>
      </c>
      <c r="AD143" s="38" t="s">
        <v>120</v>
      </c>
      <c r="AE143" s="38" t="s">
        <v>120</v>
      </c>
      <c r="AF143" s="38" t="s">
        <v>120</v>
      </c>
      <c r="AG143" s="38" t="s">
        <v>120</v>
      </c>
      <c r="AH143" s="38" t="s">
        <v>120</v>
      </c>
      <c r="AI143" s="38" t="s">
        <v>120</v>
      </c>
      <c r="AJ143" s="38" t="s">
        <v>120</v>
      </c>
      <c r="AK143" s="38" t="s">
        <v>120</v>
      </c>
      <c r="AL143" s="38" t="s">
        <v>120</v>
      </c>
      <c r="AM143" s="38" t="s">
        <v>120</v>
      </c>
      <c r="AN143" s="38" t="s">
        <v>120</v>
      </c>
      <c r="AO143" s="38" t="s">
        <v>120</v>
      </c>
      <c r="AP143" s="38" t="s">
        <v>120</v>
      </c>
      <c r="AQ143" s="38" t="s">
        <v>120</v>
      </c>
      <c r="AR143" s="38" t="s">
        <v>120</v>
      </c>
      <c r="AS143" s="38" t="s">
        <v>120</v>
      </c>
      <c r="AT143" s="38" t="s">
        <v>120</v>
      </c>
      <c r="AU143" s="38" t="s">
        <v>120</v>
      </c>
      <c r="AV143" s="38" t="s">
        <v>120</v>
      </c>
      <c r="AW143" s="38" t="s">
        <v>120</v>
      </c>
      <c r="AX143" s="38" t="s">
        <v>120</v>
      </c>
    </row>
    <row r="144" spans="1:50" x14ac:dyDescent="0.45">
      <c r="A144" s="38" t="s">
        <v>39</v>
      </c>
      <c r="B144" s="38">
        <v>151</v>
      </c>
      <c r="C144" s="38" t="s">
        <v>119</v>
      </c>
      <c r="D144" s="38">
        <v>151</v>
      </c>
      <c r="E144" s="38">
        <v>33425</v>
      </c>
      <c r="F144" s="38">
        <f t="shared" si="4"/>
        <v>33.424999999999997</v>
      </c>
      <c r="G144" s="38">
        <v>14182812.5</v>
      </c>
      <c r="H144" s="38">
        <f t="shared" si="5"/>
        <v>14.182812500000001</v>
      </c>
      <c r="I144" s="38">
        <v>2717</v>
      </c>
      <c r="J144" s="38">
        <v>2717</v>
      </c>
      <c r="K144" s="38" t="s">
        <v>120</v>
      </c>
      <c r="L144" s="38" t="s">
        <v>120</v>
      </c>
      <c r="M144" s="38" t="s">
        <v>120</v>
      </c>
      <c r="N144" s="38">
        <v>40.379241999999998</v>
      </c>
      <c r="O144" s="38" t="s">
        <v>121</v>
      </c>
      <c r="P144" s="38" t="s">
        <v>121</v>
      </c>
      <c r="Q144" s="38" t="s">
        <v>120</v>
      </c>
      <c r="R144" s="38" t="s">
        <v>120</v>
      </c>
      <c r="S144" s="38" t="s">
        <v>120</v>
      </c>
      <c r="T144" s="38">
        <v>63.634565000000002</v>
      </c>
      <c r="U144" s="38">
        <v>76.606733000000006</v>
      </c>
      <c r="V144" s="38" t="s">
        <v>120</v>
      </c>
      <c r="W144" s="38" t="s">
        <v>120</v>
      </c>
      <c r="X144" s="38" t="s">
        <v>120</v>
      </c>
      <c r="Y144" s="38" t="s">
        <v>120</v>
      </c>
      <c r="Z144" s="38" t="s">
        <v>120</v>
      </c>
      <c r="AA144" s="38" t="s">
        <v>120</v>
      </c>
      <c r="AB144" s="38" t="s">
        <v>120</v>
      </c>
      <c r="AC144" s="38" t="s">
        <v>120</v>
      </c>
      <c r="AD144" s="38" t="s">
        <v>120</v>
      </c>
      <c r="AE144" s="38" t="s">
        <v>120</v>
      </c>
      <c r="AF144" s="38" t="s">
        <v>120</v>
      </c>
      <c r="AG144" s="38" t="s">
        <v>120</v>
      </c>
      <c r="AH144" s="38" t="s">
        <v>120</v>
      </c>
      <c r="AI144" s="38" t="s">
        <v>120</v>
      </c>
      <c r="AJ144" s="38" t="s">
        <v>120</v>
      </c>
      <c r="AK144" s="38" t="s">
        <v>120</v>
      </c>
      <c r="AL144" s="38" t="s">
        <v>120</v>
      </c>
      <c r="AM144" s="38" t="s">
        <v>120</v>
      </c>
      <c r="AN144" s="38" t="s">
        <v>120</v>
      </c>
      <c r="AO144" s="38" t="s">
        <v>120</v>
      </c>
      <c r="AP144" s="38" t="s">
        <v>120</v>
      </c>
      <c r="AQ144" s="38" t="s">
        <v>120</v>
      </c>
      <c r="AR144" s="38" t="s">
        <v>120</v>
      </c>
      <c r="AS144" s="38" t="s">
        <v>120</v>
      </c>
      <c r="AT144" s="38" t="s">
        <v>120</v>
      </c>
      <c r="AU144" s="38" t="s">
        <v>120</v>
      </c>
      <c r="AV144" s="38" t="s">
        <v>120</v>
      </c>
      <c r="AW144" s="38" t="s">
        <v>120</v>
      </c>
      <c r="AX144" s="38" t="s">
        <v>120</v>
      </c>
    </row>
    <row r="145" spans="1:50" x14ac:dyDescent="0.45">
      <c r="A145" s="38" t="s">
        <v>231</v>
      </c>
      <c r="B145" s="38">
        <v>77</v>
      </c>
      <c r="C145" s="38" t="s">
        <v>119</v>
      </c>
      <c r="D145" s="38">
        <v>77</v>
      </c>
      <c r="E145" s="38">
        <v>14875</v>
      </c>
      <c r="F145" s="38">
        <f t="shared" si="4"/>
        <v>14.875</v>
      </c>
      <c r="G145" s="38">
        <v>2993125</v>
      </c>
      <c r="H145" s="38">
        <f t="shared" si="5"/>
        <v>2.993125</v>
      </c>
      <c r="I145" s="38">
        <v>2719</v>
      </c>
      <c r="J145" s="38">
        <v>2719</v>
      </c>
      <c r="K145" s="38" t="s">
        <v>120</v>
      </c>
      <c r="L145" s="38" t="s">
        <v>120</v>
      </c>
      <c r="M145" s="38" t="s">
        <v>120</v>
      </c>
      <c r="N145" s="38">
        <v>6.6939979999999997</v>
      </c>
      <c r="O145" s="38" t="s">
        <v>121</v>
      </c>
      <c r="P145" s="38" t="s">
        <v>121</v>
      </c>
      <c r="Q145" s="38" t="s">
        <v>120</v>
      </c>
      <c r="R145" s="38" t="s">
        <v>120</v>
      </c>
      <c r="S145" s="38" t="s">
        <v>120</v>
      </c>
      <c r="T145" s="38">
        <v>64.345437000000004</v>
      </c>
      <c r="U145" s="38">
        <v>83.974301999999994</v>
      </c>
      <c r="V145" s="38" t="s">
        <v>120</v>
      </c>
      <c r="W145" s="38" t="s">
        <v>120</v>
      </c>
      <c r="X145" s="38" t="s">
        <v>120</v>
      </c>
      <c r="Y145" s="38" t="s">
        <v>120</v>
      </c>
      <c r="Z145" s="38" t="s">
        <v>120</v>
      </c>
      <c r="AA145" s="38" t="s">
        <v>120</v>
      </c>
      <c r="AB145" s="38" t="s">
        <v>120</v>
      </c>
      <c r="AC145" s="38" t="s">
        <v>120</v>
      </c>
      <c r="AD145" s="38" t="s">
        <v>120</v>
      </c>
      <c r="AE145" s="38" t="s">
        <v>120</v>
      </c>
      <c r="AF145" s="38" t="s">
        <v>120</v>
      </c>
      <c r="AG145" s="38" t="s">
        <v>120</v>
      </c>
      <c r="AH145" s="38" t="s">
        <v>120</v>
      </c>
      <c r="AI145" s="38" t="s">
        <v>120</v>
      </c>
      <c r="AJ145" s="38" t="s">
        <v>120</v>
      </c>
      <c r="AK145" s="38" t="s">
        <v>120</v>
      </c>
      <c r="AL145" s="38" t="s">
        <v>120</v>
      </c>
      <c r="AM145" s="38" t="s">
        <v>120</v>
      </c>
      <c r="AN145" s="38" t="s">
        <v>120</v>
      </c>
      <c r="AO145" s="38" t="s">
        <v>120</v>
      </c>
      <c r="AP145" s="38" t="s">
        <v>120</v>
      </c>
      <c r="AQ145" s="38" t="s">
        <v>120</v>
      </c>
      <c r="AR145" s="38" t="s">
        <v>120</v>
      </c>
      <c r="AS145" s="38" t="s">
        <v>120</v>
      </c>
      <c r="AT145" s="38" t="s">
        <v>120</v>
      </c>
      <c r="AU145" s="38" t="s">
        <v>120</v>
      </c>
      <c r="AV145" s="38" t="s">
        <v>120</v>
      </c>
      <c r="AW145" s="38" t="s">
        <v>120</v>
      </c>
      <c r="AX145" s="38" t="s">
        <v>120</v>
      </c>
    </row>
    <row r="146" spans="1:50" x14ac:dyDescent="0.45">
      <c r="A146" s="38" t="s">
        <v>40</v>
      </c>
      <c r="B146" s="38">
        <v>152</v>
      </c>
      <c r="C146" s="38" t="s">
        <v>119</v>
      </c>
      <c r="D146" s="38" t="s">
        <v>120</v>
      </c>
      <c r="E146" s="38">
        <v>17525</v>
      </c>
      <c r="F146" s="38">
        <f t="shared" si="4"/>
        <v>17.524999999999999</v>
      </c>
      <c r="G146" s="38">
        <v>4066406.25</v>
      </c>
      <c r="H146" s="38">
        <f t="shared" si="5"/>
        <v>4.06640625</v>
      </c>
      <c r="I146" s="38">
        <v>2720</v>
      </c>
      <c r="J146" s="38">
        <v>2720</v>
      </c>
      <c r="K146" s="38" t="s">
        <v>120</v>
      </c>
      <c r="L146" s="38" t="s">
        <v>120</v>
      </c>
      <c r="M146" s="38" t="s">
        <v>120</v>
      </c>
      <c r="N146" s="38">
        <v>7.2080250000000001</v>
      </c>
      <c r="O146" s="38" t="s">
        <v>121</v>
      </c>
      <c r="P146" s="38" t="s">
        <v>121</v>
      </c>
      <c r="Q146" s="38" t="s">
        <v>120</v>
      </c>
      <c r="R146" s="38" t="s">
        <v>120</v>
      </c>
      <c r="S146" s="38" t="s">
        <v>120</v>
      </c>
      <c r="T146" s="38">
        <v>62.832140000000003</v>
      </c>
      <c r="U146" s="38">
        <v>83.371071000000001</v>
      </c>
      <c r="V146" s="38" t="s">
        <v>120</v>
      </c>
      <c r="W146" s="38" t="s">
        <v>120</v>
      </c>
      <c r="X146" s="38" t="s">
        <v>120</v>
      </c>
      <c r="Y146" s="38" t="s">
        <v>120</v>
      </c>
      <c r="Z146" s="38" t="s">
        <v>120</v>
      </c>
      <c r="AA146" s="38" t="s">
        <v>120</v>
      </c>
      <c r="AB146" s="38" t="s">
        <v>120</v>
      </c>
      <c r="AC146" s="38" t="s">
        <v>120</v>
      </c>
      <c r="AD146" s="38" t="s">
        <v>120</v>
      </c>
      <c r="AE146" s="38" t="s">
        <v>120</v>
      </c>
      <c r="AF146" s="38" t="s">
        <v>120</v>
      </c>
      <c r="AG146" s="38" t="s">
        <v>120</v>
      </c>
      <c r="AH146" s="38" t="s">
        <v>120</v>
      </c>
      <c r="AI146" s="38" t="s">
        <v>120</v>
      </c>
      <c r="AJ146" s="38" t="s">
        <v>120</v>
      </c>
      <c r="AK146" s="38" t="s">
        <v>120</v>
      </c>
      <c r="AL146" s="38" t="s">
        <v>120</v>
      </c>
      <c r="AM146" s="38" t="s">
        <v>120</v>
      </c>
      <c r="AN146" s="38" t="s">
        <v>120</v>
      </c>
      <c r="AO146" s="38" t="s">
        <v>120</v>
      </c>
      <c r="AP146" s="38" t="s">
        <v>120</v>
      </c>
      <c r="AQ146" s="38" t="s">
        <v>120</v>
      </c>
      <c r="AR146" s="38" t="s">
        <v>120</v>
      </c>
      <c r="AS146" s="38" t="s">
        <v>120</v>
      </c>
      <c r="AT146" s="38" t="s">
        <v>120</v>
      </c>
      <c r="AU146" s="38" t="s">
        <v>120</v>
      </c>
      <c r="AV146" s="38" t="s">
        <v>120</v>
      </c>
      <c r="AW146" s="38" t="s">
        <v>120</v>
      </c>
      <c r="AX146" s="38" t="s">
        <v>120</v>
      </c>
    </row>
    <row r="147" spans="1:50" x14ac:dyDescent="0.45">
      <c r="A147" s="38" t="s">
        <v>232</v>
      </c>
      <c r="B147" s="38">
        <v>74</v>
      </c>
      <c r="C147" s="38" t="s">
        <v>119</v>
      </c>
      <c r="D147" s="38">
        <v>74</v>
      </c>
      <c r="E147" s="38">
        <v>15750</v>
      </c>
      <c r="F147" s="38">
        <f t="shared" si="4"/>
        <v>15.75</v>
      </c>
      <c r="G147" s="38">
        <v>2282968.75</v>
      </c>
      <c r="H147" s="38">
        <f t="shared" si="5"/>
        <v>2.2829687500000002</v>
      </c>
      <c r="I147" s="38">
        <v>2724</v>
      </c>
      <c r="J147" s="38">
        <v>2724</v>
      </c>
      <c r="K147" s="38" t="s">
        <v>120</v>
      </c>
      <c r="L147" s="38" t="s">
        <v>120</v>
      </c>
      <c r="M147" s="38" t="s">
        <v>120</v>
      </c>
      <c r="N147" s="38">
        <v>8.5253460000000008</v>
      </c>
      <c r="O147" s="38" t="s">
        <v>121</v>
      </c>
      <c r="P147" s="38" t="s">
        <v>121</v>
      </c>
      <c r="Q147" s="38" t="s">
        <v>120</v>
      </c>
      <c r="R147" s="38" t="s">
        <v>120</v>
      </c>
      <c r="S147" s="38" t="s">
        <v>120</v>
      </c>
      <c r="T147" s="38">
        <v>68.688400999999999</v>
      </c>
      <c r="U147" s="38">
        <v>77.478795000000005</v>
      </c>
      <c r="V147" s="38" t="s">
        <v>120</v>
      </c>
      <c r="W147" s="38" t="s">
        <v>120</v>
      </c>
      <c r="X147" s="38" t="s">
        <v>120</v>
      </c>
      <c r="Y147" s="38" t="s">
        <v>120</v>
      </c>
      <c r="Z147" s="38" t="s">
        <v>120</v>
      </c>
      <c r="AA147" s="38" t="s">
        <v>120</v>
      </c>
      <c r="AB147" s="38" t="s">
        <v>120</v>
      </c>
      <c r="AC147" s="38" t="s">
        <v>120</v>
      </c>
      <c r="AD147" s="38" t="s">
        <v>120</v>
      </c>
      <c r="AE147" s="38" t="s">
        <v>120</v>
      </c>
      <c r="AF147" s="38" t="s">
        <v>120</v>
      </c>
      <c r="AG147" s="38" t="s">
        <v>120</v>
      </c>
      <c r="AH147" s="38" t="s">
        <v>120</v>
      </c>
      <c r="AI147" s="38" t="s">
        <v>120</v>
      </c>
      <c r="AJ147" s="38" t="s">
        <v>120</v>
      </c>
      <c r="AK147" s="38" t="s">
        <v>120</v>
      </c>
      <c r="AL147" s="38" t="s">
        <v>120</v>
      </c>
      <c r="AM147" s="38" t="s">
        <v>120</v>
      </c>
      <c r="AN147" s="38" t="s">
        <v>120</v>
      </c>
      <c r="AO147" s="38" t="s">
        <v>120</v>
      </c>
      <c r="AP147" s="38" t="s">
        <v>120</v>
      </c>
      <c r="AQ147" s="38" t="s">
        <v>120</v>
      </c>
      <c r="AR147" s="38" t="s">
        <v>120</v>
      </c>
      <c r="AS147" s="38" t="s">
        <v>120</v>
      </c>
      <c r="AT147" s="38" t="s">
        <v>120</v>
      </c>
      <c r="AU147" s="38" t="s">
        <v>120</v>
      </c>
      <c r="AV147" s="38" t="s">
        <v>120</v>
      </c>
      <c r="AW147" s="38" t="s">
        <v>120</v>
      </c>
      <c r="AX147" s="38" t="s">
        <v>120</v>
      </c>
    </row>
    <row r="148" spans="1:50" x14ac:dyDescent="0.45">
      <c r="A148" s="38" t="s">
        <v>41</v>
      </c>
      <c r="B148" s="38">
        <v>153</v>
      </c>
      <c r="C148" s="38" t="s">
        <v>119</v>
      </c>
      <c r="D148" s="38" t="s">
        <v>120</v>
      </c>
      <c r="E148" s="38">
        <v>20500</v>
      </c>
      <c r="F148" s="38">
        <f t="shared" si="4"/>
        <v>20.5</v>
      </c>
      <c r="G148" s="38">
        <v>6231093.75</v>
      </c>
      <c r="H148" s="38">
        <f t="shared" si="5"/>
        <v>6.2310937500000003</v>
      </c>
      <c r="I148" s="38">
        <v>2725</v>
      </c>
      <c r="J148" s="38">
        <v>2725</v>
      </c>
      <c r="K148" s="38" t="s">
        <v>120</v>
      </c>
      <c r="L148" s="38" t="s">
        <v>120</v>
      </c>
      <c r="M148" s="38" t="s">
        <v>120</v>
      </c>
      <c r="N148" s="38">
        <v>8.366994</v>
      </c>
      <c r="O148" s="38" t="s">
        <v>121</v>
      </c>
      <c r="P148" s="38" t="s">
        <v>121</v>
      </c>
      <c r="Q148" s="38" t="s">
        <v>120</v>
      </c>
      <c r="R148" s="38" t="s">
        <v>120</v>
      </c>
      <c r="S148" s="38" t="s">
        <v>120</v>
      </c>
      <c r="T148" s="38">
        <v>58.481762000000003</v>
      </c>
      <c r="U148" s="38">
        <v>76.477463</v>
      </c>
      <c r="V148" s="38" t="s">
        <v>120</v>
      </c>
      <c r="W148" s="38" t="s">
        <v>120</v>
      </c>
      <c r="X148" s="38" t="s">
        <v>120</v>
      </c>
      <c r="Y148" s="38" t="s">
        <v>120</v>
      </c>
      <c r="Z148" s="38" t="s">
        <v>120</v>
      </c>
      <c r="AA148" s="38" t="s">
        <v>120</v>
      </c>
      <c r="AB148" s="38" t="s">
        <v>120</v>
      </c>
      <c r="AC148" s="38" t="s">
        <v>120</v>
      </c>
      <c r="AD148" s="38" t="s">
        <v>120</v>
      </c>
      <c r="AE148" s="38" t="s">
        <v>120</v>
      </c>
      <c r="AF148" s="38" t="s">
        <v>120</v>
      </c>
      <c r="AG148" s="38" t="s">
        <v>120</v>
      </c>
      <c r="AH148" s="38" t="s">
        <v>120</v>
      </c>
      <c r="AI148" s="38" t="s">
        <v>120</v>
      </c>
      <c r="AJ148" s="38" t="s">
        <v>120</v>
      </c>
      <c r="AK148" s="38" t="s">
        <v>120</v>
      </c>
      <c r="AL148" s="38" t="s">
        <v>120</v>
      </c>
      <c r="AM148" s="38" t="s">
        <v>120</v>
      </c>
      <c r="AN148" s="38" t="s">
        <v>120</v>
      </c>
      <c r="AO148" s="38" t="s">
        <v>120</v>
      </c>
      <c r="AP148" s="38" t="s">
        <v>120</v>
      </c>
      <c r="AQ148" s="38" t="s">
        <v>120</v>
      </c>
      <c r="AR148" s="38" t="s">
        <v>120</v>
      </c>
      <c r="AS148" s="38" t="s">
        <v>120</v>
      </c>
      <c r="AT148" s="38" t="s">
        <v>120</v>
      </c>
      <c r="AU148" s="38" t="s">
        <v>120</v>
      </c>
      <c r="AV148" s="38" t="s">
        <v>120</v>
      </c>
      <c r="AW148" s="38" t="s">
        <v>120</v>
      </c>
      <c r="AX148" s="38" t="s">
        <v>120</v>
      </c>
    </row>
    <row r="149" spans="1:50" x14ac:dyDescent="0.45">
      <c r="A149" s="38" t="s">
        <v>42</v>
      </c>
      <c r="B149" s="38">
        <v>95</v>
      </c>
      <c r="C149" s="38" t="s">
        <v>119</v>
      </c>
      <c r="D149" s="38">
        <v>95</v>
      </c>
      <c r="E149" s="38">
        <v>36250</v>
      </c>
      <c r="F149" s="38">
        <f t="shared" si="4"/>
        <v>36.25</v>
      </c>
      <c r="G149" s="38">
        <v>16810468.75</v>
      </c>
      <c r="H149" s="38">
        <f t="shared" si="5"/>
        <v>16.810468749999998</v>
      </c>
      <c r="I149" s="38">
        <v>2729</v>
      </c>
      <c r="J149" s="38">
        <v>2729</v>
      </c>
      <c r="K149" s="38" t="s">
        <v>120</v>
      </c>
      <c r="L149" s="38" t="s">
        <v>120</v>
      </c>
      <c r="M149" s="38" t="s">
        <v>120</v>
      </c>
      <c r="N149" s="38">
        <v>7.4799160000000002</v>
      </c>
      <c r="O149" s="38" t="s">
        <v>121</v>
      </c>
      <c r="P149" s="38" t="s">
        <v>121</v>
      </c>
      <c r="Q149" s="38" t="s">
        <v>120</v>
      </c>
      <c r="R149" s="38" t="s">
        <v>120</v>
      </c>
      <c r="S149" s="38" t="s">
        <v>120</v>
      </c>
      <c r="T149" s="38">
        <v>48.767493000000002</v>
      </c>
      <c r="U149" s="38">
        <v>79.315505000000002</v>
      </c>
      <c r="V149" s="38" t="s">
        <v>120</v>
      </c>
      <c r="W149" s="38" t="s">
        <v>120</v>
      </c>
      <c r="X149" s="38" t="s">
        <v>120</v>
      </c>
      <c r="Y149" s="38" t="s">
        <v>120</v>
      </c>
      <c r="Z149" s="38" t="s">
        <v>120</v>
      </c>
      <c r="AA149" s="38" t="s">
        <v>120</v>
      </c>
      <c r="AB149" s="38" t="s">
        <v>120</v>
      </c>
      <c r="AC149" s="38" t="s">
        <v>120</v>
      </c>
      <c r="AD149" s="38" t="s">
        <v>120</v>
      </c>
      <c r="AE149" s="38" t="s">
        <v>120</v>
      </c>
      <c r="AF149" s="38" t="s">
        <v>120</v>
      </c>
      <c r="AG149" s="38" t="s">
        <v>120</v>
      </c>
      <c r="AH149" s="38" t="s">
        <v>120</v>
      </c>
      <c r="AI149" s="38" t="s">
        <v>120</v>
      </c>
      <c r="AJ149" s="38" t="s">
        <v>120</v>
      </c>
      <c r="AK149" s="38" t="s">
        <v>120</v>
      </c>
      <c r="AL149" s="38" t="s">
        <v>120</v>
      </c>
      <c r="AM149" s="38" t="s">
        <v>120</v>
      </c>
      <c r="AN149" s="38" t="s">
        <v>120</v>
      </c>
      <c r="AO149" s="38" t="s">
        <v>120</v>
      </c>
      <c r="AP149" s="38" t="s">
        <v>120</v>
      </c>
      <c r="AQ149" s="38" t="s">
        <v>120</v>
      </c>
      <c r="AR149" s="38" t="s">
        <v>120</v>
      </c>
      <c r="AS149" s="38" t="s">
        <v>120</v>
      </c>
      <c r="AT149" s="38" t="s">
        <v>120</v>
      </c>
      <c r="AU149" s="38" t="s">
        <v>120</v>
      </c>
      <c r="AV149" s="38" t="s">
        <v>120</v>
      </c>
      <c r="AW149" s="38" t="s">
        <v>120</v>
      </c>
      <c r="AX149" s="38" t="s">
        <v>120</v>
      </c>
    </row>
    <row r="150" spans="1:50" x14ac:dyDescent="0.45">
      <c r="A150" s="38" t="s">
        <v>43</v>
      </c>
      <c r="B150" s="38">
        <v>154</v>
      </c>
      <c r="C150" s="38" t="s">
        <v>119</v>
      </c>
      <c r="D150" s="38" t="s">
        <v>120</v>
      </c>
      <c r="E150" s="38">
        <v>13950</v>
      </c>
      <c r="F150" s="38">
        <f t="shared" si="4"/>
        <v>13.95</v>
      </c>
      <c r="G150" s="38">
        <v>3787031.25</v>
      </c>
      <c r="H150" s="38">
        <f t="shared" si="5"/>
        <v>3.7870312500000001</v>
      </c>
      <c r="I150" s="38">
        <v>2730</v>
      </c>
      <c r="J150" s="38">
        <v>2730</v>
      </c>
      <c r="K150" s="38" t="s">
        <v>120</v>
      </c>
      <c r="L150" s="38" t="s">
        <v>120</v>
      </c>
      <c r="M150" s="38" t="s">
        <v>120</v>
      </c>
      <c r="N150" s="38">
        <v>7.6631239999999998</v>
      </c>
      <c r="O150" s="38" t="s">
        <v>121</v>
      </c>
      <c r="P150" s="38" t="s">
        <v>121</v>
      </c>
      <c r="Q150" s="38" t="s">
        <v>120</v>
      </c>
      <c r="R150" s="38" t="s">
        <v>120</v>
      </c>
      <c r="S150" s="38" t="s">
        <v>120</v>
      </c>
      <c r="T150" s="38">
        <v>57.841278000000003</v>
      </c>
      <c r="U150" s="38">
        <v>77.253365000000002</v>
      </c>
      <c r="V150" s="38" t="s">
        <v>120</v>
      </c>
      <c r="W150" s="38" t="s">
        <v>120</v>
      </c>
      <c r="X150" s="38" t="s">
        <v>120</v>
      </c>
      <c r="Y150" s="38" t="s">
        <v>120</v>
      </c>
      <c r="Z150" s="38" t="s">
        <v>120</v>
      </c>
      <c r="AA150" s="38" t="s">
        <v>120</v>
      </c>
      <c r="AB150" s="38" t="s">
        <v>120</v>
      </c>
      <c r="AC150" s="38" t="s">
        <v>120</v>
      </c>
      <c r="AD150" s="38" t="s">
        <v>120</v>
      </c>
      <c r="AE150" s="38" t="s">
        <v>120</v>
      </c>
      <c r="AF150" s="38" t="s">
        <v>120</v>
      </c>
      <c r="AG150" s="38" t="s">
        <v>120</v>
      </c>
      <c r="AH150" s="38" t="s">
        <v>120</v>
      </c>
      <c r="AI150" s="38" t="s">
        <v>120</v>
      </c>
      <c r="AJ150" s="38" t="s">
        <v>120</v>
      </c>
      <c r="AK150" s="38" t="s">
        <v>120</v>
      </c>
      <c r="AL150" s="38" t="s">
        <v>120</v>
      </c>
      <c r="AM150" s="38" t="s">
        <v>120</v>
      </c>
      <c r="AN150" s="38" t="s">
        <v>120</v>
      </c>
      <c r="AO150" s="38" t="s">
        <v>120</v>
      </c>
      <c r="AP150" s="38" t="s">
        <v>120</v>
      </c>
      <c r="AQ150" s="38" t="s">
        <v>120</v>
      </c>
      <c r="AR150" s="38" t="s">
        <v>120</v>
      </c>
      <c r="AS150" s="38" t="s">
        <v>120</v>
      </c>
      <c r="AT150" s="38" t="s">
        <v>120</v>
      </c>
      <c r="AU150" s="38" t="s">
        <v>120</v>
      </c>
      <c r="AV150" s="38" t="s">
        <v>120</v>
      </c>
      <c r="AW150" s="38" t="s">
        <v>120</v>
      </c>
      <c r="AX150" s="38" t="s">
        <v>120</v>
      </c>
    </row>
    <row r="151" spans="1:50" x14ac:dyDescent="0.45">
      <c r="A151" s="38" t="s">
        <v>44</v>
      </c>
      <c r="B151" s="38">
        <v>107</v>
      </c>
      <c r="C151" s="38" t="s">
        <v>119</v>
      </c>
      <c r="D151" s="38">
        <v>107</v>
      </c>
      <c r="E151" s="38">
        <v>7200</v>
      </c>
      <c r="F151" s="38">
        <f t="shared" si="4"/>
        <v>7.2</v>
      </c>
      <c r="G151" s="38">
        <v>888125</v>
      </c>
      <c r="H151" s="38">
        <f t="shared" si="5"/>
        <v>0.88812500000000005</v>
      </c>
      <c r="I151" s="38">
        <v>2734</v>
      </c>
      <c r="J151" s="38">
        <v>2734</v>
      </c>
      <c r="K151" s="38" t="s">
        <v>120</v>
      </c>
      <c r="L151" s="38" t="s">
        <v>120</v>
      </c>
      <c r="M151" s="38" t="s">
        <v>120</v>
      </c>
      <c r="N151" s="38">
        <v>7.3745729999999998</v>
      </c>
      <c r="O151" s="38" t="s">
        <v>121</v>
      </c>
      <c r="P151" s="38" t="s">
        <v>121</v>
      </c>
      <c r="Q151" s="38" t="s">
        <v>120</v>
      </c>
      <c r="R151" s="38" t="s">
        <v>120</v>
      </c>
      <c r="S151" s="38" t="s">
        <v>120</v>
      </c>
      <c r="T151" s="38">
        <v>49.133758</v>
      </c>
      <c r="U151" s="38">
        <v>77.935550000000006</v>
      </c>
      <c r="V151" s="38" t="s">
        <v>120</v>
      </c>
      <c r="W151" s="38" t="s">
        <v>120</v>
      </c>
      <c r="X151" s="38" t="s">
        <v>120</v>
      </c>
      <c r="Y151" s="38" t="s">
        <v>120</v>
      </c>
      <c r="Z151" s="38" t="s">
        <v>120</v>
      </c>
      <c r="AA151" s="38" t="s">
        <v>120</v>
      </c>
      <c r="AB151" s="38" t="s">
        <v>120</v>
      </c>
      <c r="AC151" s="38" t="s">
        <v>120</v>
      </c>
      <c r="AD151" s="38" t="s">
        <v>120</v>
      </c>
      <c r="AE151" s="38" t="s">
        <v>120</v>
      </c>
      <c r="AF151" s="38" t="s">
        <v>120</v>
      </c>
      <c r="AG151" s="38" t="s">
        <v>120</v>
      </c>
      <c r="AH151" s="38" t="s">
        <v>120</v>
      </c>
      <c r="AI151" s="38" t="s">
        <v>120</v>
      </c>
      <c r="AJ151" s="38" t="s">
        <v>120</v>
      </c>
      <c r="AK151" s="38" t="s">
        <v>120</v>
      </c>
      <c r="AL151" s="38" t="s">
        <v>120</v>
      </c>
      <c r="AM151" s="38" t="s">
        <v>120</v>
      </c>
      <c r="AN151" s="38" t="s">
        <v>120</v>
      </c>
      <c r="AO151" s="38" t="s">
        <v>120</v>
      </c>
      <c r="AP151" s="38" t="s">
        <v>120</v>
      </c>
      <c r="AQ151" s="38" t="s">
        <v>120</v>
      </c>
      <c r="AR151" s="38" t="s">
        <v>120</v>
      </c>
      <c r="AS151" s="38" t="s">
        <v>120</v>
      </c>
      <c r="AT151" s="38" t="s">
        <v>120</v>
      </c>
      <c r="AU151" s="38" t="s">
        <v>120</v>
      </c>
      <c r="AV151" s="38" t="s">
        <v>120</v>
      </c>
      <c r="AW151" s="38" t="s">
        <v>120</v>
      </c>
      <c r="AX151" s="38" t="s">
        <v>120</v>
      </c>
    </row>
    <row r="152" spans="1:50" x14ac:dyDescent="0.45">
      <c r="A152" s="38" t="s">
        <v>45</v>
      </c>
      <c r="B152" s="38">
        <v>155</v>
      </c>
      <c r="C152" s="38" t="s">
        <v>119</v>
      </c>
      <c r="D152" s="38" t="s">
        <v>120</v>
      </c>
      <c r="E152" s="38">
        <v>16825</v>
      </c>
      <c r="F152" s="38">
        <f t="shared" si="4"/>
        <v>16.824999999999999</v>
      </c>
      <c r="G152" s="38">
        <v>4785781.25</v>
      </c>
      <c r="H152" s="38">
        <f t="shared" si="5"/>
        <v>4.7857812500000003</v>
      </c>
      <c r="I152" s="38">
        <v>2735</v>
      </c>
      <c r="J152" s="38">
        <v>2735</v>
      </c>
      <c r="K152" s="38" t="s">
        <v>120</v>
      </c>
      <c r="L152" s="38" t="s">
        <v>120</v>
      </c>
      <c r="M152" s="38" t="s">
        <v>120</v>
      </c>
      <c r="N152" s="38">
        <v>9.318225</v>
      </c>
      <c r="O152" s="38" t="s">
        <v>121</v>
      </c>
      <c r="P152" s="38" t="s">
        <v>121</v>
      </c>
      <c r="Q152" s="38" t="s">
        <v>120</v>
      </c>
      <c r="R152" s="38" t="s">
        <v>120</v>
      </c>
      <c r="S152" s="38" t="s">
        <v>120</v>
      </c>
      <c r="T152" s="38">
        <v>59.330900999999997</v>
      </c>
      <c r="U152" s="38">
        <v>77.401234000000002</v>
      </c>
      <c r="V152" s="38" t="s">
        <v>120</v>
      </c>
      <c r="W152" s="38" t="s">
        <v>120</v>
      </c>
      <c r="X152" s="38" t="s">
        <v>120</v>
      </c>
      <c r="Y152" s="38" t="s">
        <v>120</v>
      </c>
      <c r="Z152" s="38" t="s">
        <v>120</v>
      </c>
      <c r="AA152" s="38" t="s">
        <v>120</v>
      </c>
      <c r="AB152" s="38" t="s">
        <v>120</v>
      </c>
      <c r="AC152" s="38" t="s">
        <v>120</v>
      </c>
      <c r="AD152" s="38" t="s">
        <v>120</v>
      </c>
      <c r="AE152" s="38" t="s">
        <v>120</v>
      </c>
      <c r="AF152" s="38" t="s">
        <v>120</v>
      </c>
      <c r="AG152" s="38" t="s">
        <v>120</v>
      </c>
      <c r="AH152" s="38" t="s">
        <v>120</v>
      </c>
      <c r="AI152" s="38" t="s">
        <v>120</v>
      </c>
      <c r="AJ152" s="38" t="s">
        <v>120</v>
      </c>
      <c r="AK152" s="38" t="s">
        <v>120</v>
      </c>
      <c r="AL152" s="38" t="s">
        <v>120</v>
      </c>
      <c r="AM152" s="38" t="s">
        <v>120</v>
      </c>
      <c r="AN152" s="38" t="s">
        <v>120</v>
      </c>
      <c r="AO152" s="38" t="s">
        <v>120</v>
      </c>
      <c r="AP152" s="38" t="s">
        <v>120</v>
      </c>
      <c r="AQ152" s="38" t="s">
        <v>120</v>
      </c>
      <c r="AR152" s="38" t="s">
        <v>120</v>
      </c>
      <c r="AS152" s="38" t="s">
        <v>120</v>
      </c>
      <c r="AT152" s="38" t="s">
        <v>120</v>
      </c>
      <c r="AU152" s="38" t="s">
        <v>120</v>
      </c>
      <c r="AV152" s="38" t="s">
        <v>120</v>
      </c>
      <c r="AW152" s="38" t="s">
        <v>120</v>
      </c>
      <c r="AX152" s="38" t="s">
        <v>120</v>
      </c>
    </row>
    <row r="153" spans="1:50" x14ac:dyDescent="0.45">
      <c r="A153" s="38" t="s">
        <v>46</v>
      </c>
      <c r="B153" s="38">
        <v>114</v>
      </c>
      <c r="C153" s="38" t="s">
        <v>119</v>
      </c>
      <c r="D153" s="38">
        <v>114</v>
      </c>
      <c r="E153" s="38">
        <v>11500</v>
      </c>
      <c r="F153" s="38">
        <f t="shared" si="4"/>
        <v>11.5</v>
      </c>
      <c r="G153" s="38">
        <v>1707343.75</v>
      </c>
      <c r="H153" s="38">
        <f t="shared" si="5"/>
        <v>1.7073437499999999</v>
      </c>
      <c r="I153" s="38">
        <v>2739</v>
      </c>
      <c r="J153" s="38">
        <v>2739</v>
      </c>
      <c r="K153" s="38" t="s">
        <v>120</v>
      </c>
      <c r="L153" s="38" t="s">
        <v>120</v>
      </c>
      <c r="M153" s="38" t="s">
        <v>120</v>
      </c>
      <c r="N153" s="38">
        <v>8.3294280000000001</v>
      </c>
      <c r="O153" s="38" t="s">
        <v>121</v>
      </c>
      <c r="P153" s="38" t="s">
        <v>121</v>
      </c>
      <c r="Q153" s="38" t="s">
        <v>120</v>
      </c>
      <c r="R153" s="38" t="s">
        <v>120</v>
      </c>
      <c r="S153" s="38" t="s">
        <v>120</v>
      </c>
      <c r="T153" s="38">
        <v>52.070556000000003</v>
      </c>
      <c r="U153" s="38">
        <v>77.747601000000003</v>
      </c>
      <c r="V153" s="38" t="s">
        <v>120</v>
      </c>
      <c r="W153" s="38" t="s">
        <v>120</v>
      </c>
      <c r="X153" s="38" t="s">
        <v>120</v>
      </c>
      <c r="Y153" s="38" t="s">
        <v>120</v>
      </c>
      <c r="Z153" s="38" t="s">
        <v>120</v>
      </c>
      <c r="AA153" s="38" t="s">
        <v>120</v>
      </c>
      <c r="AB153" s="38" t="s">
        <v>120</v>
      </c>
      <c r="AC153" s="38" t="s">
        <v>120</v>
      </c>
      <c r="AD153" s="38" t="s">
        <v>120</v>
      </c>
      <c r="AE153" s="38" t="s">
        <v>120</v>
      </c>
      <c r="AF153" s="38" t="s">
        <v>120</v>
      </c>
      <c r="AG153" s="38" t="s">
        <v>120</v>
      </c>
      <c r="AH153" s="38" t="s">
        <v>120</v>
      </c>
      <c r="AI153" s="38" t="s">
        <v>120</v>
      </c>
      <c r="AJ153" s="38" t="s">
        <v>120</v>
      </c>
      <c r="AK153" s="38" t="s">
        <v>120</v>
      </c>
      <c r="AL153" s="38" t="s">
        <v>120</v>
      </c>
      <c r="AM153" s="38" t="s">
        <v>120</v>
      </c>
      <c r="AN153" s="38" t="s">
        <v>120</v>
      </c>
      <c r="AO153" s="38" t="s">
        <v>120</v>
      </c>
      <c r="AP153" s="38" t="s">
        <v>120</v>
      </c>
      <c r="AQ153" s="38" t="s">
        <v>120</v>
      </c>
      <c r="AR153" s="38" t="s">
        <v>120</v>
      </c>
      <c r="AS153" s="38" t="s">
        <v>120</v>
      </c>
      <c r="AT153" s="38" t="s">
        <v>120</v>
      </c>
      <c r="AU153" s="38" t="s">
        <v>120</v>
      </c>
      <c r="AV153" s="38" t="s">
        <v>120</v>
      </c>
      <c r="AW153" s="38" t="s">
        <v>120</v>
      </c>
      <c r="AX153" s="38" t="s">
        <v>120</v>
      </c>
    </row>
    <row r="154" spans="1:50" x14ac:dyDescent="0.45">
      <c r="A154" s="38" t="s">
        <v>47</v>
      </c>
      <c r="B154" s="38">
        <v>156</v>
      </c>
      <c r="C154" s="38" t="s">
        <v>119</v>
      </c>
      <c r="D154" s="38" t="s">
        <v>120</v>
      </c>
      <c r="E154" s="38">
        <v>22000</v>
      </c>
      <c r="F154" s="38">
        <f t="shared" si="4"/>
        <v>22</v>
      </c>
      <c r="G154" s="38">
        <v>7608906.25</v>
      </c>
      <c r="H154" s="38">
        <f t="shared" si="5"/>
        <v>7.6089062500000004</v>
      </c>
      <c r="I154" s="38">
        <v>2740</v>
      </c>
      <c r="J154" s="38">
        <v>2740</v>
      </c>
      <c r="K154" s="38" t="s">
        <v>120</v>
      </c>
      <c r="L154" s="38" t="s">
        <v>120</v>
      </c>
      <c r="M154" s="38" t="s">
        <v>120</v>
      </c>
      <c r="N154" s="38">
        <v>10.956189999999999</v>
      </c>
      <c r="O154" s="38" t="s">
        <v>121</v>
      </c>
      <c r="P154" s="38" t="s">
        <v>121</v>
      </c>
      <c r="Q154" s="38" t="s">
        <v>120</v>
      </c>
      <c r="R154" s="38" t="s">
        <v>120</v>
      </c>
      <c r="S154" s="38" t="s">
        <v>120</v>
      </c>
      <c r="T154" s="38">
        <v>65.000933000000003</v>
      </c>
      <c r="U154" s="38">
        <v>77.285764</v>
      </c>
      <c r="V154" s="38" t="s">
        <v>120</v>
      </c>
      <c r="W154" s="38" t="s">
        <v>120</v>
      </c>
      <c r="X154" s="38" t="s">
        <v>120</v>
      </c>
      <c r="Y154" s="38" t="s">
        <v>120</v>
      </c>
      <c r="Z154" s="38" t="s">
        <v>120</v>
      </c>
      <c r="AA154" s="38" t="s">
        <v>120</v>
      </c>
      <c r="AB154" s="38" t="s">
        <v>120</v>
      </c>
      <c r="AC154" s="38" t="s">
        <v>120</v>
      </c>
      <c r="AD154" s="38" t="s">
        <v>120</v>
      </c>
      <c r="AE154" s="38" t="s">
        <v>120</v>
      </c>
      <c r="AF154" s="38" t="s">
        <v>120</v>
      </c>
      <c r="AG154" s="38" t="s">
        <v>120</v>
      </c>
      <c r="AH154" s="38" t="s">
        <v>120</v>
      </c>
      <c r="AI154" s="38" t="s">
        <v>120</v>
      </c>
      <c r="AJ154" s="38" t="s">
        <v>120</v>
      </c>
      <c r="AK154" s="38" t="s">
        <v>120</v>
      </c>
      <c r="AL154" s="38" t="s">
        <v>120</v>
      </c>
      <c r="AM154" s="38" t="s">
        <v>120</v>
      </c>
      <c r="AN154" s="38" t="s">
        <v>120</v>
      </c>
      <c r="AO154" s="38" t="s">
        <v>120</v>
      </c>
      <c r="AP154" s="38" t="s">
        <v>120</v>
      </c>
      <c r="AQ154" s="38" t="s">
        <v>120</v>
      </c>
      <c r="AR154" s="38" t="s">
        <v>120</v>
      </c>
      <c r="AS154" s="38" t="s">
        <v>120</v>
      </c>
      <c r="AT154" s="38" t="s">
        <v>120</v>
      </c>
      <c r="AU154" s="38" t="s">
        <v>120</v>
      </c>
      <c r="AV154" s="38" t="s">
        <v>120</v>
      </c>
      <c r="AW154" s="38" t="s">
        <v>120</v>
      </c>
      <c r="AX154" s="38" t="s">
        <v>120</v>
      </c>
    </row>
    <row r="155" spans="1:50" x14ac:dyDescent="0.45">
      <c r="A155" s="38" t="s">
        <v>48</v>
      </c>
      <c r="B155" s="38">
        <v>120</v>
      </c>
      <c r="C155" s="38" t="s">
        <v>119</v>
      </c>
      <c r="D155" s="38">
        <v>120</v>
      </c>
      <c r="E155" s="38">
        <v>12600</v>
      </c>
      <c r="F155" s="38">
        <f t="shared" si="4"/>
        <v>12.6</v>
      </c>
      <c r="G155" s="38">
        <v>2367031.25</v>
      </c>
      <c r="H155" s="38">
        <f t="shared" si="5"/>
        <v>2.3670312500000001</v>
      </c>
      <c r="I155" s="38">
        <v>2744</v>
      </c>
      <c r="J155" s="38">
        <v>2744</v>
      </c>
      <c r="K155" s="38" t="s">
        <v>120</v>
      </c>
      <c r="L155" s="38" t="s">
        <v>120</v>
      </c>
      <c r="M155" s="38" t="s">
        <v>120</v>
      </c>
      <c r="N155" s="38">
        <v>10.276615</v>
      </c>
      <c r="O155" s="38" t="s">
        <v>121</v>
      </c>
      <c r="P155" s="38" t="s">
        <v>121</v>
      </c>
      <c r="Q155" s="38" t="s">
        <v>120</v>
      </c>
      <c r="R155" s="38" t="s">
        <v>120</v>
      </c>
      <c r="S155" s="38" t="s">
        <v>120</v>
      </c>
      <c r="T155" s="38">
        <v>65.886431000000002</v>
      </c>
      <c r="U155" s="38">
        <v>76.378377999999998</v>
      </c>
      <c r="V155" s="38" t="s">
        <v>120</v>
      </c>
      <c r="W155" s="38" t="s">
        <v>120</v>
      </c>
      <c r="X155" s="38" t="s">
        <v>120</v>
      </c>
      <c r="Y155" s="38" t="s">
        <v>120</v>
      </c>
      <c r="Z155" s="38" t="s">
        <v>120</v>
      </c>
      <c r="AA155" s="38" t="s">
        <v>120</v>
      </c>
      <c r="AB155" s="38" t="s">
        <v>120</v>
      </c>
      <c r="AC155" s="38" t="s">
        <v>120</v>
      </c>
      <c r="AD155" s="38" t="s">
        <v>120</v>
      </c>
      <c r="AE155" s="38" t="s">
        <v>120</v>
      </c>
      <c r="AF155" s="38" t="s">
        <v>120</v>
      </c>
      <c r="AG155" s="38" t="s">
        <v>120</v>
      </c>
      <c r="AH155" s="38" t="s">
        <v>120</v>
      </c>
      <c r="AI155" s="38" t="s">
        <v>120</v>
      </c>
      <c r="AJ155" s="38" t="s">
        <v>120</v>
      </c>
      <c r="AK155" s="38" t="s">
        <v>120</v>
      </c>
      <c r="AL155" s="38" t="s">
        <v>120</v>
      </c>
      <c r="AM155" s="38" t="s">
        <v>120</v>
      </c>
      <c r="AN155" s="38" t="s">
        <v>120</v>
      </c>
      <c r="AO155" s="38" t="s">
        <v>120</v>
      </c>
      <c r="AP155" s="38" t="s">
        <v>120</v>
      </c>
      <c r="AQ155" s="38" t="s">
        <v>120</v>
      </c>
      <c r="AR155" s="38" t="s">
        <v>120</v>
      </c>
      <c r="AS155" s="38" t="s">
        <v>120</v>
      </c>
      <c r="AT155" s="38" t="s">
        <v>120</v>
      </c>
      <c r="AU155" s="38" t="s">
        <v>120</v>
      </c>
      <c r="AV155" s="38" t="s">
        <v>120</v>
      </c>
      <c r="AW155" s="38" t="s">
        <v>120</v>
      </c>
      <c r="AX155" s="38" t="s">
        <v>120</v>
      </c>
    </row>
    <row r="156" spans="1:50" x14ac:dyDescent="0.45">
      <c r="A156" s="38" t="s">
        <v>49</v>
      </c>
      <c r="B156" s="38">
        <v>157</v>
      </c>
      <c r="C156" s="38" t="s">
        <v>119</v>
      </c>
      <c r="D156" s="38" t="s">
        <v>120</v>
      </c>
      <c r="E156" s="38">
        <v>21325</v>
      </c>
      <c r="F156" s="38">
        <f t="shared" si="4"/>
        <v>21.324999999999999</v>
      </c>
      <c r="G156" s="38">
        <v>3580312.5</v>
      </c>
      <c r="H156" s="38">
        <f t="shared" si="5"/>
        <v>3.5803124999999998</v>
      </c>
      <c r="I156" s="38">
        <v>2745</v>
      </c>
      <c r="J156" s="38">
        <v>2745</v>
      </c>
      <c r="K156" s="38" t="s">
        <v>120</v>
      </c>
      <c r="L156" s="38" t="s">
        <v>120</v>
      </c>
      <c r="M156" s="38" t="s">
        <v>120</v>
      </c>
      <c r="N156" s="38">
        <v>15.764443</v>
      </c>
      <c r="O156" s="38" t="s">
        <v>121</v>
      </c>
      <c r="P156" s="38" t="s">
        <v>121</v>
      </c>
      <c r="Q156" s="38" t="s">
        <v>120</v>
      </c>
      <c r="R156" s="38" t="s">
        <v>120</v>
      </c>
      <c r="S156" s="38" t="s">
        <v>120</v>
      </c>
      <c r="T156" s="38">
        <v>70.011883999999995</v>
      </c>
      <c r="U156" s="38">
        <v>76.998634999999993</v>
      </c>
      <c r="V156" s="38" t="s">
        <v>120</v>
      </c>
      <c r="W156" s="38" t="s">
        <v>120</v>
      </c>
      <c r="X156" s="38" t="s">
        <v>120</v>
      </c>
      <c r="Y156" s="38" t="s">
        <v>120</v>
      </c>
      <c r="Z156" s="38" t="s">
        <v>120</v>
      </c>
      <c r="AA156" s="38" t="s">
        <v>120</v>
      </c>
      <c r="AB156" s="38" t="s">
        <v>120</v>
      </c>
      <c r="AC156" s="38" t="s">
        <v>120</v>
      </c>
      <c r="AD156" s="38" t="s">
        <v>120</v>
      </c>
      <c r="AE156" s="38" t="s">
        <v>120</v>
      </c>
      <c r="AF156" s="38" t="s">
        <v>120</v>
      </c>
      <c r="AG156" s="38" t="s">
        <v>120</v>
      </c>
      <c r="AH156" s="38" t="s">
        <v>120</v>
      </c>
      <c r="AI156" s="38" t="s">
        <v>120</v>
      </c>
      <c r="AJ156" s="38" t="s">
        <v>120</v>
      </c>
      <c r="AK156" s="38" t="s">
        <v>120</v>
      </c>
      <c r="AL156" s="38" t="s">
        <v>120</v>
      </c>
      <c r="AM156" s="38" t="s">
        <v>120</v>
      </c>
      <c r="AN156" s="38" t="s">
        <v>120</v>
      </c>
      <c r="AO156" s="38" t="s">
        <v>120</v>
      </c>
      <c r="AP156" s="38" t="s">
        <v>120</v>
      </c>
      <c r="AQ156" s="38" t="s">
        <v>120</v>
      </c>
      <c r="AR156" s="38" t="s">
        <v>120</v>
      </c>
      <c r="AS156" s="38" t="s">
        <v>120</v>
      </c>
      <c r="AT156" s="38" t="s">
        <v>120</v>
      </c>
      <c r="AU156" s="38" t="s">
        <v>120</v>
      </c>
      <c r="AV156" s="38" t="s">
        <v>120</v>
      </c>
      <c r="AW156" s="38" t="s">
        <v>120</v>
      </c>
      <c r="AX156" s="38" t="s">
        <v>120</v>
      </c>
    </row>
    <row r="157" spans="1:50" x14ac:dyDescent="0.45">
      <c r="A157" s="38" t="s">
        <v>50</v>
      </c>
      <c r="B157" s="38">
        <v>137</v>
      </c>
      <c r="C157" s="38" t="s">
        <v>119</v>
      </c>
      <c r="D157" s="38">
        <v>137</v>
      </c>
      <c r="E157" s="38">
        <v>7325</v>
      </c>
      <c r="F157" s="38">
        <f t="shared" si="4"/>
        <v>7.3250000000000002</v>
      </c>
      <c r="G157" s="38">
        <v>1023593.75</v>
      </c>
      <c r="H157" s="38">
        <f t="shared" si="5"/>
        <v>1.0235937500000001</v>
      </c>
      <c r="I157" s="38">
        <v>2749</v>
      </c>
      <c r="J157" s="38">
        <v>2749</v>
      </c>
      <c r="K157" s="38" t="s">
        <v>120</v>
      </c>
      <c r="L157" s="38" t="s">
        <v>120</v>
      </c>
      <c r="M157" s="38" t="s">
        <v>120</v>
      </c>
      <c r="N157" s="38">
        <v>12.772862999999999</v>
      </c>
      <c r="O157" s="38" t="s">
        <v>121</v>
      </c>
      <c r="P157" s="38" t="s">
        <v>121</v>
      </c>
      <c r="Q157" s="38" t="s">
        <v>120</v>
      </c>
      <c r="R157" s="38" t="s">
        <v>120</v>
      </c>
      <c r="S157" s="38" t="s">
        <v>120</v>
      </c>
      <c r="T157" s="38">
        <v>55.476737999999997</v>
      </c>
      <c r="U157" s="38">
        <v>76.060128000000006</v>
      </c>
      <c r="V157" s="38" t="s">
        <v>120</v>
      </c>
      <c r="W157" s="38" t="s">
        <v>120</v>
      </c>
      <c r="X157" s="38" t="s">
        <v>120</v>
      </c>
      <c r="Y157" s="38" t="s">
        <v>120</v>
      </c>
      <c r="Z157" s="38" t="s">
        <v>120</v>
      </c>
      <c r="AA157" s="38" t="s">
        <v>120</v>
      </c>
      <c r="AB157" s="38" t="s">
        <v>120</v>
      </c>
      <c r="AC157" s="38" t="s">
        <v>120</v>
      </c>
      <c r="AD157" s="38" t="s">
        <v>120</v>
      </c>
      <c r="AE157" s="38" t="s">
        <v>120</v>
      </c>
      <c r="AF157" s="38" t="s">
        <v>120</v>
      </c>
      <c r="AG157" s="38" t="s">
        <v>120</v>
      </c>
      <c r="AH157" s="38" t="s">
        <v>120</v>
      </c>
      <c r="AI157" s="38" t="s">
        <v>120</v>
      </c>
      <c r="AJ157" s="38" t="s">
        <v>120</v>
      </c>
      <c r="AK157" s="38" t="s">
        <v>120</v>
      </c>
      <c r="AL157" s="38" t="s">
        <v>120</v>
      </c>
      <c r="AM157" s="38" t="s">
        <v>120</v>
      </c>
      <c r="AN157" s="38" t="s">
        <v>120</v>
      </c>
      <c r="AO157" s="38" t="s">
        <v>120</v>
      </c>
      <c r="AP157" s="38" t="s">
        <v>120</v>
      </c>
      <c r="AQ157" s="38" t="s">
        <v>120</v>
      </c>
      <c r="AR157" s="38" t="s">
        <v>120</v>
      </c>
      <c r="AS157" s="38" t="s">
        <v>120</v>
      </c>
      <c r="AT157" s="38" t="s">
        <v>120</v>
      </c>
      <c r="AU157" s="38" t="s">
        <v>120</v>
      </c>
      <c r="AV157" s="38" t="s">
        <v>120</v>
      </c>
      <c r="AW157" s="38" t="s">
        <v>120</v>
      </c>
      <c r="AX157" s="38" t="s">
        <v>120</v>
      </c>
    </row>
    <row r="158" spans="1:50" x14ac:dyDescent="0.45">
      <c r="A158" s="38" t="s">
        <v>51</v>
      </c>
      <c r="B158" s="38">
        <v>158</v>
      </c>
      <c r="C158" s="38" t="s">
        <v>119</v>
      </c>
      <c r="D158" s="38" t="s">
        <v>120</v>
      </c>
      <c r="E158" s="38">
        <v>9025</v>
      </c>
      <c r="F158" s="38">
        <f t="shared" si="4"/>
        <v>9.0250000000000004</v>
      </c>
      <c r="G158" s="38">
        <v>1127031.25</v>
      </c>
      <c r="H158" s="38">
        <f t="shared" si="5"/>
        <v>1.1270312499999999</v>
      </c>
      <c r="I158" s="38">
        <v>2750</v>
      </c>
      <c r="J158" s="38">
        <v>2750</v>
      </c>
      <c r="K158" s="38" t="s">
        <v>120</v>
      </c>
      <c r="L158" s="38" t="s">
        <v>120</v>
      </c>
      <c r="M158" s="38" t="s">
        <v>120</v>
      </c>
      <c r="N158" s="38">
        <v>9.4358780000000007</v>
      </c>
      <c r="O158" s="38" t="s">
        <v>121</v>
      </c>
      <c r="P158" s="38" t="s">
        <v>121</v>
      </c>
      <c r="Q158" s="38" t="s">
        <v>120</v>
      </c>
      <c r="R158" s="38" t="s">
        <v>120</v>
      </c>
      <c r="S158" s="38" t="s">
        <v>120</v>
      </c>
      <c r="T158" s="38">
        <v>60.213278000000003</v>
      </c>
      <c r="U158" s="38">
        <v>75.869365000000002</v>
      </c>
      <c r="V158" s="38" t="s">
        <v>120</v>
      </c>
      <c r="W158" s="38" t="s">
        <v>120</v>
      </c>
      <c r="X158" s="38" t="s">
        <v>120</v>
      </c>
      <c r="Y158" s="38" t="s">
        <v>120</v>
      </c>
      <c r="Z158" s="38" t="s">
        <v>120</v>
      </c>
      <c r="AA158" s="38" t="s">
        <v>120</v>
      </c>
      <c r="AB158" s="38" t="s">
        <v>120</v>
      </c>
      <c r="AC158" s="38" t="s">
        <v>120</v>
      </c>
      <c r="AD158" s="38" t="s">
        <v>120</v>
      </c>
      <c r="AE158" s="38" t="s">
        <v>120</v>
      </c>
      <c r="AF158" s="38" t="s">
        <v>120</v>
      </c>
      <c r="AG158" s="38" t="s">
        <v>120</v>
      </c>
      <c r="AH158" s="38" t="s">
        <v>120</v>
      </c>
      <c r="AI158" s="38" t="s">
        <v>120</v>
      </c>
      <c r="AJ158" s="38" t="s">
        <v>120</v>
      </c>
      <c r="AK158" s="38" t="s">
        <v>120</v>
      </c>
      <c r="AL158" s="38" t="s">
        <v>120</v>
      </c>
      <c r="AM158" s="38" t="s">
        <v>120</v>
      </c>
      <c r="AN158" s="38" t="s">
        <v>120</v>
      </c>
      <c r="AO158" s="38" t="s">
        <v>120</v>
      </c>
      <c r="AP158" s="38" t="s">
        <v>120</v>
      </c>
      <c r="AQ158" s="38" t="s">
        <v>120</v>
      </c>
      <c r="AR158" s="38" t="s">
        <v>120</v>
      </c>
      <c r="AS158" s="38" t="s">
        <v>120</v>
      </c>
      <c r="AT158" s="38" t="s">
        <v>120</v>
      </c>
      <c r="AU158" s="38" t="s">
        <v>120</v>
      </c>
      <c r="AV158" s="38" t="s">
        <v>120</v>
      </c>
      <c r="AW158" s="38" t="s">
        <v>120</v>
      </c>
      <c r="AX158" s="38" t="s">
        <v>120</v>
      </c>
    </row>
    <row r="159" spans="1:50" x14ac:dyDescent="0.45">
      <c r="A159" s="38" t="s">
        <v>233</v>
      </c>
      <c r="B159" s="38">
        <v>159</v>
      </c>
      <c r="C159" s="38" t="s">
        <v>119</v>
      </c>
      <c r="D159" s="38" t="s">
        <v>120</v>
      </c>
      <c r="E159" s="38">
        <v>3925</v>
      </c>
      <c r="F159" s="38">
        <f t="shared" si="4"/>
        <v>3.9249999999999998</v>
      </c>
      <c r="G159" s="38">
        <v>367187.5</v>
      </c>
      <c r="H159" s="38">
        <f t="shared" si="5"/>
        <v>0.3671875</v>
      </c>
      <c r="I159" s="38">
        <v>2760</v>
      </c>
      <c r="J159" s="38">
        <v>2760</v>
      </c>
      <c r="K159" s="38" t="s">
        <v>120</v>
      </c>
      <c r="L159" s="38" t="s">
        <v>120</v>
      </c>
      <c r="M159" s="38" t="s">
        <v>120</v>
      </c>
      <c r="N159" s="38">
        <v>7.9369990000000001</v>
      </c>
      <c r="O159" s="38" t="s">
        <v>121</v>
      </c>
      <c r="P159" s="38" t="s">
        <v>121</v>
      </c>
      <c r="Q159" s="38" t="s">
        <v>120</v>
      </c>
      <c r="R159" s="38" t="s">
        <v>120</v>
      </c>
      <c r="S159" s="38" t="s">
        <v>120</v>
      </c>
      <c r="T159" s="38">
        <v>55.682291999999997</v>
      </c>
      <c r="U159" s="38">
        <v>75.825726000000003</v>
      </c>
      <c r="V159" s="38" t="s">
        <v>120</v>
      </c>
      <c r="W159" s="38" t="s">
        <v>120</v>
      </c>
      <c r="X159" s="38" t="s">
        <v>120</v>
      </c>
      <c r="Y159" s="38" t="s">
        <v>120</v>
      </c>
      <c r="Z159" s="38" t="s">
        <v>120</v>
      </c>
      <c r="AA159" s="38" t="s">
        <v>120</v>
      </c>
      <c r="AB159" s="38" t="s">
        <v>120</v>
      </c>
      <c r="AC159" s="38" t="s">
        <v>120</v>
      </c>
      <c r="AD159" s="38" t="s">
        <v>120</v>
      </c>
      <c r="AE159" s="38" t="s">
        <v>120</v>
      </c>
      <c r="AF159" s="38" t="s">
        <v>120</v>
      </c>
      <c r="AG159" s="38" t="s">
        <v>120</v>
      </c>
      <c r="AH159" s="38" t="s">
        <v>120</v>
      </c>
      <c r="AI159" s="38" t="s">
        <v>120</v>
      </c>
      <c r="AJ159" s="38" t="s">
        <v>120</v>
      </c>
      <c r="AK159" s="38" t="s">
        <v>120</v>
      </c>
      <c r="AL159" s="38" t="s">
        <v>120</v>
      </c>
      <c r="AM159" s="38" t="s">
        <v>120</v>
      </c>
      <c r="AN159" s="38" t="s">
        <v>120</v>
      </c>
      <c r="AO159" s="38" t="s">
        <v>120</v>
      </c>
      <c r="AP159" s="38" t="s">
        <v>120</v>
      </c>
      <c r="AQ159" s="38" t="s">
        <v>120</v>
      </c>
      <c r="AR159" s="38" t="s">
        <v>120</v>
      </c>
      <c r="AS159" s="38" t="s">
        <v>120</v>
      </c>
      <c r="AT159" s="38" t="s">
        <v>120</v>
      </c>
      <c r="AU159" s="38" t="s">
        <v>120</v>
      </c>
      <c r="AV159" s="38" t="s">
        <v>120</v>
      </c>
      <c r="AW159" s="38" t="s">
        <v>120</v>
      </c>
      <c r="AX159" s="38" t="s">
        <v>120</v>
      </c>
    </row>
    <row r="160" spans="1:50" x14ac:dyDescent="0.45">
      <c r="A160" s="38" t="s">
        <v>234</v>
      </c>
      <c r="B160" s="38">
        <v>160</v>
      </c>
      <c r="C160" s="38" t="s">
        <v>119</v>
      </c>
      <c r="D160" s="38" t="s">
        <v>120</v>
      </c>
      <c r="E160" s="38">
        <v>33600</v>
      </c>
      <c r="F160" s="38">
        <f t="shared" si="4"/>
        <v>33.6</v>
      </c>
      <c r="G160" s="38">
        <v>14730156.25</v>
      </c>
      <c r="H160" s="38">
        <f t="shared" si="5"/>
        <v>14.73015625</v>
      </c>
      <c r="I160" s="38">
        <v>2761</v>
      </c>
      <c r="J160" s="38">
        <v>2761</v>
      </c>
      <c r="K160" s="38" t="s">
        <v>120</v>
      </c>
      <c r="L160" s="38" t="s">
        <v>120</v>
      </c>
      <c r="M160" s="38" t="s">
        <v>120</v>
      </c>
      <c r="N160" s="38">
        <v>13.335241999999999</v>
      </c>
      <c r="O160" s="38" t="s">
        <v>121</v>
      </c>
      <c r="P160" s="38" t="s">
        <v>121</v>
      </c>
      <c r="Q160" s="38" t="s">
        <v>120</v>
      </c>
      <c r="R160" s="38" t="s">
        <v>120</v>
      </c>
      <c r="S160" s="38" t="s">
        <v>120</v>
      </c>
      <c r="T160" s="38">
        <v>51.961928</v>
      </c>
      <c r="U160" s="38">
        <v>76.148651999999998</v>
      </c>
      <c r="V160" s="38" t="s">
        <v>120</v>
      </c>
      <c r="W160" s="38" t="s">
        <v>120</v>
      </c>
      <c r="X160" s="38" t="s">
        <v>120</v>
      </c>
      <c r="Y160" s="38" t="s">
        <v>120</v>
      </c>
      <c r="Z160" s="38" t="s">
        <v>120</v>
      </c>
      <c r="AA160" s="38" t="s">
        <v>120</v>
      </c>
      <c r="AB160" s="38" t="s">
        <v>120</v>
      </c>
      <c r="AC160" s="38" t="s">
        <v>120</v>
      </c>
      <c r="AD160" s="38" t="s">
        <v>120</v>
      </c>
      <c r="AE160" s="38" t="s">
        <v>120</v>
      </c>
      <c r="AF160" s="38" t="s">
        <v>120</v>
      </c>
      <c r="AG160" s="38" t="s">
        <v>120</v>
      </c>
      <c r="AH160" s="38" t="s">
        <v>120</v>
      </c>
      <c r="AI160" s="38" t="s">
        <v>120</v>
      </c>
      <c r="AJ160" s="38" t="s">
        <v>120</v>
      </c>
      <c r="AK160" s="38" t="s">
        <v>120</v>
      </c>
      <c r="AL160" s="38" t="s">
        <v>120</v>
      </c>
      <c r="AM160" s="38" t="s">
        <v>120</v>
      </c>
      <c r="AN160" s="38" t="s">
        <v>120</v>
      </c>
      <c r="AO160" s="38" t="s">
        <v>120</v>
      </c>
      <c r="AP160" s="38" t="s">
        <v>120</v>
      </c>
      <c r="AQ160" s="38" t="s">
        <v>120</v>
      </c>
      <c r="AR160" s="38" t="s">
        <v>120</v>
      </c>
      <c r="AS160" s="38" t="s">
        <v>120</v>
      </c>
      <c r="AT160" s="38" t="s">
        <v>120</v>
      </c>
      <c r="AU160" s="38" t="s">
        <v>120</v>
      </c>
      <c r="AV160" s="38" t="s">
        <v>120</v>
      </c>
      <c r="AW160" s="38" t="s">
        <v>120</v>
      </c>
      <c r="AX160" s="38"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FE3D0-886C-478E-A2C7-6F25E24529AB}">
  <dimension ref="A1:X160"/>
  <sheetViews>
    <sheetView showGridLines="0" zoomScale="115" zoomScaleNormal="115" workbookViewId="0">
      <pane ySplit="1" topLeftCell="A2" activePane="bottomLeft" state="frozen"/>
      <selection pane="bottomLeft" activeCell="A2" sqref="A2"/>
    </sheetView>
  </sheetViews>
  <sheetFormatPr defaultColWidth="11.3984375" defaultRowHeight="15.4" x14ac:dyDescent="0.45"/>
  <cols>
    <col min="1" max="1" width="7" style="38" bestFit="1" customWidth="1"/>
    <col min="2" max="2" width="10.1328125" style="38" bestFit="1" customWidth="1"/>
    <col min="3" max="3" width="7.59765625" style="38" bestFit="1" customWidth="1"/>
    <col min="4" max="4" width="4.73046875" style="38" bestFit="1" customWidth="1"/>
    <col min="5" max="5" width="8.59765625" style="38" bestFit="1" customWidth="1"/>
    <col min="6" max="6" width="9.3984375" style="38" bestFit="1" customWidth="1"/>
    <col min="7" max="7" width="7.265625" style="38" bestFit="1" customWidth="1"/>
    <col min="8" max="8" width="12" style="38" bestFit="1" customWidth="1"/>
    <col min="9" max="9" width="14.59765625" style="38" bestFit="1" customWidth="1"/>
    <col min="10" max="10" width="7.3984375" style="38" bestFit="1" customWidth="1"/>
    <col min="11" max="11" width="10.86328125" style="38" bestFit="1" customWidth="1"/>
    <col min="12" max="12" width="6.86328125" style="38" bestFit="1" customWidth="1"/>
    <col min="13" max="14" width="9" style="38" bestFit="1" customWidth="1"/>
    <col min="15" max="16" width="6.3984375" style="38" bestFit="1" customWidth="1"/>
    <col min="17" max="17" width="12" style="38" bestFit="1" customWidth="1"/>
    <col min="18" max="18" width="13.1328125" style="38" bestFit="1" customWidth="1"/>
    <col min="19" max="19" width="12.265625" style="38" bestFit="1" customWidth="1"/>
    <col min="20" max="20" width="8.86328125" style="38" bestFit="1" customWidth="1"/>
    <col min="21" max="21" width="8.265625" style="38" bestFit="1" customWidth="1"/>
    <col min="22" max="22" width="8.86328125" style="38" bestFit="1" customWidth="1"/>
    <col min="23" max="23" width="9.86328125" style="38" bestFit="1" customWidth="1"/>
    <col min="24" max="24" width="10.1328125" style="38" bestFit="1" customWidth="1"/>
    <col min="25" max="25" width="10.73046875" style="38" bestFit="1" customWidth="1"/>
    <col min="26" max="16384" width="11.3984375" style="38"/>
  </cols>
  <sheetData>
    <row r="1" spans="1:24" x14ac:dyDescent="0.45">
      <c r="A1" s="38" t="s">
        <v>70</v>
      </c>
      <c r="B1" s="38" t="s">
        <v>71</v>
      </c>
      <c r="C1" s="38" t="s">
        <v>72</v>
      </c>
      <c r="D1" s="38" t="s">
        <v>241</v>
      </c>
      <c r="E1" s="38" t="s">
        <v>242</v>
      </c>
      <c r="F1" s="38" t="s">
        <v>243</v>
      </c>
      <c r="G1" s="38" t="s">
        <v>244</v>
      </c>
      <c r="H1" s="38" t="s">
        <v>74</v>
      </c>
      <c r="I1" s="38" t="s">
        <v>235</v>
      </c>
      <c r="J1" s="38" t="s">
        <v>76</v>
      </c>
      <c r="K1" s="38" t="s">
        <v>245</v>
      </c>
      <c r="L1" s="38" t="s">
        <v>77</v>
      </c>
      <c r="M1" s="38" t="s">
        <v>246</v>
      </c>
      <c r="N1" s="38" t="s">
        <v>247</v>
      </c>
      <c r="O1" s="38" t="s">
        <v>248</v>
      </c>
      <c r="P1" s="38" t="s">
        <v>249</v>
      </c>
      <c r="Q1" s="38" t="s">
        <v>250</v>
      </c>
      <c r="R1" s="38" t="s">
        <v>251</v>
      </c>
      <c r="S1" s="38" t="s">
        <v>252</v>
      </c>
      <c r="T1" s="38" t="s">
        <v>253</v>
      </c>
      <c r="U1" s="38" t="s">
        <v>254</v>
      </c>
      <c r="V1" s="38" t="s">
        <v>255</v>
      </c>
      <c r="W1" s="38" t="s">
        <v>78</v>
      </c>
      <c r="X1" s="38" t="s">
        <v>256</v>
      </c>
    </row>
    <row r="2" spans="1:24" x14ac:dyDescent="0.45">
      <c r="A2" s="38" t="s">
        <v>257</v>
      </c>
      <c r="B2" s="38">
        <v>1</v>
      </c>
      <c r="C2" s="38" t="s">
        <v>258</v>
      </c>
      <c r="D2" s="38">
        <v>1</v>
      </c>
      <c r="E2" s="38">
        <v>1</v>
      </c>
      <c r="F2" s="38">
        <v>1</v>
      </c>
      <c r="G2" s="38">
        <v>3</v>
      </c>
      <c r="H2" s="38">
        <v>2694.9431800000002</v>
      </c>
      <c r="I2" s="38">
        <f>H2/1000</f>
        <v>2.6949431800000001</v>
      </c>
      <c r="J2" s="38">
        <v>2416</v>
      </c>
      <c r="K2" s="38">
        <v>2418</v>
      </c>
      <c r="L2" s="38">
        <v>2567</v>
      </c>
      <c r="M2" s="38">
        <v>0.10649599999999999</v>
      </c>
      <c r="N2" s="38">
        <v>0.442359</v>
      </c>
      <c r="O2" s="38">
        <v>1765</v>
      </c>
      <c r="P2" s="38">
        <v>1478</v>
      </c>
      <c r="Q2" s="38">
        <v>2694.9431800000002</v>
      </c>
      <c r="R2" s="38" t="s">
        <v>120</v>
      </c>
      <c r="S2" s="38" t="s">
        <v>120</v>
      </c>
      <c r="T2" s="38" t="s">
        <v>120</v>
      </c>
      <c r="U2" s="38" t="s">
        <v>120</v>
      </c>
      <c r="V2" s="38" t="s">
        <v>120</v>
      </c>
      <c r="W2" s="38" t="s">
        <v>120</v>
      </c>
      <c r="X2" s="38" t="s">
        <v>259</v>
      </c>
    </row>
    <row r="3" spans="1:24" x14ac:dyDescent="0.45">
      <c r="A3" s="38" t="s">
        <v>260</v>
      </c>
      <c r="B3" s="38">
        <v>2</v>
      </c>
      <c r="C3" s="38" t="s">
        <v>258</v>
      </c>
      <c r="D3" s="38">
        <v>2</v>
      </c>
      <c r="E3" s="38">
        <v>2</v>
      </c>
      <c r="F3" s="38">
        <v>2</v>
      </c>
      <c r="G3" s="38">
        <v>3</v>
      </c>
      <c r="H3" s="38">
        <v>3330.006762</v>
      </c>
      <c r="I3" s="38">
        <f t="shared" ref="I3:I66" si="0">H3/1000</f>
        <v>3.330006762</v>
      </c>
      <c r="J3" s="38">
        <v>2417</v>
      </c>
      <c r="K3" s="38">
        <v>2418</v>
      </c>
      <c r="L3" s="38">
        <v>2568</v>
      </c>
      <c r="M3" s="38">
        <v>9.8498000000000002E-2</v>
      </c>
      <c r="N3" s="38">
        <v>0.46173799999999998</v>
      </c>
      <c r="O3" s="38">
        <v>1806</v>
      </c>
      <c r="P3" s="38">
        <v>1478</v>
      </c>
      <c r="Q3" s="38">
        <v>3330.006762</v>
      </c>
      <c r="R3" s="38" t="s">
        <v>120</v>
      </c>
      <c r="S3" s="38" t="s">
        <v>120</v>
      </c>
      <c r="T3" s="38" t="s">
        <v>120</v>
      </c>
      <c r="U3" s="38" t="s">
        <v>120</v>
      </c>
      <c r="V3" s="38" t="s">
        <v>120</v>
      </c>
      <c r="W3" s="38" t="s">
        <v>120</v>
      </c>
      <c r="X3" s="38" t="s">
        <v>259</v>
      </c>
    </row>
    <row r="4" spans="1:24" x14ac:dyDescent="0.45">
      <c r="A4" s="38" t="s">
        <v>261</v>
      </c>
      <c r="B4" s="38">
        <v>3</v>
      </c>
      <c r="C4" s="38" t="s">
        <v>258</v>
      </c>
      <c r="D4" s="38">
        <v>3</v>
      </c>
      <c r="E4" s="38">
        <v>3</v>
      </c>
      <c r="F4" s="38">
        <v>3</v>
      </c>
      <c r="G4" s="38">
        <v>7</v>
      </c>
      <c r="H4" s="38">
        <v>5314.3028459999996</v>
      </c>
      <c r="I4" s="38">
        <f t="shared" si="0"/>
        <v>5.3143028459999995</v>
      </c>
      <c r="J4" s="38">
        <v>2418</v>
      </c>
      <c r="K4" s="38">
        <v>2421</v>
      </c>
      <c r="L4" s="38">
        <v>2569</v>
      </c>
      <c r="M4" s="38">
        <v>4.7419000000000003E-2</v>
      </c>
      <c r="N4" s="38">
        <v>0.34542200000000001</v>
      </c>
      <c r="O4" s="38">
        <v>1478</v>
      </c>
      <c r="P4" s="38">
        <v>1226</v>
      </c>
      <c r="Q4" s="38">
        <v>5314.3028459999996</v>
      </c>
      <c r="R4" s="38" t="s">
        <v>120</v>
      </c>
      <c r="S4" s="38" t="s">
        <v>120</v>
      </c>
      <c r="T4" s="38" t="s">
        <v>120</v>
      </c>
      <c r="U4" s="38" t="s">
        <v>120</v>
      </c>
      <c r="V4" s="38" t="s">
        <v>120</v>
      </c>
      <c r="W4" s="38" t="s">
        <v>120</v>
      </c>
      <c r="X4" s="38" t="s">
        <v>259</v>
      </c>
    </row>
    <row r="5" spans="1:24" x14ac:dyDescent="0.45">
      <c r="A5" s="38" t="s">
        <v>262</v>
      </c>
      <c r="B5" s="38">
        <v>4</v>
      </c>
      <c r="C5" s="38" t="s">
        <v>258</v>
      </c>
      <c r="D5" s="38">
        <v>4</v>
      </c>
      <c r="E5" s="38">
        <v>4</v>
      </c>
      <c r="F5" s="38">
        <v>4</v>
      </c>
      <c r="G5" s="38">
        <v>7</v>
      </c>
      <c r="H5" s="38">
        <v>4099.537335</v>
      </c>
      <c r="I5" s="38">
        <f t="shared" si="0"/>
        <v>4.0995373349999999</v>
      </c>
      <c r="J5" s="38">
        <v>2419</v>
      </c>
      <c r="K5" s="38">
        <v>2421</v>
      </c>
      <c r="L5" s="38">
        <v>2570</v>
      </c>
      <c r="M5" s="38">
        <v>9.1230000000000006E-2</v>
      </c>
      <c r="N5" s="38">
        <v>0.39251000000000003</v>
      </c>
      <c r="O5" s="38">
        <v>1600</v>
      </c>
      <c r="P5" s="38">
        <v>1226</v>
      </c>
      <c r="Q5" s="38">
        <v>4099.537335</v>
      </c>
      <c r="R5" s="38" t="s">
        <v>120</v>
      </c>
      <c r="S5" s="38" t="s">
        <v>120</v>
      </c>
      <c r="T5" s="38" t="s">
        <v>120</v>
      </c>
      <c r="U5" s="38" t="s">
        <v>120</v>
      </c>
      <c r="V5" s="38" t="s">
        <v>120</v>
      </c>
      <c r="W5" s="38" t="s">
        <v>120</v>
      </c>
      <c r="X5" s="38" t="s">
        <v>259</v>
      </c>
    </row>
    <row r="6" spans="1:24" x14ac:dyDescent="0.45">
      <c r="A6" s="38" t="s">
        <v>263</v>
      </c>
      <c r="B6" s="38">
        <v>7</v>
      </c>
      <c r="C6" s="38" t="s">
        <v>258</v>
      </c>
      <c r="D6" s="38">
        <v>7</v>
      </c>
      <c r="E6" s="38">
        <v>5</v>
      </c>
      <c r="F6" s="38">
        <v>5</v>
      </c>
      <c r="G6" s="38">
        <v>11</v>
      </c>
      <c r="H6" s="38">
        <v>3879.6387960000002</v>
      </c>
      <c r="I6" s="38">
        <f t="shared" si="0"/>
        <v>3.8796387960000001</v>
      </c>
      <c r="J6" s="38">
        <v>2422</v>
      </c>
      <c r="K6" s="38">
        <v>2424</v>
      </c>
      <c r="L6" s="38">
        <v>2571</v>
      </c>
      <c r="M6" s="38">
        <v>7.6811000000000004E-2</v>
      </c>
      <c r="N6" s="38">
        <v>0.23160600000000001</v>
      </c>
      <c r="O6" s="38">
        <v>1643</v>
      </c>
      <c r="P6" s="38">
        <v>1345</v>
      </c>
      <c r="Q6" s="38">
        <v>3879.6387960000002</v>
      </c>
      <c r="R6" s="38" t="s">
        <v>120</v>
      </c>
      <c r="S6" s="38" t="s">
        <v>120</v>
      </c>
      <c r="T6" s="38" t="s">
        <v>120</v>
      </c>
      <c r="U6" s="38" t="s">
        <v>120</v>
      </c>
      <c r="V6" s="38" t="s">
        <v>120</v>
      </c>
      <c r="W6" s="38" t="s">
        <v>120</v>
      </c>
      <c r="X6" s="38" t="s">
        <v>259</v>
      </c>
    </row>
    <row r="7" spans="1:24" x14ac:dyDescent="0.45">
      <c r="A7" s="38" t="s">
        <v>264</v>
      </c>
      <c r="B7" s="38">
        <v>5</v>
      </c>
      <c r="C7" s="38" t="s">
        <v>258</v>
      </c>
      <c r="D7" s="38">
        <v>5</v>
      </c>
      <c r="E7" s="38">
        <v>6</v>
      </c>
      <c r="F7" s="38">
        <v>6</v>
      </c>
      <c r="G7" s="38">
        <v>8</v>
      </c>
      <c r="H7" s="38">
        <v>904.70192899999995</v>
      </c>
      <c r="I7" s="38">
        <f t="shared" si="0"/>
        <v>0.9047019289999999</v>
      </c>
      <c r="J7" s="38">
        <v>2420</v>
      </c>
      <c r="K7" s="38">
        <v>2425</v>
      </c>
      <c r="L7" s="38">
        <v>2572</v>
      </c>
      <c r="M7" s="38">
        <v>0.11716600000000001</v>
      </c>
      <c r="N7" s="38">
        <v>0.24660199999999999</v>
      </c>
      <c r="O7" s="38">
        <v>1292</v>
      </c>
      <c r="P7" s="38">
        <v>1186</v>
      </c>
      <c r="Q7" s="38">
        <v>904.70192899999995</v>
      </c>
      <c r="R7" s="38" t="s">
        <v>120</v>
      </c>
      <c r="S7" s="38" t="s">
        <v>120</v>
      </c>
      <c r="T7" s="38" t="s">
        <v>120</v>
      </c>
      <c r="U7" s="38" t="s">
        <v>120</v>
      </c>
      <c r="V7" s="38" t="s">
        <v>120</v>
      </c>
      <c r="W7" s="38" t="s">
        <v>120</v>
      </c>
      <c r="X7" s="38" t="s">
        <v>259</v>
      </c>
    </row>
    <row r="8" spans="1:24" x14ac:dyDescent="0.45">
      <c r="A8" s="38" t="s">
        <v>265</v>
      </c>
      <c r="B8" s="38">
        <v>6</v>
      </c>
      <c r="C8" s="38" t="s">
        <v>258</v>
      </c>
      <c r="D8" s="38">
        <v>6</v>
      </c>
      <c r="E8" s="38">
        <v>7</v>
      </c>
      <c r="F8" s="38">
        <v>7</v>
      </c>
      <c r="G8" s="38">
        <v>8</v>
      </c>
      <c r="H8" s="38">
        <v>1298.896103</v>
      </c>
      <c r="I8" s="38">
        <f t="shared" si="0"/>
        <v>1.2988961030000001</v>
      </c>
      <c r="J8" s="38">
        <v>2421</v>
      </c>
      <c r="K8" s="38">
        <v>2425</v>
      </c>
      <c r="L8" s="38">
        <v>2573</v>
      </c>
      <c r="M8" s="38">
        <v>3.0794999999999999E-2</v>
      </c>
      <c r="N8" s="38">
        <v>0.38075700000000001</v>
      </c>
      <c r="O8" s="38">
        <v>1226</v>
      </c>
      <c r="P8" s="38">
        <v>1186</v>
      </c>
      <c r="Q8" s="38">
        <v>1298.896103</v>
      </c>
      <c r="R8" s="38" t="s">
        <v>120</v>
      </c>
      <c r="S8" s="38" t="s">
        <v>120</v>
      </c>
      <c r="T8" s="38" t="s">
        <v>120</v>
      </c>
      <c r="U8" s="38" t="s">
        <v>120</v>
      </c>
      <c r="V8" s="38" t="s">
        <v>120</v>
      </c>
      <c r="W8" s="38" t="s">
        <v>120</v>
      </c>
      <c r="X8" s="38" t="s">
        <v>259</v>
      </c>
    </row>
    <row r="9" spans="1:24" x14ac:dyDescent="0.45">
      <c r="A9" s="38" t="s">
        <v>266</v>
      </c>
      <c r="B9" s="38">
        <v>10</v>
      </c>
      <c r="C9" s="38" t="s">
        <v>258</v>
      </c>
      <c r="D9" s="38">
        <v>10</v>
      </c>
      <c r="E9" s="38">
        <v>8</v>
      </c>
      <c r="F9" s="38">
        <v>8</v>
      </c>
      <c r="G9" s="38">
        <v>13</v>
      </c>
      <c r="H9" s="38">
        <v>4252.3863609999999</v>
      </c>
      <c r="I9" s="38">
        <f t="shared" si="0"/>
        <v>4.2523863610000001</v>
      </c>
      <c r="J9" s="38">
        <v>2425</v>
      </c>
      <c r="K9" s="38">
        <v>2427</v>
      </c>
      <c r="L9" s="38">
        <v>2574</v>
      </c>
      <c r="M9" s="38">
        <v>3.9978E-2</v>
      </c>
      <c r="N9" s="38">
        <v>0.45184999999999997</v>
      </c>
      <c r="O9" s="38">
        <v>1186</v>
      </c>
      <c r="P9" s="38">
        <v>1016</v>
      </c>
      <c r="Q9" s="38">
        <v>4252.3863609999999</v>
      </c>
      <c r="R9" s="38" t="s">
        <v>120</v>
      </c>
      <c r="S9" s="38" t="s">
        <v>120</v>
      </c>
      <c r="T9" s="38" t="s">
        <v>120</v>
      </c>
      <c r="U9" s="38" t="s">
        <v>120</v>
      </c>
      <c r="V9" s="38" t="s">
        <v>120</v>
      </c>
      <c r="W9" s="38" t="s">
        <v>120</v>
      </c>
      <c r="X9" s="38" t="s">
        <v>259</v>
      </c>
    </row>
    <row r="10" spans="1:24" x14ac:dyDescent="0.45">
      <c r="A10" s="38" t="s">
        <v>267</v>
      </c>
      <c r="B10" s="38">
        <v>8</v>
      </c>
      <c r="C10" s="38" t="s">
        <v>258</v>
      </c>
      <c r="D10" s="38">
        <v>8</v>
      </c>
      <c r="E10" s="38">
        <v>9</v>
      </c>
      <c r="F10" s="38">
        <v>9</v>
      </c>
      <c r="G10" s="38">
        <v>11</v>
      </c>
      <c r="H10" s="38">
        <v>5247.6212990000004</v>
      </c>
      <c r="I10" s="38">
        <f t="shared" si="0"/>
        <v>5.2476212990000004</v>
      </c>
      <c r="J10" s="38">
        <v>2423</v>
      </c>
      <c r="K10" s="38">
        <v>2424</v>
      </c>
      <c r="L10" s="38">
        <v>2575</v>
      </c>
      <c r="M10" s="38">
        <v>6.6316E-2</v>
      </c>
      <c r="N10" s="38">
        <v>0.23691699999999999</v>
      </c>
      <c r="O10" s="38">
        <v>1693</v>
      </c>
      <c r="P10" s="38">
        <v>1345</v>
      </c>
      <c r="Q10" s="38">
        <v>5247.6212990000004</v>
      </c>
      <c r="R10" s="38" t="s">
        <v>120</v>
      </c>
      <c r="S10" s="38" t="s">
        <v>120</v>
      </c>
      <c r="T10" s="38" t="s">
        <v>120</v>
      </c>
      <c r="U10" s="38" t="s">
        <v>120</v>
      </c>
      <c r="V10" s="38" t="s">
        <v>120</v>
      </c>
      <c r="W10" s="38" t="s">
        <v>120</v>
      </c>
      <c r="X10" s="38" t="s">
        <v>259</v>
      </c>
    </row>
    <row r="11" spans="1:24" x14ac:dyDescent="0.45">
      <c r="A11" s="38" t="s">
        <v>268</v>
      </c>
      <c r="B11" s="38">
        <v>11</v>
      </c>
      <c r="C11" s="38" t="s">
        <v>258</v>
      </c>
      <c r="D11" s="38">
        <v>11</v>
      </c>
      <c r="E11" s="38">
        <v>10</v>
      </c>
      <c r="F11" s="38">
        <v>10</v>
      </c>
      <c r="G11" s="38">
        <v>14</v>
      </c>
      <c r="H11" s="38">
        <v>2285.0320149999998</v>
      </c>
      <c r="I11" s="38">
        <f t="shared" si="0"/>
        <v>2.2850320149999996</v>
      </c>
      <c r="J11" s="38">
        <v>2426</v>
      </c>
      <c r="K11" s="38">
        <v>2430</v>
      </c>
      <c r="L11" s="38">
        <v>2576</v>
      </c>
      <c r="M11" s="38">
        <v>0.172426</v>
      </c>
      <c r="N11" s="38">
        <v>0.32822000000000001</v>
      </c>
      <c r="O11" s="38">
        <v>1297</v>
      </c>
      <c r="P11" s="38">
        <v>903</v>
      </c>
      <c r="Q11" s="38">
        <v>2285.0320149999998</v>
      </c>
      <c r="R11" s="38" t="s">
        <v>120</v>
      </c>
      <c r="S11" s="38" t="s">
        <v>120</v>
      </c>
      <c r="T11" s="38" t="s">
        <v>120</v>
      </c>
      <c r="U11" s="38" t="s">
        <v>120</v>
      </c>
      <c r="V11" s="38" t="s">
        <v>120</v>
      </c>
      <c r="W11" s="38" t="s">
        <v>120</v>
      </c>
      <c r="X11" s="38" t="s">
        <v>259</v>
      </c>
    </row>
    <row r="12" spans="1:24" x14ac:dyDescent="0.45">
      <c r="A12" s="38" t="s">
        <v>269</v>
      </c>
      <c r="B12" s="38">
        <v>9</v>
      </c>
      <c r="C12" s="38" t="s">
        <v>258</v>
      </c>
      <c r="D12" s="38">
        <v>9</v>
      </c>
      <c r="E12" s="38">
        <v>11</v>
      </c>
      <c r="F12" s="38">
        <v>11</v>
      </c>
      <c r="G12" s="38">
        <v>12</v>
      </c>
      <c r="H12" s="38">
        <v>2106.3708499999998</v>
      </c>
      <c r="I12" s="38">
        <f t="shared" si="0"/>
        <v>2.1063708499999998</v>
      </c>
      <c r="J12" s="38">
        <v>2424</v>
      </c>
      <c r="K12" s="38">
        <v>2428</v>
      </c>
      <c r="L12" s="38">
        <v>2577</v>
      </c>
      <c r="M12" s="38">
        <v>5.5545999999999998E-2</v>
      </c>
      <c r="N12" s="38">
        <v>0.29131800000000002</v>
      </c>
      <c r="O12" s="38">
        <v>1345</v>
      </c>
      <c r="P12" s="38">
        <v>1228</v>
      </c>
      <c r="Q12" s="38">
        <v>2106.3708499999998</v>
      </c>
      <c r="R12" s="38" t="s">
        <v>120</v>
      </c>
      <c r="S12" s="38" t="s">
        <v>120</v>
      </c>
      <c r="T12" s="38" t="s">
        <v>120</v>
      </c>
      <c r="U12" s="38" t="s">
        <v>120</v>
      </c>
      <c r="V12" s="38" t="s">
        <v>120</v>
      </c>
      <c r="W12" s="38" t="s">
        <v>120</v>
      </c>
      <c r="X12" s="38" t="s">
        <v>259</v>
      </c>
    </row>
    <row r="13" spans="1:24" x14ac:dyDescent="0.45">
      <c r="A13" s="38" t="s">
        <v>270</v>
      </c>
      <c r="B13" s="38">
        <v>17</v>
      </c>
      <c r="C13" s="38" t="s">
        <v>258</v>
      </c>
      <c r="D13" s="38">
        <v>17</v>
      </c>
      <c r="E13" s="38">
        <v>12</v>
      </c>
      <c r="F13" s="38">
        <v>19</v>
      </c>
      <c r="G13" s="38">
        <v>12</v>
      </c>
      <c r="H13" s="38">
        <v>3409.8164660000002</v>
      </c>
      <c r="I13" s="38">
        <f t="shared" si="0"/>
        <v>3.4098164660000001</v>
      </c>
      <c r="J13" s="38">
        <v>2432</v>
      </c>
      <c r="K13" s="38">
        <v>2428</v>
      </c>
      <c r="L13" s="38">
        <v>2578</v>
      </c>
      <c r="M13" s="38">
        <v>9.5605999999999997E-2</v>
      </c>
      <c r="N13" s="38">
        <v>0.21499699999999999</v>
      </c>
      <c r="O13" s="38">
        <v>1554</v>
      </c>
      <c r="P13" s="38">
        <v>1228</v>
      </c>
      <c r="Q13" s="38">
        <v>3409.8164660000002</v>
      </c>
      <c r="R13" s="38" t="s">
        <v>120</v>
      </c>
      <c r="S13" s="38" t="s">
        <v>120</v>
      </c>
      <c r="T13" s="38" t="s">
        <v>120</v>
      </c>
      <c r="U13" s="38" t="s">
        <v>120</v>
      </c>
      <c r="V13" s="38" t="s">
        <v>120</v>
      </c>
      <c r="W13" s="38" t="s">
        <v>120</v>
      </c>
      <c r="X13" s="38" t="s">
        <v>259</v>
      </c>
    </row>
    <row r="14" spans="1:24" x14ac:dyDescent="0.45">
      <c r="A14" s="38" t="s">
        <v>271</v>
      </c>
      <c r="B14" s="38">
        <v>13</v>
      </c>
      <c r="C14" s="38" t="s">
        <v>258</v>
      </c>
      <c r="D14" s="38">
        <v>13</v>
      </c>
      <c r="E14" s="38">
        <v>13</v>
      </c>
      <c r="F14" s="38">
        <v>12</v>
      </c>
      <c r="G14" s="38">
        <v>13</v>
      </c>
      <c r="H14" s="38">
        <v>6398.7698369999998</v>
      </c>
      <c r="I14" s="38">
        <f t="shared" si="0"/>
        <v>6.3987698369999997</v>
      </c>
      <c r="J14" s="38">
        <v>2428</v>
      </c>
      <c r="K14" s="38">
        <v>2427</v>
      </c>
      <c r="L14" s="38">
        <v>2579</v>
      </c>
      <c r="M14" s="38">
        <v>3.3131000000000001E-2</v>
      </c>
      <c r="N14" s="38">
        <v>0.32251299999999999</v>
      </c>
      <c r="O14" s="38">
        <v>1228</v>
      </c>
      <c r="P14" s="38">
        <v>1016</v>
      </c>
      <c r="Q14" s="38">
        <v>6398.7698369999998</v>
      </c>
      <c r="R14" s="38" t="s">
        <v>120</v>
      </c>
      <c r="S14" s="38" t="s">
        <v>120</v>
      </c>
      <c r="T14" s="38" t="s">
        <v>120</v>
      </c>
      <c r="U14" s="38" t="s">
        <v>120</v>
      </c>
      <c r="V14" s="38" t="s">
        <v>120</v>
      </c>
      <c r="W14" s="38" t="s">
        <v>120</v>
      </c>
      <c r="X14" s="38" t="s">
        <v>259</v>
      </c>
    </row>
    <row r="15" spans="1:24" x14ac:dyDescent="0.45">
      <c r="A15" s="38" t="s">
        <v>272</v>
      </c>
      <c r="B15" s="38">
        <v>12</v>
      </c>
      <c r="C15" s="38" t="s">
        <v>258</v>
      </c>
      <c r="D15" s="38">
        <v>12</v>
      </c>
      <c r="E15" s="38">
        <v>14</v>
      </c>
      <c r="F15" s="38">
        <v>13</v>
      </c>
      <c r="G15" s="38">
        <v>14</v>
      </c>
      <c r="H15" s="38">
        <v>4048.0970390000002</v>
      </c>
      <c r="I15" s="38">
        <f t="shared" si="0"/>
        <v>4.048097039</v>
      </c>
      <c r="J15" s="38">
        <v>2427</v>
      </c>
      <c r="K15" s="38">
        <v>2430</v>
      </c>
      <c r="L15" s="38">
        <v>2580</v>
      </c>
      <c r="M15" s="38">
        <v>2.7914000000000001E-2</v>
      </c>
      <c r="N15" s="38">
        <v>0.42252400000000001</v>
      </c>
      <c r="O15" s="38">
        <v>1016</v>
      </c>
      <c r="P15" s="38">
        <v>903</v>
      </c>
      <c r="Q15" s="38">
        <v>4048.0970390000002</v>
      </c>
      <c r="R15" s="38" t="s">
        <v>120</v>
      </c>
      <c r="S15" s="38" t="s">
        <v>120</v>
      </c>
      <c r="T15" s="38" t="s">
        <v>120</v>
      </c>
      <c r="U15" s="38" t="s">
        <v>120</v>
      </c>
      <c r="V15" s="38" t="s">
        <v>120</v>
      </c>
      <c r="W15" s="38" t="s">
        <v>120</v>
      </c>
      <c r="X15" s="38" t="s">
        <v>259</v>
      </c>
    </row>
    <row r="16" spans="1:24" x14ac:dyDescent="0.45">
      <c r="A16" s="38" t="s">
        <v>273</v>
      </c>
      <c r="B16" s="38">
        <v>15</v>
      </c>
      <c r="C16" s="38" t="s">
        <v>258</v>
      </c>
      <c r="D16" s="38">
        <v>15</v>
      </c>
      <c r="E16" s="38">
        <v>15</v>
      </c>
      <c r="F16" s="38">
        <v>14</v>
      </c>
      <c r="G16" s="38">
        <v>16</v>
      </c>
      <c r="H16" s="38">
        <v>3918.287335</v>
      </c>
      <c r="I16" s="38">
        <f t="shared" si="0"/>
        <v>3.918287335</v>
      </c>
      <c r="J16" s="38">
        <v>2430</v>
      </c>
      <c r="K16" s="38">
        <v>2431</v>
      </c>
      <c r="L16" s="38">
        <v>2581</v>
      </c>
      <c r="M16" s="38">
        <v>2.8583999999999998E-2</v>
      </c>
      <c r="N16" s="38">
        <v>0.32071100000000002</v>
      </c>
      <c r="O16" s="38">
        <v>903</v>
      </c>
      <c r="P16" s="38">
        <v>791</v>
      </c>
      <c r="Q16" s="38">
        <v>3918.287335</v>
      </c>
      <c r="R16" s="38" t="s">
        <v>120</v>
      </c>
      <c r="S16" s="38" t="s">
        <v>120</v>
      </c>
      <c r="T16" s="38" t="s">
        <v>120</v>
      </c>
      <c r="U16" s="38" t="s">
        <v>120</v>
      </c>
      <c r="V16" s="38" t="s">
        <v>120</v>
      </c>
      <c r="W16" s="38" t="s">
        <v>120</v>
      </c>
      <c r="X16" s="38" t="s">
        <v>259</v>
      </c>
    </row>
    <row r="17" spans="1:24" x14ac:dyDescent="0.45">
      <c r="A17" s="38" t="s">
        <v>274</v>
      </c>
      <c r="B17" s="38">
        <v>14</v>
      </c>
      <c r="C17" s="38" t="s">
        <v>258</v>
      </c>
      <c r="D17" s="38">
        <v>14</v>
      </c>
      <c r="E17" s="38">
        <v>16</v>
      </c>
      <c r="F17" s="38">
        <v>15</v>
      </c>
      <c r="G17" s="38">
        <v>16</v>
      </c>
      <c r="H17" s="38">
        <v>267.937861</v>
      </c>
      <c r="I17" s="38">
        <f t="shared" si="0"/>
        <v>0.267937861</v>
      </c>
      <c r="J17" s="38">
        <v>2429</v>
      </c>
      <c r="K17" s="38">
        <v>2431</v>
      </c>
      <c r="L17" s="38">
        <v>2582</v>
      </c>
      <c r="M17" s="38">
        <v>0.38441700000000001</v>
      </c>
      <c r="N17" s="38">
        <v>0.457567</v>
      </c>
      <c r="O17" s="38">
        <v>894</v>
      </c>
      <c r="P17" s="38">
        <v>791</v>
      </c>
      <c r="Q17" s="38">
        <v>267.937861</v>
      </c>
      <c r="R17" s="38" t="s">
        <v>120</v>
      </c>
      <c r="S17" s="38" t="s">
        <v>120</v>
      </c>
      <c r="T17" s="38" t="s">
        <v>120</v>
      </c>
      <c r="U17" s="38" t="s">
        <v>120</v>
      </c>
      <c r="V17" s="38" t="s">
        <v>120</v>
      </c>
      <c r="W17" s="38" t="s">
        <v>120</v>
      </c>
      <c r="X17" s="38" t="s">
        <v>259</v>
      </c>
    </row>
    <row r="18" spans="1:24" x14ac:dyDescent="0.45">
      <c r="A18" s="38" t="s">
        <v>275</v>
      </c>
      <c r="B18" s="38">
        <v>16</v>
      </c>
      <c r="C18" s="38" t="s">
        <v>258</v>
      </c>
      <c r="D18" s="38">
        <v>16</v>
      </c>
      <c r="E18" s="38">
        <v>17</v>
      </c>
      <c r="F18" s="38">
        <v>16</v>
      </c>
      <c r="G18" s="38">
        <v>18</v>
      </c>
      <c r="H18" s="38">
        <v>1491.205807</v>
      </c>
      <c r="I18" s="38">
        <f t="shared" si="0"/>
        <v>1.491205807</v>
      </c>
      <c r="J18" s="38">
        <v>2431</v>
      </c>
      <c r="K18" s="38">
        <v>2434</v>
      </c>
      <c r="L18" s="38">
        <v>2583</v>
      </c>
      <c r="M18" s="38">
        <v>4.1577000000000003E-2</v>
      </c>
      <c r="N18" s="38">
        <v>0.35439399999999999</v>
      </c>
      <c r="O18" s="38">
        <v>791</v>
      </c>
      <c r="P18" s="38">
        <v>729</v>
      </c>
      <c r="Q18" s="38">
        <v>1491.205807</v>
      </c>
      <c r="R18" s="38" t="s">
        <v>120</v>
      </c>
      <c r="S18" s="38" t="s">
        <v>120</v>
      </c>
      <c r="T18" s="38" t="s">
        <v>120</v>
      </c>
      <c r="U18" s="38" t="s">
        <v>120</v>
      </c>
      <c r="V18" s="38" t="s">
        <v>120</v>
      </c>
      <c r="W18" s="38" t="s">
        <v>120</v>
      </c>
      <c r="X18" s="38" t="s">
        <v>259</v>
      </c>
    </row>
    <row r="19" spans="1:24" x14ac:dyDescent="0.45">
      <c r="A19" s="38" t="s">
        <v>276</v>
      </c>
      <c r="B19" s="38">
        <v>20</v>
      </c>
      <c r="C19" s="38" t="s">
        <v>258</v>
      </c>
      <c r="D19" s="38">
        <v>20</v>
      </c>
      <c r="E19" s="38">
        <v>18</v>
      </c>
      <c r="F19" s="38">
        <v>17</v>
      </c>
      <c r="G19" s="38">
        <v>23</v>
      </c>
      <c r="H19" s="38">
        <v>2975.1208499999998</v>
      </c>
      <c r="I19" s="38">
        <f t="shared" si="0"/>
        <v>2.9751208499999997</v>
      </c>
      <c r="J19" s="38">
        <v>2435</v>
      </c>
      <c r="K19" s="38">
        <v>2440</v>
      </c>
      <c r="L19" s="38">
        <v>2584</v>
      </c>
      <c r="M19" s="38">
        <v>0.104534</v>
      </c>
      <c r="N19" s="38">
        <v>0.27892099999999997</v>
      </c>
      <c r="O19" s="38">
        <v>772</v>
      </c>
      <c r="P19" s="38">
        <v>461</v>
      </c>
      <c r="Q19" s="38">
        <v>2975.1208499999998</v>
      </c>
      <c r="R19" s="38" t="s">
        <v>120</v>
      </c>
      <c r="S19" s="38" t="s">
        <v>120</v>
      </c>
      <c r="T19" s="38" t="s">
        <v>120</v>
      </c>
      <c r="U19" s="38" t="s">
        <v>120</v>
      </c>
      <c r="V19" s="38" t="s">
        <v>120</v>
      </c>
      <c r="W19" s="38" t="s">
        <v>120</v>
      </c>
      <c r="X19" s="38" t="s">
        <v>259</v>
      </c>
    </row>
    <row r="20" spans="1:24" x14ac:dyDescent="0.45">
      <c r="A20" s="38" t="s">
        <v>277</v>
      </c>
      <c r="B20" s="38">
        <v>19</v>
      </c>
      <c r="C20" s="38" t="s">
        <v>258</v>
      </c>
      <c r="D20" s="38">
        <v>19</v>
      </c>
      <c r="E20" s="38">
        <v>19</v>
      </c>
      <c r="F20" s="38">
        <v>18</v>
      </c>
      <c r="G20" s="38">
        <v>21</v>
      </c>
      <c r="H20" s="38">
        <v>4908.452378</v>
      </c>
      <c r="I20" s="38">
        <f t="shared" si="0"/>
        <v>4.9084523779999998</v>
      </c>
      <c r="J20" s="38">
        <v>2434</v>
      </c>
      <c r="K20" s="38">
        <v>2436</v>
      </c>
      <c r="L20" s="38">
        <v>2585</v>
      </c>
      <c r="M20" s="38">
        <v>3.1171000000000001E-2</v>
      </c>
      <c r="N20" s="38">
        <v>0.32974100000000001</v>
      </c>
      <c r="O20" s="38">
        <v>729</v>
      </c>
      <c r="P20" s="38">
        <v>576</v>
      </c>
      <c r="Q20" s="38">
        <v>4908.452378</v>
      </c>
      <c r="R20" s="38" t="s">
        <v>120</v>
      </c>
      <c r="S20" s="38" t="s">
        <v>120</v>
      </c>
      <c r="T20" s="38" t="s">
        <v>120</v>
      </c>
      <c r="U20" s="38" t="s">
        <v>120</v>
      </c>
      <c r="V20" s="38" t="s">
        <v>120</v>
      </c>
      <c r="W20" s="38" t="s">
        <v>120</v>
      </c>
      <c r="X20" s="38" t="s">
        <v>259</v>
      </c>
    </row>
    <row r="21" spans="1:24" x14ac:dyDescent="0.45">
      <c r="A21" s="38" t="s">
        <v>278</v>
      </c>
      <c r="B21" s="38">
        <v>18</v>
      </c>
      <c r="C21" s="38" t="s">
        <v>258</v>
      </c>
      <c r="D21" s="38">
        <v>18</v>
      </c>
      <c r="E21" s="38">
        <v>20</v>
      </c>
      <c r="F21" s="38">
        <v>20</v>
      </c>
      <c r="G21" s="38">
        <v>21</v>
      </c>
      <c r="H21" s="38">
        <v>1540.057268</v>
      </c>
      <c r="I21" s="38">
        <f t="shared" si="0"/>
        <v>1.540057268</v>
      </c>
      <c r="J21" s="38">
        <v>2433</v>
      </c>
      <c r="K21" s="38">
        <v>2436</v>
      </c>
      <c r="L21" s="38">
        <v>2586</v>
      </c>
      <c r="M21" s="38">
        <v>0.198045</v>
      </c>
      <c r="N21" s="38">
        <v>0.35101300000000002</v>
      </c>
      <c r="O21" s="38">
        <v>881</v>
      </c>
      <c r="P21" s="38">
        <v>576</v>
      </c>
      <c r="Q21" s="38">
        <v>1540.057268</v>
      </c>
      <c r="R21" s="38" t="s">
        <v>120</v>
      </c>
      <c r="S21" s="38" t="s">
        <v>120</v>
      </c>
      <c r="T21" s="38" t="s">
        <v>120</v>
      </c>
      <c r="U21" s="38" t="s">
        <v>120</v>
      </c>
      <c r="V21" s="38" t="s">
        <v>120</v>
      </c>
      <c r="W21" s="38" t="s">
        <v>120</v>
      </c>
      <c r="X21" s="38" t="s">
        <v>259</v>
      </c>
    </row>
    <row r="22" spans="1:24" x14ac:dyDescent="0.45">
      <c r="A22" s="38" t="s">
        <v>279</v>
      </c>
      <c r="B22" s="38">
        <v>21</v>
      </c>
      <c r="C22" s="38" t="s">
        <v>258</v>
      </c>
      <c r="D22" s="38">
        <v>21</v>
      </c>
      <c r="E22" s="38">
        <v>21</v>
      </c>
      <c r="F22" s="38">
        <v>21</v>
      </c>
      <c r="G22" s="38">
        <v>23</v>
      </c>
      <c r="H22" s="38">
        <v>4061.8533520000001</v>
      </c>
      <c r="I22" s="38">
        <f t="shared" si="0"/>
        <v>4.061853352</v>
      </c>
      <c r="J22" s="38">
        <v>2436</v>
      </c>
      <c r="K22" s="38">
        <v>2440</v>
      </c>
      <c r="L22" s="38">
        <v>2587</v>
      </c>
      <c r="M22" s="38">
        <v>2.8312E-2</v>
      </c>
      <c r="N22" s="38">
        <v>0.32846999999999998</v>
      </c>
      <c r="O22" s="38">
        <v>576</v>
      </c>
      <c r="P22" s="38">
        <v>461</v>
      </c>
      <c r="Q22" s="38">
        <v>4061.8533520000001</v>
      </c>
      <c r="R22" s="38" t="s">
        <v>120</v>
      </c>
      <c r="S22" s="38" t="s">
        <v>120</v>
      </c>
      <c r="T22" s="38" t="s">
        <v>120</v>
      </c>
      <c r="U22" s="38" t="s">
        <v>120</v>
      </c>
      <c r="V22" s="38" t="s">
        <v>120</v>
      </c>
      <c r="W22" s="38" t="s">
        <v>120</v>
      </c>
      <c r="X22" s="38" t="s">
        <v>259</v>
      </c>
    </row>
    <row r="23" spans="1:24" x14ac:dyDescent="0.45">
      <c r="A23" s="38" t="s">
        <v>280</v>
      </c>
      <c r="B23" s="38">
        <v>22</v>
      </c>
      <c r="C23" s="38" t="s">
        <v>258</v>
      </c>
      <c r="D23" s="38">
        <v>22</v>
      </c>
      <c r="E23" s="38">
        <v>22</v>
      </c>
      <c r="F23" s="38">
        <v>22</v>
      </c>
      <c r="G23" s="38">
        <v>25</v>
      </c>
      <c r="H23" s="38">
        <v>2102.2655110000001</v>
      </c>
      <c r="I23" s="38">
        <f t="shared" si="0"/>
        <v>2.1022655110000001</v>
      </c>
      <c r="J23" s="38">
        <v>2437</v>
      </c>
      <c r="K23" s="38">
        <v>2438</v>
      </c>
      <c r="L23" s="38">
        <v>2588</v>
      </c>
      <c r="M23" s="38">
        <v>0.11844399999999999</v>
      </c>
      <c r="N23" s="38">
        <v>0.32553700000000002</v>
      </c>
      <c r="O23" s="38">
        <v>1599</v>
      </c>
      <c r="P23" s="38">
        <v>1350</v>
      </c>
      <c r="Q23" s="38">
        <v>2102.2655110000001</v>
      </c>
      <c r="R23" s="38" t="s">
        <v>120</v>
      </c>
      <c r="S23" s="38" t="s">
        <v>120</v>
      </c>
      <c r="T23" s="38" t="s">
        <v>120</v>
      </c>
      <c r="U23" s="38" t="s">
        <v>120</v>
      </c>
      <c r="V23" s="38" t="s">
        <v>120</v>
      </c>
      <c r="W23" s="38" t="s">
        <v>120</v>
      </c>
      <c r="X23" s="38" t="s">
        <v>259</v>
      </c>
    </row>
    <row r="24" spans="1:24" x14ac:dyDescent="0.45">
      <c r="A24" s="38" t="s">
        <v>281</v>
      </c>
      <c r="B24" s="38">
        <v>26</v>
      </c>
      <c r="C24" s="38" t="s">
        <v>258</v>
      </c>
      <c r="D24" s="38">
        <v>26</v>
      </c>
      <c r="E24" s="38">
        <v>23</v>
      </c>
      <c r="F24" s="38">
        <v>24</v>
      </c>
      <c r="G24" s="38">
        <v>25</v>
      </c>
      <c r="H24" s="38">
        <v>3821.5043260000002</v>
      </c>
      <c r="I24" s="38">
        <f t="shared" si="0"/>
        <v>3.8215043260000003</v>
      </c>
      <c r="J24" s="38">
        <v>2441</v>
      </c>
      <c r="K24" s="38">
        <v>2438</v>
      </c>
      <c r="L24" s="38">
        <v>2589</v>
      </c>
      <c r="M24" s="38">
        <v>4.9195000000000003E-2</v>
      </c>
      <c r="N24" s="38">
        <v>0.19326499999999999</v>
      </c>
      <c r="O24" s="38">
        <v>1538</v>
      </c>
      <c r="P24" s="38">
        <v>1350</v>
      </c>
      <c r="Q24" s="38">
        <v>3821.5043260000002</v>
      </c>
      <c r="R24" s="38" t="s">
        <v>120</v>
      </c>
      <c r="S24" s="38" t="s">
        <v>120</v>
      </c>
      <c r="T24" s="38" t="s">
        <v>120</v>
      </c>
      <c r="U24" s="38" t="s">
        <v>120</v>
      </c>
      <c r="V24" s="38" t="s">
        <v>120</v>
      </c>
      <c r="W24" s="38" t="s">
        <v>120</v>
      </c>
      <c r="X24" s="38" t="s">
        <v>259</v>
      </c>
    </row>
    <row r="25" spans="1:24" x14ac:dyDescent="0.45">
      <c r="A25" s="38" t="s">
        <v>282</v>
      </c>
      <c r="B25" s="38">
        <v>25</v>
      </c>
      <c r="C25" s="38" t="s">
        <v>258</v>
      </c>
      <c r="D25" s="38">
        <v>25</v>
      </c>
      <c r="E25" s="38">
        <v>24</v>
      </c>
      <c r="F25" s="38">
        <v>23</v>
      </c>
      <c r="G25" s="38">
        <v>27</v>
      </c>
      <c r="H25" s="38">
        <v>2364.5815280000002</v>
      </c>
      <c r="I25" s="38">
        <f t="shared" si="0"/>
        <v>2.364581528</v>
      </c>
      <c r="J25" s="38">
        <v>2440</v>
      </c>
      <c r="K25" s="38">
        <v>2445</v>
      </c>
      <c r="L25" s="38">
        <v>2590</v>
      </c>
      <c r="M25" s="38">
        <v>3.7638999999999999E-2</v>
      </c>
      <c r="N25" s="38">
        <v>0.325789</v>
      </c>
      <c r="O25" s="38">
        <v>461</v>
      </c>
      <c r="P25" s="38">
        <v>372</v>
      </c>
      <c r="Q25" s="38">
        <v>2364.5815280000002</v>
      </c>
      <c r="R25" s="38" t="s">
        <v>120</v>
      </c>
      <c r="S25" s="38" t="s">
        <v>120</v>
      </c>
      <c r="T25" s="38" t="s">
        <v>120</v>
      </c>
      <c r="U25" s="38" t="s">
        <v>120</v>
      </c>
      <c r="V25" s="38" t="s">
        <v>120</v>
      </c>
      <c r="W25" s="38" t="s">
        <v>120</v>
      </c>
      <c r="X25" s="38" t="s">
        <v>259</v>
      </c>
    </row>
    <row r="26" spans="1:24" x14ac:dyDescent="0.45">
      <c r="A26" s="38" t="s">
        <v>283</v>
      </c>
      <c r="B26" s="38">
        <v>23</v>
      </c>
      <c r="C26" s="38" t="s">
        <v>258</v>
      </c>
      <c r="D26" s="38">
        <v>23</v>
      </c>
      <c r="E26" s="38">
        <v>25</v>
      </c>
      <c r="F26" s="38">
        <v>25</v>
      </c>
      <c r="G26" s="38">
        <v>18</v>
      </c>
      <c r="H26" s="38">
        <v>7239.6076789999997</v>
      </c>
      <c r="I26" s="38">
        <f t="shared" si="0"/>
        <v>7.2396076789999997</v>
      </c>
      <c r="J26" s="38">
        <v>2438</v>
      </c>
      <c r="K26" s="38">
        <v>2434</v>
      </c>
      <c r="L26" s="38">
        <v>2591</v>
      </c>
      <c r="M26" s="38">
        <v>8.5777999999999993E-2</v>
      </c>
      <c r="N26" s="38">
        <v>0.38402599999999998</v>
      </c>
      <c r="O26" s="38">
        <v>1350</v>
      </c>
      <c r="P26" s="38">
        <v>729</v>
      </c>
      <c r="Q26" s="38">
        <v>7239.6076789999997</v>
      </c>
      <c r="R26" s="38" t="s">
        <v>120</v>
      </c>
      <c r="S26" s="38" t="s">
        <v>120</v>
      </c>
      <c r="T26" s="38" t="s">
        <v>120</v>
      </c>
      <c r="U26" s="38" t="s">
        <v>120</v>
      </c>
      <c r="V26" s="38" t="s">
        <v>120</v>
      </c>
      <c r="W26" s="38" t="s">
        <v>120</v>
      </c>
      <c r="X26" s="38" t="s">
        <v>259</v>
      </c>
    </row>
    <row r="27" spans="1:24" x14ac:dyDescent="0.45">
      <c r="A27" s="38" t="s">
        <v>284</v>
      </c>
      <c r="B27" s="38">
        <v>24</v>
      </c>
      <c r="C27" s="38" t="s">
        <v>258</v>
      </c>
      <c r="D27" s="38">
        <v>24</v>
      </c>
      <c r="E27" s="38">
        <v>26</v>
      </c>
      <c r="F27" s="38">
        <v>26</v>
      </c>
      <c r="G27" s="38">
        <v>27</v>
      </c>
      <c r="H27" s="38">
        <v>121.78300900000001</v>
      </c>
      <c r="I27" s="38">
        <f t="shared" si="0"/>
        <v>0.12178300900000001</v>
      </c>
      <c r="J27" s="38">
        <v>2439</v>
      </c>
      <c r="K27" s="38">
        <v>2445</v>
      </c>
      <c r="L27" s="38">
        <v>2592</v>
      </c>
      <c r="M27" s="38">
        <v>0.188861</v>
      </c>
      <c r="N27" s="38">
        <v>0.238508</v>
      </c>
      <c r="O27" s="38">
        <v>395</v>
      </c>
      <c r="P27" s="38">
        <v>372</v>
      </c>
      <c r="Q27" s="38">
        <v>121.78300900000001</v>
      </c>
      <c r="R27" s="38" t="s">
        <v>120</v>
      </c>
      <c r="S27" s="38" t="s">
        <v>120</v>
      </c>
      <c r="T27" s="38" t="s">
        <v>120</v>
      </c>
      <c r="U27" s="38" t="s">
        <v>120</v>
      </c>
      <c r="V27" s="38" t="s">
        <v>120</v>
      </c>
      <c r="W27" s="38" t="s">
        <v>120</v>
      </c>
      <c r="X27" s="38" t="s">
        <v>259</v>
      </c>
    </row>
    <row r="28" spans="1:24" x14ac:dyDescent="0.45">
      <c r="A28" s="38" t="s">
        <v>285</v>
      </c>
      <c r="B28" s="38">
        <v>30</v>
      </c>
      <c r="C28" s="38" t="s">
        <v>258</v>
      </c>
      <c r="D28" s="38">
        <v>30</v>
      </c>
      <c r="E28" s="38">
        <v>27</v>
      </c>
      <c r="F28" s="38">
        <v>27</v>
      </c>
      <c r="G28" s="38">
        <v>36</v>
      </c>
      <c r="H28" s="38">
        <v>4601.1300469999996</v>
      </c>
      <c r="I28" s="38">
        <f t="shared" si="0"/>
        <v>4.6011300469999998</v>
      </c>
      <c r="J28" s="38">
        <v>2445</v>
      </c>
      <c r="K28" s="38">
        <v>2471</v>
      </c>
      <c r="L28" s="38">
        <v>2593</v>
      </c>
      <c r="M28" s="38">
        <v>1.6518000000000001E-2</v>
      </c>
      <c r="N28" s="38">
        <v>0.189833</v>
      </c>
      <c r="O28" s="38">
        <v>372</v>
      </c>
      <c r="P28" s="38">
        <v>296</v>
      </c>
      <c r="Q28" s="38">
        <v>4601.1300469999996</v>
      </c>
      <c r="R28" s="38" t="s">
        <v>120</v>
      </c>
      <c r="S28" s="38" t="s">
        <v>120</v>
      </c>
      <c r="T28" s="38" t="s">
        <v>120</v>
      </c>
      <c r="U28" s="38" t="s">
        <v>120</v>
      </c>
      <c r="V28" s="38" t="s">
        <v>120</v>
      </c>
      <c r="W28" s="38" t="s">
        <v>120</v>
      </c>
      <c r="X28" s="38" t="s">
        <v>259</v>
      </c>
    </row>
    <row r="29" spans="1:24" x14ac:dyDescent="0.45">
      <c r="A29" s="38" t="s">
        <v>286</v>
      </c>
      <c r="B29" s="38">
        <v>37</v>
      </c>
      <c r="C29" s="38" t="s">
        <v>258</v>
      </c>
      <c r="D29" s="38">
        <v>37</v>
      </c>
      <c r="E29" s="38">
        <v>28</v>
      </c>
      <c r="F29" s="38">
        <v>28</v>
      </c>
      <c r="G29" s="38">
        <v>40</v>
      </c>
      <c r="H29" s="38">
        <v>3271.0601529999999</v>
      </c>
      <c r="I29" s="38">
        <f t="shared" si="0"/>
        <v>3.2710601530000001</v>
      </c>
      <c r="J29" s="38">
        <v>2452</v>
      </c>
      <c r="K29" s="38">
        <v>2453</v>
      </c>
      <c r="L29" s="38">
        <v>2594</v>
      </c>
      <c r="M29" s="38">
        <v>0.119227</v>
      </c>
      <c r="N29" s="38">
        <v>0.29546299999999998</v>
      </c>
      <c r="O29" s="38">
        <v>1256</v>
      </c>
      <c r="P29" s="38">
        <v>866</v>
      </c>
      <c r="Q29" s="38">
        <v>3271.0601529999999</v>
      </c>
      <c r="R29" s="38" t="s">
        <v>120</v>
      </c>
      <c r="S29" s="38" t="s">
        <v>120</v>
      </c>
      <c r="T29" s="38" t="s">
        <v>120</v>
      </c>
      <c r="U29" s="38" t="s">
        <v>120</v>
      </c>
      <c r="V29" s="38" t="s">
        <v>120</v>
      </c>
      <c r="W29" s="38" t="s">
        <v>120</v>
      </c>
      <c r="X29" s="38" t="s">
        <v>259</v>
      </c>
    </row>
    <row r="30" spans="1:24" x14ac:dyDescent="0.45">
      <c r="A30" s="38" t="s">
        <v>287</v>
      </c>
      <c r="B30" s="38">
        <v>31</v>
      </c>
      <c r="C30" s="38" t="s">
        <v>258</v>
      </c>
      <c r="D30" s="38">
        <v>31</v>
      </c>
      <c r="E30" s="38">
        <v>29</v>
      </c>
      <c r="F30" s="38">
        <v>29</v>
      </c>
      <c r="G30" s="38">
        <v>37</v>
      </c>
      <c r="H30" s="38">
        <v>2792.506762</v>
      </c>
      <c r="I30" s="38">
        <f t="shared" si="0"/>
        <v>2.7925067619999999</v>
      </c>
      <c r="J30" s="38">
        <v>2446</v>
      </c>
      <c r="K30" s="38">
        <v>2450</v>
      </c>
      <c r="L30" s="38">
        <v>2595</v>
      </c>
      <c r="M30" s="38">
        <v>0.17081399999999999</v>
      </c>
      <c r="N30" s="38">
        <v>0.23535600000000001</v>
      </c>
      <c r="O30" s="38">
        <v>1114</v>
      </c>
      <c r="P30" s="38">
        <v>637</v>
      </c>
      <c r="Q30" s="38">
        <v>2792.506762</v>
      </c>
      <c r="R30" s="38" t="s">
        <v>120</v>
      </c>
      <c r="S30" s="38" t="s">
        <v>120</v>
      </c>
      <c r="T30" s="38" t="s">
        <v>120</v>
      </c>
      <c r="U30" s="38" t="s">
        <v>120</v>
      </c>
      <c r="V30" s="38" t="s">
        <v>120</v>
      </c>
      <c r="W30" s="38" t="s">
        <v>120</v>
      </c>
      <c r="X30" s="38" t="s">
        <v>259</v>
      </c>
    </row>
    <row r="31" spans="1:24" x14ac:dyDescent="0.45">
      <c r="A31" s="38" t="s">
        <v>288</v>
      </c>
      <c r="B31" s="38">
        <v>27</v>
      </c>
      <c r="C31" s="38" t="s">
        <v>258</v>
      </c>
      <c r="D31" s="38">
        <v>27</v>
      </c>
      <c r="E31" s="38">
        <v>30</v>
      </c>
      <c r="F31" s="38">
        <v>30</v>
      </c>
      <c r="G31" s="38">
        <v>32</v>
      </c>
      <c r="H31" s="38">
        <v>663.280573</v>
      </c>
      <c r="I31" s="38">
        <f t="shared" si="0"/>
        <v>0.66328057299999998</v>
      </c>
      <c r="J31" s="38">
        <v>2442</v>
      </c>
      <c r="K31" s="38">
        <v>2449</v>
      </c>
      <c r="L31" s="38">
        <v>2596</v>
      </c>
      <c r="M31" s="38">
        <v>7.5383000000000006E-2</v>
      </c>
      <c r="N31" s="38">
        <v>0.16683799999999999</v>
      </c>
      <c r="O31" s="38">
        <v>1364</v>
      </c>
      <c r="P31" s="38">
        <v>1314</v>
      </c>
      <c r="Q31" s="38">
        <v>663.280573</v>
      </c>
      <c r="R31" s="38" t="s">
        <v>120</v>
      </c>
      <c r="S31" s="38" t="s">
        <v>120</v>
      </c>
      <c r="T31" s="38" t="s">
        <v>120</v>
      </c>
      <c r="U31" s="38" t="s">
        <v>120</v>
      </c>
      <c r="V31" s="38" t="s">
        <v>120</v>
      </c>
      <c r="W31" s="38" t="s">
        <v>120</v>
      </c>
      <c r="X31" s="38" t="s">
        <v>259</v>
      </c>
    </row>
    <row r="32" spans="1:24" x14ac:dyDescent="0.45">
      <c r="A32" s="38" t="s">
        <v>289</v>
      </c>
      <c r="B32" s="38">
        <v>28</v>
      </c>
      <c r="C32" s="38" t="s">
        <v>258</v>
      </c>
      <c r="D32" s="38">
        <v>28</v>
      </c>
      <c r="E32" s="38">
        <v>31</v>
      </c>
      <c r="F32" s="38">
        <v>31</v>
      </c>
      <c r="G32" s="38">
        <v>32</v>
      </c>
      <c r="H32" s="38">
        <v>541.68154700000002</v>
      </c>
      <c r="I32" s="38">
        <f t="shared" si="0"/>
        <v>0.54168154700000004</v>
      </c>
      <c r="J32" s="38">
        <v>2443</v>
      </c>
      <c r="K32" s="38">
        <v>2449</v>
      </c>
      <c r="L32" s="38">
        <v>2597</v>
      </c>
      <c r="M32" s="38">
        <v>9.0458999999999998E-2</v>
      </c>
      <c r="N32" s="38">
        <v>0.11378000000000001</v>
      </c>
      <c r="O32" s="38">
        <v>1363</v>
      </c>
      <c r="P32" s="38">
        <v>1314</v>
      </c>
      <c r="Q32" s="38">
        <v>541.68154700000002</v>
      </c>
      <c r="R32" s="38" t="s">
        <v>120</v>
      </c>
      <c r="S32" s="38" t="s">
        <v>120</v>
      </c>
      <c r="T32" s="38" t="s">
        <v>120</v>
      </c>
      <c r="U32" s="38" t="s">
        <v>120</v>
      </c>
      <c r="V32" s="38" t="s">
        <v>120</v>
      </c>
      <c r="W32" s="38" t="s">
        <v>120</v>
      </c>
      <c r="X32" s="38" t="s">
        <v>259</v>
      </c>
    </row>
    <row r="33" spans="1:24" x14ac:dyDescent="0.45">
      <c r="A33" s="38" t="s">
        <v>290</v>
      </c>
      <c r="B33" s="38">
        <v>34</v>
      </c>
      <c r="C33" s="38" t="s">
        <v>258</v>
      </c>
      <c r="D33" s="38">
        <v>34</v>
      </c>
      <c r="E33" s="38">
        <v>32</v>
      </c>
      <c r="F33" s="38">
        <v>32</v>
      </c>
      <c r="G33" s="38">
        <v>39</v>
      </c>
      <c r="H33" s="38">
        <v>1249.784451</v>
      </c>
      <c r="I33" s="38">
        <f t="shared" si="0"/>
        <v>1.249784451</v>
      </c>
      <c r="J33" s="38">
        <v>2449</v>
      </c>
      <c r="K33" s="38">
        <v>2451</v>
      </c>
      <c r="L33" s="38">
        <v>2598</v>
      </c>
      <c r="M33" s="38">
        <v>5.5210000000000002E-2</v>
      </c>
      <c r="N33" s="38">
        <v>0.12671499999999999</v>
      </c>
      <c r="O33" s="38">
        <v>1314</v>
      </c>
      <c r="P33" s="38">
        <v>1245</v>
      </c>
      <c r="Q33" s="38">
        <v>1249.784451</v>
      </c>
      <c r="R33" s="38" t="s">
        <v>120</v>
      </c>
      <c r="S33" s="38" t="s">
        <v>120</v>
      </c>
      <c r="T33" s="38" t="s">
        <v>120</v>
      </c>
      <c r="U33" s="38" t="s">
        <v>120</v>
      </c>
      <c r="V33" s="38" t="s">
        <v>120</v>
      </c>
      <c r="W33" s="38" t="s">
        <v>120</v>
      </c>
      <c r="X33" s="38" t="s">
        <v>259</v>
      </c>
    </row>
    <row r="34" spans="1:24" x14ac:dyDescent="0.45">
      <c r="A34" s="38" t="s">
        <v>291</v>
      </c>
      <c r="B34" s="38">
        <v>29</v>
      </c>
      <c r="C34" s="38" t="s">
        <v>258</v>
      </c>
      <c r="D34" s="38">
        <v>29</v>
      </c>
      <c r="E34" s="38">
        <v>33</v>
      </c>
      <c r="F34" s="38">
        <v>33</v>
      </c>
      <c r="G34" s="38">
        <v>34</v>
      </c>
      <c r="H34" s="38">
        <v>126.960678</v>
      </c>
      <c r="I34" s="38">
        <f t="shared" si="0"/>
        <v>0.12696067799999999</v>
      </c>
      <c r="J34" s="38">
        <v>2444</v>
      </c>
      <c r="K34" s="38">
        <v>2447</v>
      </c>
      <c r="L34" s="38">
        <v>2599</v>
      </c>
      <c r="M34" s="38">
        <v>0.18903500000000001</v>
      </c>
      <c r="N34" s="38">
        <v>0.246228</v>
      </c>
      <c r="O34" s="38">
        <v>460</v>
      </c>
      <c r="P34" s="38">
        <v>436</v>
      </c>
      <c r="Q34" s="38">
        <v>126.960678</v>
      </c>
      <c r="R34" s="38" t="s">
        <v>120</v>
      </c>
      <c r="S34" s="38" t="s">
        <v>120</v>
      </c>
      <c r="T34" s="38" t="s">
        <v>120</v>
      </c>
      <c r="U34" s="38" t="s">
        <v>120</v>
      </c>
      <c r="V34" s="38" t="s">
        <v>120</v>
      </c>
      <c r="W34" s="38" t="s">
        <v>120</v>
      </c>
      <c r="X34" s="38" t="s">
        <v>259</v>
      </c>
    </row>
    <row r="35" spans="1:24" x14ac:dyDescent="0.45">
      <c r="A35" s="38" t="s">
        <v>292</v>
      </c>
      <c r="B35" s="38">
        <v>32</v>
      </c>
      <c r="C35" s="38" t="s">
        <v>258</v>
      </c>
      <c r="D35" s="38">
        <v>32</v>
      </c>
      <c r="E35" s="38">
        <v>34</v>
      </c>
      <c r="F35" s="38">
        <v>34</v>
      </c>
      <c r="G35" s="38">
        <v>36</v>
      </c>
      <c r="H35" s="38">
        <v>2687.4368669999999</v>
      </c>
      <c r="I35" s="38">
        <f t="shared" si="0"/>
        <v>2.6874368669999997</v>
      </c>
      <c r="J35" s="38">
        <v>2447</v>
      </c>
      <c r="K35" s="38">
        <v>2471</v>
      </c>
      <c r="L35" s="38">
        <v>2600</v>
      </c>
      <c r="M35" s="38">
        <v>5.2094000000000001E-2</v>
      </c>
      <c r="N35" s="38">
        <v>0.39371299999999998</v>
      </c>
      <c r="O35" s="38">
        <v>436</v>
      </c>
      <c r="P35" s="38">
        <v>296</v>
      </c>
      <c r="Q35" s="38">
        <v>2687.4368669999999</v>
      </c>
      <c r="R35" s="38" t="s">
        <v>120</v>
      </c>
      <c r="S35" s="38" t="s">
        <v>120</v>
      </c>
      <c r="T35" s="38" t="s">
        <v>120</v>
      </c>
      <c r="U35" s="38" t="s">
        <v>120</v>
      </c>
      <c r="V35" s="38" t="s">
        <v>120</v>
      </c>
      <c r="W35" s="38" t="s">
        <v>120</v>
      </c>
      <c r="X35" s="38" t="s">
        <v>259</v>
      </c>
    </row>
    <row r="36" spans="1:24" x14ac:dyDescent="0.45">
      <c r="A36" s="38" t="s">
        <v>293</v>
      </c>
      <c r="B36" s="38">
        <v>33</v>
      </c>
      <c r="C36" s="38" t="s">
        <v>258</v>
      </c>
      <c r="D36" s="38">
        <v>33</v>
      </c>
      <c r="E36" s="38">
        <v>35</v>
      </c>
      <c r="F36" s="38">
        <v>35</v>
      </c>
      <c r="G36" s="38">
        <v>38</v>
      </c>
      <c r="H36" s="38">
        <v>756.84658999999999</v>
      </c>
      <c r="I36" s="38">
        <f t="shared" si="0"/>
        <v>0.75684658999999999</v>
      </c>
      <c r="J36" s="38">
        <v>2448</v>
      </c>
      <c r="K36" s="38">
        <v>2455</v>
      </c>
      <c r="L36" s="38">
        <v>2601</v>
      </c>
      <c r="M36" s="38">
        <v>0.14005500000000001</v>
      </c>
      <c r="N36" s="38">
        <v>0.187945</v>
      </c>
      <c r="O36" s="38">
        <v>1220</v>
      </c>
      <c r="P36" s="38">
        <v>1114</v>
      </c>
      <c r="Q36" s="38">
        <v>756.84658999999999</v>
      </c>
      <c r="R36" s="38" t="s">
        <v>120</v>
      </c>
      <c r="S36" s="38" t="s">
        <v>120</v>
      </c>
      <c r="T36" s="38" t="s">
        <v>120</v>
      </c>
      <c r="U36" s="38" t="s">
        <v>120</v>
      </c>
      <c r="V36" s="38" t="s">
        <v>120</v>
      </c>
      <c r="W36" s="38" t="s">
        <v>120</v>
      </c>
      <c r="X36" s="38" t="s">
        <v>259</v>
      </c>
    </row>
    <row r="37" spans="1:24" x14ac:dyDescent="0.45">
      <c r="A37" s="38" t="s">
        <v>294</v>
      </c>
      <c r="B37" s="38">
        <v>36</v>
      </c>
      <c r="C37" s="38" t="s">
        <v>258</v>
      </c>
      <c r="D37" s="38">
        <v>36</v>
      </c>
      <c r="E37" s="38">
        <v>36</v>
      </c>
      <c r="F37" s="38">
        <v>39</v>
      </c>
      <c r="G37" s="38">
        <v>38</v>
      </c>
      <c r="H37" s="38">
        <v>2932.2591980000002</v>
      </c>
      <c r="I37" s="38">
        <f t="shared" si="0"/>
        <v>2.9322591980000001</v>
      </c>
      <c r="J37" s="38">
        <v>2451</v>
      </c>
      <c r="K37" s="38">
        <v>2455</v>
      </c>
      <c r="L37" s="38">
        <v>2602</v>
      </c>
      <c r="M37" s="38">
        <v>4.4674999999999999E-2</v>
      </c>
      <c r="N37" s="38">
        <v>0.19648599999999999</v>
      </c>
      <c r="O37" s="38">
        <v>1245</v>
      </c>
      <c r="P37" s="38">
        <v>1114</v>
      </c>
      <c r="Q37" s="38">
        <v>2932.2591980000002</v>
      </c>
      <c r="R37" s="38" t="s">
        <v>120</v>
      </c>
      <c r="S37" s="38" t="s">
        <v>120</v>
      </c>
      <c r="T37" s="38" t="s">
        <v>120</v>
      </c>
      <c r="U37" s="38" t="s">
        <v>120</v>
      </c>
      <c r="V37" s="38" t="s">
        <v>120</v>
      </c>
      <c r="W37" s="38" t="s">
        <v>120</v>
      </c>
      <c r="X37" s="38" t="s">
        <v>259</v>
      </c>
    </row>
    <row r="38" spans="1:24" x14ac:dyDescent="0.45">
      <c r="A38" s="38" t="s">
        <v>295</v>
      </c>
      <c r="B38" s="38">
        <v>56</v>
      </c>
      <c r="C38" s="38" t="s">
        <v>258</v>
      </c>
      <c r="D38" s="38">
        <v>56</v>
      </c>
      <c r="E38" s="38">
        <v>37</v>
      </c>
      <c r="F38" s="38">
        <v>36</v>
      </c>
      <c r="G38" s="38">
        <v>59</v>
      </c>
      <c r="H38" s="38">
        <v>9607.7425970000004</v>
      </c>
      <c r="I38" s="38">
        <f t="shared" si="0"/>
        <v>9.6077425969999997</v>
      </c>
      <c r="J38" s="38">
        <v>2471</v>
      </c>
      <c r="K38" s="38">
        <v>2481</v>
      </c>
      <c r="L38" s="38">
        <v>2603</v>
      </c>
      <c r="M38" s="38">
        <v>1.4572E-2</v>
      </c>
      <c r="N38" s="38">
        <v>0.12758900000000001</v>
      </c>
      <c r="O38" s="38">
        <v>296</v>
      </c>
      <c r="P38" s="38">
        <v>156</v>
      </c>
      <c r="Q38" s="38">
        <v>9607.7425970000004</v>
      </c>
      <c r="R38" s="38" t="s">
        <v>120</v>
      </c>
      <c r="S38" s="38" t="s">
        <v>120</v>
      </c>
      <c r="T38" s="38" t="s">
        <v>120</v>
      </c>
      <c r="U38" s="38" t="s">
        <v>120</v>
      </c>
      <c r="V38" s="38" t="s">
        <v>120</v>
      </c>
      <c r="W38" s="38" t="s">
        <v>120</v>
      </c>
      <c r="X38" s="38" t="s">
        <v>259</v>
      </c>
    </row>
    <row r="39" spans="1:24" x14ac:dyDescent="0.45">
      <c r="A39" s="38" t="s">
        <v>296</v>
      </c>
      <c r="B39" s="38">
        <v>35</v>
      </c>
      <c r="C39" s="38" t="s">
        <v>258</v>
      </c>
      <c r="D39" s="38">
        <v>35</v>
      </c>
      <c r="E39" s="38">
        <v>38</v>
      </c>
      <c r="F39" s="38">
        <v>37</v>
      </c>
      <c r="G39" s="38">
        <v>34</v>
      </c>
      <c r="H39" s="38">
        <v>2376.7135619999999</v>
      </c>
      <c r="I39" s="38">
        <f t="shared" si="0"/>
        <v>2.3767135619999999</v>
      </c>
      <c r="J39" s="38">
        <v>2450</v>
      </c>
      <c r="K39" s="38">
        <v>2447</v>
      </c>
      <c r="L39" s="38">
        <v>2604</v>
      </c>
      <c r="M39" s="38">
        <v>8.4570999999999993E-2</v>
      </c>
      <c r="N39" s="38">
        <v>0.43127199999999999</v>
      </c>
      <c r="O39" s="38">
        <v>637</v>
      </c>
      <c r="P39" s="38">
        <v>436</v>
      </c>
      <c r="Q39" s="38">
        <v>2376.7135619999999</v>
      </c>
      <c r="R39" s="38" t="s">
        <v>120</v>
      </c>
      <c r="S39" s="38" t="s">
        <v>120</v>
      </c>
      <c r="T39" s="38" t="s">
        <v>120</v>
      </c>
      <c r="U39" s="38" t="s">
        <v>120</v>
      </c>
      <c r="V39" s="38" t="s">
        <v>120</v>
      </c>
      <c r="W39" s="38" t="s">
        <v>120</v>
      </c>
      <c r="X39" s="38" t="s">
        <v>259</v>
      </c>
    </row>
    <row r="40" spans="1:24" x14ac:dyDescent="0.45">
      <c r="A40" s="38" t="s">
        <v>297</v>
      </c>
      <c r="B40" s="38">
        <v>38</v>
      </c>
      <c r="C40" s="38" t="s">
        <v>258</v>
      </c>
      <c r="D40" s="38">
        <v>38</v>
      </c>
      <c r="E40" s="38">
        <v>39</v>
      </c>
      <c r="F40" s="38">
        <v>40</v>
      </c>
      <c r="G40" s="38">
        <v>37</v>
      </c>
      <c r="H40" s="38">
        <v>4002.7543260000002</v>
      </c>
      <c r="I40" s="38">
        <f t="shared" si="0"/>
        <v>4.0027543259999998</v>
      </c>
      <c r="J40" s="38">
        <v>2453</v>
      </c>
      <c r="K40" s="38">
        <v>2450</v>
      </c>
      <c r="L40" s="38">
        <v>2605</v>
      </c>
      <c r="M40" s="38">
        <v>5.7210999999999998E-2</v>
      </c>
      <c r="N40" s="38">
        <v>0.236571</v>
      </c>
      <c r="O40" s="38">
        <v>866</v>
      </c>
      <c r="P40" s="38">
        <v>637</v>
      </c>
      <c r="Q40" s="38">
        <v>4002.7543260000002</v>
      </c>
      <c r="R40" s="38" t="s">
        <v>120</v>
      </c>
      <c r="S40" s="38" t="s">
        <v>120</v>
      </c>
      <c r="T40" s="38" t="s">
        <v>120</v>
      </c>
      <c r="U40" s="38" t="s">
        <v>120</v>
      </c>
      <c r="V40" s="38" t="s">
        <v>120</v>
      </c>
      <c r="W40" s="38" t="s">
        <v>120</v>
      </c>
      <c r="X40" s="38" t="s">
        <v>259</v>
      </c>
    </row>
    <row r="41" spans="1:24" x14ac:dyDescent="0.45">
      <c r="A41" s="38" t="s">
        <v>298</v>
      </c>
      <c r="B41" s="38">
        <v>39</v>
      </c>
      <c r="C41" s="38" t="s">
        <v>258</v>
      </c>
      <c r="D41" s="38">
        <v>39</v>
      </c>
      <c r="E41" s="38">
        <v>40</v>
      </c>
      <c r="F41" s="38">
        <v>41</v>
      </c>
      <c r="G41" s="38">
        <v>39</v>
      </c>
      <c r="H41" s="38">
        <v>983.10290299999997</v>
      </c>
      <c r="I41" s="38">
        <f t="shared" si="0"/>
        <v>0.98310290299999992</v>
      </c>
      <c r="J41" s="38">
        <v>2454</v>
      </c>
      <c r="K41" s="38">
        <v>2451</v>
      </c>
      <c r="L41" s="38">
        <v>2606</v>
      </c>
      <c r="M41" s="38">
        <v>0.11595900000000001</v>
      </c>
      <c r="N41" s="38">
        <v>0.177398</v>
      </c>
      <c r="O41" s="38">
        <v>1359</v>
      </c>
      <c r="P41" s="38">
        <v>1245</v>
      </c>
      <c r="Q41" s="38">
        <v>983.10290299999997</v>
      </c>
      <c r="R41" s="38" t="s">
        <v>120</v>
      </c>
      <c r="S41" s="38" t="s">
        <v>120</v>
      </c>
      <c r="T41" s="38" t="s">
        <v>120</v>
      </c>
      <c r="U41" s="38" t="s">
        <v>120</v>
      </c>
      <c r="V41" s="38" t="s">
        <v>120</v>
      </c>
      <c r="W41" s="38" t="s">
        <v>120</v>
      </c>
      <c r="X41" s="38" t="s">
        <v>259</v>
      </c>
    </row>
    <row r="42" spans="1:24" x14ac:dyDescent="0.45">
      <c r="A42" s="38" t="s">
        <v>299</v>
      </c>
      <c r="B42" s="38">
        <v>40</v>
      </c>
      <c r="C42" s="38" t="s">
        <v>258</v>
      </c>
      <c r="D42" s="38">
        <v>40</v>
      </c>
      <c r="E42" s="38">
        <v>41</v>
      </c>
      <c r="F42" s="38">
        <v>38</v>
      </c>
      <c r="G42" s="38">
        <v>40</v>
      </c>
      <c r="H42" s="38">
        <v>5682.1960650000001</v>
      </c>
      <c r="I42" s="38">
        <f t="shared" si="0"/>
        <v>5.6821960650000003</v>
      </c>
      <c r="J42" s="38">
        <v>2455</v>
      </c>
      <c r="K42" s="38">
        <v>2453</v>
      </c>
      <c r="L42" s="38">
        <v>2607</v>
      </c>
      <c r="M42" s="38">
        <v>4.3645000000000003E-2</v>
      </c>
      <c r="N42" s="38">
        <v>0.247337</v>
      </c>
      <c r="O42" s="38">
        <v>1114</v>
      </c>
      <c r="P42" s="38">
        <v>866</v>
      </c>
      <c r="Q42" s="38">
        <v>5682.1960650000001</v>
      </c>
      <c r="R42" s="38" t="s">
        <v>120</v>
      </c>
      <c r="S42" s="38" t="s">
        <v>120</v>
      </c>
      <c r="T42" s="38" t="s">
        <v>120</v>
      </c>
      <c r="U42" s="38" t="s">
        <v>120</v>
      </c>
      <c r="V42" s="38" t="s">
        <v>120</v>
      </c>
      <c r="W42" s="38" t="s">
        <v>120</v>
      </c>
      <c r="X42" s="38" t="s">
        <v>259</v>
      </c>
    </row>
    <row r="43" spans="1:24" x14ac:dyDescent="0.45">
      <c r="A43" s="38" t="s">
        <v>300</v>
      </c>
      <c r="B43" s="38">
        <v>44</v>
      </c>
      <c r="C43" s="38" t="s">
        <v>258</v>
      </c>
      <c r="D43" s="38">
        <v>44</v>
      </c>
      <c r="E43" s="38">
        <v>42</v>
      </c>
      <c r="F43" s="38">
        <v>44</v>
      </c>
      <c r="G43" s="38">
        <v>48</v>
      </c>
      <c r="H43" s="38">
        <v>7719.0809829999998</v>
      </c>
      <c r="I43" s="38">
        <f t="shared" si="0"/>
        <v>7.7190809829999996</v>
      </c>
      <c r="J43" s="38">
        <v>2459</v>
      </c>
      <c r="K43" s="38">
        <v>2462</v>
      </c>
      <c r="L43" s="38">
        <v>2608</v>
      </c>
      <c r="M43" s="38">
        <v>7.3454000000000005E-2</v>
      </c>
      <c r="N43" s="38">
        <v>0.22942699999999999</v>
      </c>
      <c r="O43" s="38">
        <v>1279</v>
      </c>
      <c r="P43" s="38">
        <v>712</v>
      </c>
      <c r="Q43" s="38">
        <v>7719.0809829999998</v>
      </c>
      <c r="R43" s="38" t="s">
        <v>120</v>
      </c>
      <c r="S43" s="38" t="s">
        <v>120</v>
      </c>
      <c r="T43" s="38" t="s">
        <v>120</v>
      </c>
      <c r="U43" s="38" t="s">
        <v>120</v>
      </c>
      <c r="V43" s="38" t="s">
        <v>120</v>
      </c>
      <c r="W43" s="38" t="s">
        <v>120</v>
      </c>
      <c r="X43" s="38" t="s">
        <v>259</v>
      </c>
    </row>
    <row r="44" spans="1:24" x14ac:dyDescent="0.45">
      <c r="A44" s="38" t="s">
        <v>301</v>
      </c>
      <c r="B44" s="38">
        <v>41</v>
      </c>
      <c r="C44" s="38" t="s">
        <v>258</v>
      </c>
      <c r="D44" s="38">
        <v>41</v>
      </c>
      <c r="E44" s="38">
        <v>43</v>
      </c>
      <c r="F44" s="38">
        <v>42</v>
      </c>
      <c r="G44" s="38">
        <v>45</v>
      </c>
      <c r="H44" s="38">
        <v>595.52669500000002</v>
      </c>
      <c r="I44" s="38">
        <f t="shared" si="0"/>
        <v>0.59552669499999999</v>
      </c>
      <c r="J44" s="38">
        <v>2456</v>
      </c>
      <c r="K44" s="38">
        <v>2469</v>
      </c>
      <c r="L44" s="38">
        <v>2609</v>
      </c>
      <c r="M44" s="38">
        <v>0.27202799999999999</v>
      </c>
      <c r="N44" s="38">
        <v>0.32708999999999999</v>
      </c>
      <c r="O44" s="38">
        <v>520</v>
      </c>
      <c r="P44" s="38">
        <v>358</v>
      </c>
      <c r="Q44" s="38">
        <v>595.52669500000002</v>
      </c>
      <c r="R44" s="38" t="s">
        <v>120</v>
      </c>
      <c r="S44" s="38" t="s">
        <v>120</v>
      </c>
      <c r="T44" s="38" t="s">
        <v>120</v>
      </c>
      <c r="U44" s="38" t="s">
        <v>120</v>
      </c>
      <c r="V44" s="38" t="s">
        <v>120</v>
      </c>
      <c r="W44" s="38" t="s">
        <v>120</v>
      </c>
      <c r="X44" s="38" t="s">
        <v>259</v>
      </c>
    </row>
    <row r="45" spans="1:24" x14ac:dyDescent="0.45">
      <c r="A45" s="38" t="s">
        <v>302</v>
      </c>
      <c r="B45" s="38">
        <v>43</v>
      </c>
      <c r="C45" s="38" t="s">
        <v>258</v>
      </c>
      <c r="D45" s="38">
        <v>43</v>
      </c>
      <c r="E45" s="38">
        <v>44</v>
      </c>
      <c r="F45" s="38">
        <v>43</v>
      </c>
      <c r="G45" s="38">
        <v>47</v>
      </c>
      <c r="H45" s="38">
        <v>2896.2757019999999</v>
      </c>
      <c r="I45" s="38">
        <f t="shared" si="0"/>
        <v>2.8962757020000001</v>
      </c>
      <c r="J45" s="38">
        <v>2458</v>
      </c>
      <c r="K45" s="38">
        <v>2457</v>
      </c>
      <c r="L45" s="38">
        <v>2610</v>
      </c>
      <c r="M45" s="38">
        <v>0.12809599999999999</v>
      </c>
      <c r="N45" s="38">
        <v>0.205378</v>
      </c>
      <c r="O45" s="38">
        <v>807</v>
      </c>
      <c r="P45" s="38">
        <v>436</v>
      </c>
      <c r="Q45" s="38">
        <v>2896.2757019999999</v>
      </c>
      <c r="R45" s="38" t="s">
        <v>120</v>
      </c>
      <c r="S45" s="38" t="s">
        <v>120</v>
      </c>
      <c r="T45" s="38" t="s">
        <v>120</v>
      </c>
      <c r="U45" s="38" t="s">
        <v>120</v>
      </c>
      <c r="V45" s="38" t="s">
        <v>120</v>
      </c>
      <c r="W45" s="38" t="s">
        <v>120</v>
      </c>
      <c r="X45" s="38" t="s">
        <v>259</v>
      </c>
    </row>
    <row r="46" spans="1:24" x14ac:dyDescent="0.45">
      <c r="A46" s="38" t="s">
        <v>303</v>
      </c>
      <c r="B46" s="38">
        <v>48</v>
      </c>
      <c r="C46" s="38" t="s">
        <v>258</v>
      </c>
      <c r="D46" s="38">
        <v>48</v>
      </c>
      <c r="E46" s="38">
        <v>45</v>
      </c>
      <c r="F46" s="38">
        <v>51</v>
      </c>
      <c r="G46" s="38">
        <v>52</v>
      </c>
      <c r="H46" s="38">
        <v>17547.197859</v>
      </c>
      <c r="I46" s="38">
        <f t="shared" si="0"/>
        <v>17.547197859000001</v>
      </c>
      <c r="J46" s="38">
        <v>2463</v>
      </c>
      <c r="K46" s="38">
        <v>2467</v>
      </c>
      <c r="L46" s="38">
        <v>2611</v>
      </c>
      <c r="M46" s="38">
        <v>1.2539999999999999E-3</v>
      </c>
      <c r="N46" s="38">
        <v>9.6231999999999998E-2</v>
      </c>
      <c r="O46" s="38">
        <v>105</v>
      </c>
      <c r="P46" s="38">
        <v>83</v>
      </c>
      <c r="Q46" s="38">
        <v>17547.197859</v>
      </c>
      <c r="R46" s="38" t="s">
        <v>120</v>
      </c>
      <c r="S46" s="38" t="s">
        <v>120</v>
      </c>
      <c r="T46" s="38" t="s">
        <v>120</v>
      </c>
      <c r="U46" s="38" t="s">
        <v>120</v>
      </c>
      <c r="V46" s="38" t="s">
        <v>120</v>
      </c>
      <c r="W46" s="38" t="s">
        <v>120</v>
      </c>
      <c r="X46" s="38" t="s">
        <v>259</v>
      </c>
    </row>
    <row r="47" spans="1:24" x14ac:dyDescent="0.45">
      <c r="A47" s="38" t="s">
        <v>304</v>
      </c>
      <c r="B47" s="38">
        <v>54</v>
      </c>
      <c r="C47" s="38" t="s">
        <v>258</v>
      </c>
      <c r="D47" s="38">
        <v>54</v>
      </c>
      <c r="E47" s="38">
        <v>46</v>
      </c>
      <c r="F47" s="38">
        <v>45</v>
      </c>
      <c r="G47" s="38">
        <v>58</v>
      </c>
      <c r="H47" s="38">
        <v>5513.9348799999998</v>
      </c>
      <c r="I47" s="38">
        <f t="shared" si="0"/>
        <v>5.5139348799999999</v>
      </c>
      <c r="J47" s="38">
        <v>2469</v>
      </c>
      <c r="K47" s="38">
        <v>2472</v>
      </c>
      <c r="L47" s="38">
        <v>2612</v>
      </c>
      <c r="M47" s="38">
        <v>2.6478000000000002E-2</v>
      </c>
      <c r="N47" s="38">
        <v>0.16626199999999999</v>
      </c>
      <c r="O47" s="38">
        <v>358</v>
      </c>
      <c r="P47" s="38">
        <v>212</v>
      </c>
      <c r="Q47" s="38">
        <v>5513.9348799999998</v>
      </c>
      <c r="R47" s="38" t="s">
        <v>120</v>
      </c>
      <c r="S47" s="38" t="s">
        <v>120</v>
      </c>
      <c r="T47" s="38" t="s">
        <v>120</v>
      </c>
      <c r="U47" s="38" t="s">
        <v>120</v>
      </c>
      <c r="V47" s="38" t="s">
        <v>120</v>
      </c>
      <c r="W47" s="38" t="s">
        <v>120</v>
      </c>
      <c r="X47" s="38" t="s">
        <v>259</v>
      </c>
    </row>
    <row r="48" spans="1:24" x14ac:dyDescent="0.45">
      <c r="A48" s="38" t="s">
        <v>305</v>
      </c>
      <c r="B48" s="38">
        <v>42</v>
      </c>
      <c r="C48" s="38" t="s">
        <v>258</v>
      </c>
      <c r="D48" s="38">
        <v>42</v>
      </c>
      <c r="E48" s="38">
        <v>47</v>
      </c>
      <c r="F48" s="38">
        <v>47</v>
      </c>
      <c r="G48" s="38">
        <v>45</v>
      </c>
      <c r="H48" s="38">
        <v>1242.8300859999999</v>
      </c>
      <c r="I48" s="38">
        <f t="shared" si="0"/>
        <v>1.2428300859999999</v>
      </c>
      <c r="J48" s="38">
        <v>2457</v>
      </c>
      <c r="K48" s="38">
        <v>2469</v>
      </c>
      <c r="L48" s="38">
        <v>2613</v>
      </c>
      <c r="M48" s="38">
        <v>6.2759999999999996E-2</v>
      </c>
      <c r="N48" s="38">
        <v>0.238868</v>
      </c>
      <c r="O48" s="38">
        <v>436</v>
      </c>
      <c r="P48" s="38">
        <v>358</v>
      </c>
      <c r="Q48" s="38">
        <v>1242.8300859999999</v>
      </c>
      <c r="R48" s="38" t="s">
        <v>120</v>
      </c>
      <c r="S48" s="38" t="s">
        <v>120</v>
      </c>
      <c r="T48" s="38" t="s">
        <v>120</v>
      </c>
      <c r="U48" s="38" t="s">
        <v>120</v>
      </c>
      <c r="V48" s="38" t="s">
        <v>120</v>
      </c>
      <c r="W48" s="38" t="s">
        <v>120</v>
      </c>
      <c r="X48" s="38" t="s">
        <v>259</v>
      </c>
    </row>
    <row r="49" spans="1:24" x14ac:dyDescent="0.45">
      <c r="A49" s="38" t="s">
        <v>306</v>
      </c>
      <c r="B49" s="38">
        <v>51</v>
      </c>
      <c r="C49" s="38" t="s">
        <v>258</v>
      </c>
      <c r="D49" s="38">
        <v>51</v>
      </c>
      <c r="E49" s="38">
        <v>48</v>
      </c>
      <c r="F49" s="38">
        <v>46</v>
      </c>
      <c r="G49" s="38">
        <v>55</v>
      </c>
      <c r="H49" s="38">
        <v>3958.2683950000001</v>
      </c>
      <c r="I49" s="38">
        <f t="shared" si="0"/>
        <v>3.9582683950000002</v>
      </c>
      <c r="J49" s="38">
        <v>2466</v>
      </c>
      <c r="K49" s="38">
        <v>2465</v>
      </c>
      <c r="L49" s="38">
        <v>2614</v>
      </c>
      <c r="M49" s="38">
        <v>1E-3</v>
      </c>
      <c r="N49" s="38">
        <v>6.6142000000000006E-2</v>
      </c>
      <c r="O49" s="38">
        <v>74</v>
      </c>
      <c r="P49" s="38">
        <v>76</v>
      </c>
      <c r="Q49" s="38">
        <v>3958.2683950000001</v>
      </c>
      <c r="R49" s="38" t="s">
        <v>120</v>
      </c>
      <c r="S49" s="38" t="s">
        <v>120</v>
      </c>
      <c r="T49" s="38" t="s">
        <v>120</v>
      </c>
      <c r="U49" s="38" t="s">
        <v>120</v>
      </c>
      <c r="V49" s="38" t="s">
        <v>120</v>
      </c>
      <c r="W49" s="38" t="s">
        <v>120</v>
      </c>
      <c r="X49" s="38" t="s">
        <v>259</v>
      </c>
    </row>
    <row r="50" spans="1:24" x14ac:dyDescent="0.45">
      <c r="A50" s="38" t="s">
        <v>307</v>
      </c>
      <c r="B50" s="38">
        <v>47</v>
      </c>
      <c r="C50" s="38" t="s">
        <v>258</v>
      </c>
      <c r="D50" s="38">
        <v>47</v>
      </c>
      <c r="E50" s="38">
        <v>49</v>
      </c>
      <c r="F50" s="38">
        <v>48</v>
      </c>
      <c r="G50" s="38">
        <v>47</v>
      </c>
      <c r="H50" s="38">
        <v>6274.6581850000002</v>
      </c>
      <c r="I50" s="38">
        <f t="shared" si="0"/>
        <v>6.2746581849999998</v>
      </c>
      <c r="J50" s="38">
        <v>2462</v>
      </c>
      <c r="K50" s="38">
        <v>2457</v>
      </c>
      <c r="L50" s="38">
        <v>2615</v>
      </c>
      <c r="M50" s="38">
        <v>4.3985999999999997E-2</v>
      </c>
      <c r="N50" s="38">
        <v>0.29125499999999999</v>
      </c>
      <c r="O50" s="38">
        <v>712</v>
      </c>
      <c r="P50" s="38">
        <v>436</v>
      </c>
      <c r="Q50" s="38">
        <v>6274.6581850000002</v>
      </c>
      <c r="R50" s="38" t="s">
        <v>120</v>
      </c>
      <c r="S50" s="38" t="s">
        <v>120</v>
      </c>
      <c r="T50" s="38" t="s">
        <v>120</v>
      </c>
      <c r="U50" s="38" t="s">
        <v>120</v>
      </c>
      <c r="V50" s="38" t="s">
        <v>120</v>
      </c>
      <c r="W50" s="38" t="s">
        <v>120</v>
      </c>
      <c r="X50" s="38" t="s">
        <v>259</v>
      </c>
    </row>
    <row r="51" spans="1:24" x14ac:dyDescent="0.45">
      <c r="A51" s="38" t="s">
        <v>308</v>
      </c>
      <c r="B51" s="38">
        <v>58</v>
      </c>
      <c r="C51" s="38" t="s">
        <v>258</v>
      </c>
      <c r="D51" s="38">
        <v>58</v>
      </c>
      <c r="E51" s="38">
        <v>50</v>
      </c>
      <c r="F51" s="38">
        <v>60</v>
      </c>
      <c r="G51" s="38">
        <v>54</v>
      </c>
      <c r="H51" s="38">
        <v>11236.264421</v>
      </c>
      <c r="I51" s="38">
        <f t="shared" si="0"/>
        <v>11.236264421</v>
      </c>
      <c r="J51" s="38">
        <v>2473</v>
      </c>
      <c r="K51" s="38">
        <v>2464</v>
      </c>
      <c r="L51" s="38">
        <v>2616</v>
      </c>
      <c r="M51" s="38">
        <v>2.0470000000000002E-3</v>
      </c>
      <c r="N51" s="38">
        <v>7.0580000000000004E-2</v>
      </c>
      <c r="O51" s="38">
        <v>102</v>
      </c>
      <c r="P51" s="38">
        <v>79</v>
      </c>
      <c r="Q51" s="38">
        <v>11236.264421</v>
      </c>
      <c r="R51" s="38" t="s">
        <v>120</v>
      </c>
      <c r="S51" s="38" t="s">
        <v>120</v>
      </c>
      <c r="T51" s="38" t="s">
        <v>120</v>
      </c>
      <c r="U51" s="38" t="s">
        <v>120</v>
      </c>
      <c r="V51" s="38" t="s">
        <v>120</v>
      </c>
      <c r="W51" s="38" t="s">
        <v>120</v>
      </c>
      <c r="X51" s="38" t="s">
        <v>259</v>
      </c>
    </row>
    <row r="52" spans="1:24" x14ac:dyDescent="0.45">
      <c r="A52" s="38" t="s">
        <v>309</v>
      </c>
      <c r="B52" s="38">
        <v>46</v>
      </c>
      <c r="C52" s="38" t="s">
        <v>258</v>
      </c>
      <c r="D52" s="38">
        <v>46</v>
      </c>
      <c r="E52" s="38">
        <v>51</v>
      </c>
      <c r="F52" s="38">
        <v>49</v>
      </c>
      <c r="G52" s="38">
        <v>50</v>
      </c>
      <c r="H52" s="38">
        <v>3105.2985189999999</v>
      </c>
      <c r="I52" s="38">
        <f t="shared" si="0"/>
        <v>3.1052985189999998</v>
      </c>
      <c r="J52" s="38">
        <v>2461</v>
      </c>
      <c r="K52" s="38">
        <v>2460</v>
      </c>
      <c r="L52" s="38">
        <v>2617</v>
      </c>
      <c r="M52" s="38">
        <v>9.3066999999999997E-2</v>
      </c>
      <c r="N52" s="38">
        <v>0.204487</v>
      </c>
      <c r="O52" s="38">
        <v>1088</v>
      </c>
      <c r="P52" s="38">
        <v>799</v>
      </c>
      <c r="Q52" s="38">
        <v>3105.2985189999999</v>
      </c>
      <c r="R52" s="38" t="s">
        <v>120</v>
      </c>
      <c r="S52" s="38" t="s">
        <v>120</v>
      </c>
      <c r="T52" s="38" t="s">
        <v>120</v>
      </c>
      <c r="U52" s="38" t="s">
        <v>120</v>
      </c>
      <c r="V52" s="38" t="s">
        <v>120</v>
      </c>
      <c r="W52" s="38" t="s">
        <v>120</v>
      </c>
      <c r="X52" s="38" t="s">
        <v>259</v>
      </c>
    </row>
    <row r="53" spans="1:24" x14ac:dyDescent="0.45">
      <c r="A53" s="38" t="s">
        <v>310</v>
      </c>
      <c r="B53" s="38">
        <v>55</v>
      </c>
      <c r="C53" s="38" t="s">
        <v>258</v>
      </c>
      <c r="D53" s="38">
        <v>55</v>
      </c>
      <c r="E53" s="38">
        <v>52</v>
      </c>
      <c r="F53" s="38">
        <v>53</v>
      </c>
      <c r="G53" s="38">
        <v>56</v>
      </c>
      <c r="H53" s="38">
        <v>9379.5571720000007</v>
      </c>
      <c r="I53" s="38">
        <f t="shared" si="0"/>
        <v>9.3795571720000002</v>
      </c>
      <c r="J53" s="38">
        <v>2470</v>
      </c>
      <c r="K53" s="38">
        <v>2476</v>
      </c>
      <c r="L53" s="38">
        <v>2618</v>
      </c>
      <c r="M53" s="38">
        <v>6.4000000000000005E-4</v>
      </c>
      <c r="N53" s="38">
        <v>7.8312000000000007E-2</v>
      </c>
      <c r="O53" s="38">
        <v>70</v>
      </c>
      <c r="P53" s="38">
        <v>64</v>
      </c>
      <c r="Q53" s="38">
        <v>9379.5571720000007</v>
      </c>
      <c r="R53" s="38" t="s">
        <v>120</v>
      </c>
      <c r="S53" s="38" t="s">
        <v>120</v>
      </c>
      <c r="T53" s="38" t="s">
        <v>120</v>
      </c>
      <c r="U53" s="38" t="s">
        <v>120</v>
      </c>
      <c r="V53" s="38" t="s">
        <v>120</v>
      </c>
      <c r="W53" s="38" t="s">
        <v>120</v>
      </c>
      <c r="X53" s="38" t="s">
        <v>259</v>
      </c>
    </row>
    <row r="54" spans="1:24" x14ac:dyDescent="0.45">
      <c r="A54" s="38" t="s">
        <v>311</v>
      </c>
      <c r="B54" s="38">
        <v>45</v>
      </c>
      <c r="C54" s="38" t="s">
        <v>258</v>
      </c>
      <c r="D54" s="38">
        <v>45</v>
      </c>
      <c r="E54" s="38">
        <v>53</v>
      </c>
      <c r="F54" s="38">
        <v>50</v>
      </c>
      <c r="G54" s="38">
        <v>48</v>
      </c>
      <c r="H54" s="38">
        <v>1548.528137</v>
      </c>
      <c r="I54" s="38">
        <f t="shared" si="0"/>
        <v>1.5485281369999999</v>
      </c>
      <c r="J54" s="38">
        <v>2460</v>
      </c>
      <c r="K54" s="38">
        <v>2462</v>
      </c>
      <c r="L54" s="38">
        <v>2619</v>
      </c>
      <c r="M54" s="38">
        <v>5.6182000000000003E-2</v>
      </c>
      <c r="N54" s="38">
        <v>0.18715100000000001</v>
      </c>
      <c r="O54" s="38">
        <v>799</v>
      </c>
      <c r="P54" s="38">
        <v>712</v>
      </c>
      <c r="Q54" s="38">
        <v>1548.528137</v>
      </c>
      <c r="R54" s="38" t="s">
        <v>120</v>
      </c>
      <c r="S54" s="38" t="s">
        <v>120</v>
      </c>
      <c r="T54" s="38" t="s">
        <v>120</v>
      </c>
      <c r="U54" s="38" t="s">
        <v>120</v>
      </c>
      <c r="V54" s="38" t="s">
        <v>120</v>
      </c>
      <c r="W54" s="38" t="s">
        <v>120</v>
      </c>
      <c r="X54" s="38" t="s">
        <v>259</v>
      </c>
    </row>
    <row r="55" spans="1:24" x14ac:dyDescent="0.45">
      <c r="A55" s="38" t="s">
        <v>312</v>
      </c>
      <c r="B55" s="38">
        <v>53</v>
      </c>
      <c r="C55" s="38" t="s">
        <v>258</v>
      </c>
      <c r="D55" s="38">
        <v>53</v>
      </c>
      <c r="E55" s="38">
        <v>54</v>
      </c>
      <c r="F55" s="38">
        <v>57</v>
      </c>
      <c r="G55" s="38">
        <v>51</v>
      </c>
      <c r="H55" s="38">
        <v>1550.9329889999999</v>
      </c>
      <c r="I55" s="38">
        <f t="shared" si="0"/>
        <v>1.5509329889999999</v>
      </c>
      <c r="J55" s="38">
        <v>2468</v>
      </c>
      <c r="K55" s="38">
        <v>2463</v>
      </c>
      <c r="L55" s="38">
        <v>2620</v>
      </c>
      <c r="M55" s="38">
        <v>3.2239999999999999E-3</v>
      </c>
      <c r="N55" s="38">
        <v>7.0733000000000004E-2</v>
      </c>
      <c r="O55" s="38">
        <v>110</v>
      </c>
      <c r="P55" s="38">
        <v>105</v>
      </c>
      <c r="Q55" s="38">
        <v>1550.9329889999999</v>
      </c>
      <c r="R55" s="38" t="s">
        <v>120</v>
      </c>
      <c r="S55" s="38" t="s">
        <v>120</v>
      </c>
      <c r="T55" s="38" t="s">
        <v>120</v>
      </c>
      <c r="U55" s="38" t="s">
        <v>120</v>
      </c>
      <c r="V55" s="38" t="s">
        <v>120</v>
      </c>
      <c r="W55" s="38" t="s">
        <v>120</v>
      </c>
      <c r="X55" s="38" t="s">
        <v>259</v>
      </c>
    </row>
    <row r="56" spans="1:24" x14ac:dyDescent="0.45">
      <c r="A56" s="38" t="s">
        <v>313</v>
      </c>
      <c r="B56" s="38">
        <v>52</v>
      </c>
      <c r="C56" s="38" t="s">
        <v>258</v>
      </c>
      <c r="D56" s="38">
        <v>52</v>
      </c>
      <c r="E56" s="38">
        <v>55</v>
      </c>
      <c r="F56" s="38">
        <v>52</v>
      </c>
      <c r="G56" s="38">
        <v>55</v>
      </c>
      <c r="H56" s="38">
        <v>4660.2290730000004</v>
      </c>
      <c r="I56" s="38">
        <f t="shared" si="0"/>
        <v>4.660229073</v>
      </c>
      <c r="J56" s="38">
        <v>2467</v>
      </c>
      <c r="K56" s="38">
        <v>2465</v>
      </c>
      <c r="L56" s="38">
        <v>2621</v>
      </c>
      <c r="M56" s="38">
        <v>1.5020000000000001E-3</v>
      </c>
      <c r="N56" s="38">
        <v>9.3675999999999995E-2</v>
      </c>
      <c r="O56" s="38">
        <v>83</v>
      </c>
      <c r="P56" s="38">
        <v>76</v>
      </c>
      <c r="Q56" s="38">
        <v>4660.2290730000004</v>
      </c>
      <c r="R56" s="38" t="s">
        <v>120</v>
      </c>
      <c r="S56" s="38" t="s">
        <v>120</v>
      </c>
      <c r="T56" s="38" t="s">
        <v>120</v>
      </c>
      <c r="U56" s="38" t="s">
        <v>120</v>
      </c>
      <c r="V56" s="38" t="s">
        <v>120</v>
      </c>
      <c r="W56" s="38" t="s">
        <v>120</v>
      </c>
      <c r="X56" s="38" t="s">
        <v>259</v>
      </c>
    </row>
    <row r="57" spans="1:24" x14ac:dyDescent="0.45">
      <c r="A57" s="38" t="s">
        <v>314</v>
      </c>
      <c r="B57" s="38">
        <v>49</v>
      </c>
      <c r="C57" s="38" t="s">
        <v>258</v>
      </c>
      <c r="D57" s="38">
        <v>49</v>
      </c>
      <c r="E57" s="38">
        <v>56</v>
      </c>
      <c r="F57" s="38">
        <v>54</v>
      </c>
      <c r="G57" s="38">
        <v>52</v>
      </c>
      <c r="H57" s="38">
        <v>1048.0077550000001</v>
      </c>
      <c r="I57" s="38">
        <f t="shared" si="0"/>
        <v>1.048007755</v>
      </c>
      <c r="J57" s="38">
        <v>2464</v>
      </c>
      <c r="K57" s="38">
        <v>2467</v>
      </c>
      <c r="L57" s="38">
        <v>2622</v>
      </c>
      <c r="M57" s="38">
        <v>1E-3</v>
      </c>
      <c r="N57" s="38">
        <v>9.6690999999999999E-2</v>
      </c>
      <c r="O57" s="38">
        <v>79</v>
      </c>
      <c r="P57" s="38">
        <v>83</v>
      </c>
      <c r="Q57" s="38">
        <v>1048.0077550000001</v>
      </c>
      <c r="R57" s="38" t="s">
        <v>120</v>
      </c>
      <c r="S57" s="38" t="s">
        <v>120</v>
      </c>
      <c r="T57" s="38" t="s">
        <v>120</v>
      </c>
      <c r="U57" s="38" t="s">
        <v>120</v>
      </c>
      <c r="V57" s="38" t="s">
        <v>120</v>
      </c>
      <c r="W57" s="38" t="s">
        <v>120</v>
      </c>
      <c r="X57" s="38" t="s">
        <v>259</v>
      </c>
    </row>
    <row r="58" spans="1:24" x14ac:dyDescent="0.45">
      <c r="A58" s="38" t="s">
        <v>315</v>
      </c>
      <c r="B58" s="38">
        <v>50</v>
      </c>
      <c r="C58" s="38" t="s">
        <v>258</v>
      </c>
      <c r="D58" s="38">
        <v>50</v>
      </c>
      <c r="E58" s="38">
        <v>57</v>
      </c>
      <c r="F58" s="38">
        <v>55</v>
      </c>
      <c r="G58" s="38">
        <v>53</v>
      </c>
      <c r="H58" s="38">
        <v>1846.0155110000001</v>
      </c>
      <c r="I58" s="38">
        <f t="shared" si="0"/>
        <v>1.8460155110000001</v>
      </c>
      <c r="J58" s="38">
        <v>2465</v>
      </c>
      <c r="K58" s="38">
        <v>2470</v>
      </c>
      <c r="L58" s="38">
        <v>2623</v>
      </c>
      <c r="M58" s="38">
        <v>3.2499999999999999E-3</v>
      </c>
      <c r="N58" s="38">
        <v>8.9329000000000006E-2</v>
      </c>
      <c r="O58" s="38">
        <v>76</v>
      </c>
      <c r="P58" s="38">
        <v>70</v>
      </c>
      <c r="Q58" s="38">
        <v>1846.0155110000001</v>
      </c>
      <c r="R58" s="38" t="s">
        <v>120</v>
      </c>
      <c r="S58" s="38" t="s">
        <v>120</v>
      </c>
      <c r="T58" s="38" t="s">
        <v>120</v>
      </c>
      <c r="U58" s="38" t="s">
        <v>120</v>
      </c>
      <c r="V58" s="38" t="s">
        <v>120</v>
      </c>
      <c r="W58" s="38" t="s">
        <v>120</v>
      </c>
      <c r="X58" s="38" t="s">
        <v>259</v>
      </c>
    </row>
    <row r="59" spans="1:24" x14ac:dyDescent="0.45">
      <c r="A59" s="38" t="s">
        <v>316</v>
      </c>
      <c r="B59" s="38">
        <v>68</v>
      </c>
      <c r="C59" s="38" t="s">
        <v>258</v>
      </c>
      <c r="D59" s="38">
        <v>68</v>
      </c>
      <c r="E59" s="38">
        <v>58</v>
      </c>
      <c r="F59" s="38">
        <v>71</v>
      </c>
      <c r="G59" s="38">
        <v>53</v>
      </c>
      <c r="H59" s="38">
        <v>8976.6319380000004</v>
      </c>
      <c r="I59" s="38">
        <f t="shared" si="0"/>
        <v>8.9766319380000006</v>
      </c>
      <c r="J59" s="38">
        <v>2483</v>
      </c>
      <c r="K59" s="38">
        <v>2470</v>
      </c>
      <c r="L59" s="38">
        <v>2624</v>
      </c>
      <c r="M59" s="38">
        <v>6.6799999999999997E-4</v>
      </c>
      <c r="N59" s="38">
        <v>8.5098999999999994E-2</v>
      </c>
      <c r="O59" s="38">
        <v>76</v>
      </c>
      <c r="P59" s="38">
        <v>70</v>
      </c>
      <c r="Q59" s="38">
        <v>8976.6319380000004</v>
      </c>
      <c r="R59" s="38" t="s">
        <v>120</v>
      </c>
      <c r="S59" s="38" t="s">
        <v>120</v>
      </c>
      <c r="T59" s="38" t="s">
        <v>120</v>
      </c>
      <c r="U59" s="38" t="s">
        <v>120</v>
      </c>
      <c r="V59" s="38" t="s">
        <v>120</v>
      </c>
      <c r="W59" s="38" t="s">
        <v>120</v>
      </c>
      <c r="X59" s="38" t="s">
        <v>259</v>
      </c>
    </row>
    <row r="60" spans="1:24" x14ac:dyDescent="0.45">
      <c r="A60" s="38" t="s">
        <v>317</v>
      </c>
      <c r="B60" s="38">
        <v>61</v>
      </c>
      <c r="C60" s="38" t="s">
        <v>258</v>
      </c>
      <c r="D60" s="38">
        <v>61</v>
      </c>
      <c r="E60" s="38">
        <v>59</v>
      </c>
      <c r="F60" s="38">
        <v>56</v>
      </c>
      <c r="G60" s="38">
        <v>63</v>
      </c>
      <c r="H60" s="38">
        <v>6573.0339059999997</v>
      </c>
      <c r="I60" s="38">
        <f t="shared" si="0"/>
        <v>6.573033906</v>
      </c>
      <c r="J60" s="38">
        <v>2476</v>
      </c>
      <c r="K60" s="38">
        <v>2484</v>
      </c>
      <c r="L60" s="38">
        <v>2625</v>
      </c>
      <c r="M60" s="38">
        <v>1.065E-3</v>
      </c>
      <c r="N60" s="38">
        <v>8.1678000000000001E-2</v>
      </c>
      <c r="O60" s="38">
        <v>64</v>
      </c>
      <c r="P60" s="38">
        <v>57</v>
      </c>
      <c r="Q60" s="38">
        <v>6573.0339059999997</v>
      </c>
      <c r="R60" s="38" t="s">
        <v>120</v>
      </c>
      <c r="S60" s="38" t="s">
        <v>120</v>
      </c>
      <c r="T60" s="38" t="s">
        <v>120</v>
      </c>
      <c r="U60" s="38" t="s">
        <v>120</v>
      </c>
      <c r="V60" s="38" t="s">
        <v>120</v>
      </c>
      <c r="W60" s="38" t="s">
        <v>120</v>
      </c>
      <c r="X60" s="38" t="s">
        <v>259</v>
      </c>
    </row>
    <row r="61" spans="1:24" x14ac:dyDescent="0.45">
      <c r="A61" s="38" t="s">
        <v>318</v>
      </c>
      <c r="B61" s="38">
        <v>57</v>
      </c>
      <c r="C61" s="38" t="s">
        <v>258</v>
      </c>
      <c r="D61" s="38">
        <v>57</v>
      </c>
      <c r="E61" s="38">
        <v>60</v>
      </c>
      <c r="F61" s="38">
        <v>58</v>
      </c>
      <c r="G61" s="38">
        <v>59</v>
      </c>
      <c r="H61" s="38">
        <v>4052.2339440000001</v>
      </c>
      <c r="I61" s="38">
        <f t="shared" si="0"/>
        <v>4.0522339440000001</v>
      </c>
      <c r="J61" s="38">
        <v>2472</v>
      </c>
      <c r="K61" s="38">
        <v>2481</v>
      </c>
      <c r="L61" s="38">
        <v>2626</v>
      </c>
      <c r="M61" s="38">
        <v>1.3820000000000001E-2</v>
      </c>
      <c r="N61" s="38">
        <v>0.116744</v>
      </c>
      <c r="O61" s="38">
        <v>212</v>
      </c>
      <c r="P61" s="38">
        <v>156</v>
      </c>
      <c r="Q61" s="38">
        <v>4052.2339440000001</v>
      </c>
      <c r="R61" s="38" t="s">
        <v>120</v>
      </c>
      <c r="S61" s="38" t="s">
        <v>120</v>
      </c>
      <c r="T61" s="38" t="s">
        <v>120</v>
      </c>
      <c r="U61" s="38" t="s">
        <v>120</v>
      </c>
      <c r="V61" s="38" t="s">
        <v>120</v>
      </c>
      <c r="W61" s="38" t="s">
        <v>120</v>
      </c>
      <c r="X61" s="38" t="s">
        <v>259</v>
      </c>
    </row>
    <row r="62" spans="1:24" x14ac:dyDescent="0.45">
      <c r="A62" s="38" t="s">
        <v>319</v>
      </c>
      <c r="B62" s="38">
        <v>66</v>
      </c>
      <c r="C62" s="38" t="s">
        <v>258</v>
      </c>
      <c r="D62" s="38">
        <v>66</v>
      </c>
      <c r="E62" s="38">
        <v>61</v>
      </c>
      <c r="F62" s="38">
        <v>59</v>
      </c>
      <c r="G62" s="38">
        <v>70</v>
      </c>
      <c r="H62" s="38">
        <v>4695.5844120000002</v>
      </c>
      <c r="I62" s="38">
        <f t="shared" si="0"/>
        <v>4.6955844120000005</v>
      </c>
      <c r="J62" s="38">
        <v>2481</v>
      </c>
      <c r="K62" s="38">
        <v>2480</v>
      </c>
      <c r="L62" s="38">
        <v>2627</v>
      </c>
      <c r="M62" s="38">
        <v>6.3889999999999997E-3</v>
      </c>
      <c r="N62" s="38">
        <v>0.118533</v>
      </c>
      <c r="O62" s="38">
        <v>156</v>
      </c>
      <c r="P62" s="38">
        <v>126</v>
      </c>
      <c r="Q62" s="38">
        <v>4695.5844120000002</v>
      </c>
      <c r="R62" s="38" t="s">
        <v>120</v>
      </c>
      <c r="S62" s="38" t="s">
        <v>120</v>
      </c>
      <c r="T62" s="38" t="s">
        <v>120</v>
      </c>
      <c r="U62" s="38" t="s">
        <v>120</v>
      </c>
      <c r="V62" s="38" t="s">
        <v>120</v>
      </c>
      <c r="W62" s="38" t="s">
        <v>120</v>
      </c>
      <c r="X62" s="38" t="s">
        <v>259</v>
      </c>
    </row>
    <row r="63" spans="1:24" x14ac:dyDescent="0.45">
      <c r="A63" s="38" t="s">
        <v>320</v>
      </c>
      <c r="B63" s="38">
        <v>60</v>
      </c>
      <c r="C63" s="38" t="s">
        <v>258</v>
      </c>
      <c r="D63" s="38">
        <v>60</v>
      </c>
      <c r="E63" s="38">
        <v>62</v>
      </c>
      <c r="F63" s="38">
        <v>62</v>
      </c>
      <c r="G63" s="38">
        <v>56</v>
      </c>
      <c r="H63" s="38">
        <v>5452.6911929999997</v>
      </c>
      <c r="I63" s="38">
        <f t="shared" si="0"/>
        <v>5.4526911929999997</v>
      </c>
      <c r="J63" s="38">
        <v>2475</v>
      </c>
      <c r="K63" s="38">
        <v>2476</v>
      </c>
      <c r="L63" s="38">
        <v>2628</v>
      </c>
      <c r="M63" s="38">
        <v>1.284E-3</v>
      </c>
      <c r="N63" s="38">
        <v>7.8713000000000005E-2</v>
      </c>
      <c r="O63" s="38">
        <v>71</v>
      </c>
      <c r="P63" s="38">
        <v>64</v>
      </c>
      <c r="Q63" s="38">
        <v>5452.6911929999997</v>
      </c>
      <c r="R63" s="38" t="s">
        <v>120</v>
      </c>
      <c r="S63" s="38" t="s">
        <v>120</v>
      </c>
      <c r="T63" s="38" t="s">
        <v>120</v>
      </c>
      <c r="U63" s="38" t="s">
        <v>120</v>
      </c>
      <c r="V63" s="38" t="s">
        <v>120</v>
      </c>
      <c r="W63" s="38" t="s">
        <v>120</v>
      </c>
      <c r="X63" s="38" t="s">
        <v>259</v>
      </c>
    </row>
    <row r="64" spans="1:24" x14ac:dyDescent="0.45">
      <c r="A64" s="38" t="s">
        <v>321</v>
      </c>
      <c r="B64" s="38">
        <v>70</v>
      </c>
      <c r="C64" s="38" t="s">
        <v>258</v>
      </c>
      <c r="D64" s="38">
        <v>70</v>
      </c>
      <c r="E64" s="38">
        <v>63</v>
      </c>
      <c r="F64" s="38">
        <v>74</v>
      </c>
      <c r="G64" s="38">
        <v>58</v>
      </c>
      <c r="H64" s="38">
        <v>12618.618318000001</v>
      </c>
      <c r="I64" s="38">
        <f t="shared" si="0"/>
        <v>12.618618318000001</v>
      </c>
      <c r="J64" s="38">
        <v>2485</v>
      </c>
      <c r="K64" s="38">
        <v>2472</v>
      </c>
      <c r="L64" s="38">
        <v>2629</v>
      </c>
      <c r="M64" s="38">
        <v>3.7801000000000001E-2</v>
      </c>
      <c r="N64" s="38">
        <v>0.19721</v>
      </c>
      <c r="O64" s="38">
        <v>689</v>
      </c>
      <c r="P64" s="38">
        <v>212</v>
      </c>
      <c r="Q64" s="38">
        <v>12618.618318000001</v>
      </c>
      <c r="R64" s="38" t="s">
        <v>120</v>
      </c>
      <c r="S64" s="38" t="s">
        <v>120</v>
      </c>
      <c r="T64" s="38" t="s">
        <v>120</v>
      </c>
      <c r="U64" s="38" t="s">
        <v>120</v>
      </c>
      <c r="V64" s="38" t="s">
        <v>120</v>
      </c>
      <c r="W64" s="38" t="s">
        <v>120</v>
      </c>
      <c r="X64" s="38" t="s">
        <v>259</v>
      </c>
    </row>
    <row r="65" spans="1:24" x14ac:dyDescent="0.45">
      <c r="A65" s="38" t="s">
        <v>322</v>
      </c>
      <c r="B65" s="38">
        <v>62</v>
      </c>
      <c r="C65" s="38" t="s">
        <v>258</v>
      </c>
      <c r="D65" s="38">
        <v>62</v>
      </c>
      <c r="E65" s="38">
        <v>64</v>
      </c>
      <c r="F65" s="38">
        <v>64</v>
      </c>
      <c r="G65" s="38">
        <v>62</v>
      </c>
      <c r="H65" s="38">
        <v>6357.8688629999997</v>
      </c>
      <c r="I65" s="38">
        <f t="shared" si="0"/>
        <v>6.3578688629999993</v>
      </c>
      <c r="J65" s="38">
        <v>2477</v>
      </c>
      <c r="K65" s="38">
        <v>2475</v>
      </c>
      <c r="L65" s="38">
        <v>2630</v>
      </c>
      <c r="M65" s="38">
        <v>4.7199999999999998E-4</v>
      </c>
      <c r="N65" s="38">
        <v>7.392E-2</v>
      </c>
      <c r="O65" s="38">
        <v>74</v>
      </c>
      <c r="P65" s="38">
        <v>71</v>
      </c>
      <c r="Q65" s="38">
        <v>6357.8688629999997</v>
      </c>
      <c r="R65" s="38" t="s">
        <v>120</v>
      </c>
      <c r="S65" s="38" t="s">
        <v>120</v>
      </c>
      <c r="T65" s="38" t="s">
        <v>120</v>
      </c>
      <c r="U65" s="38" t="s">
        <v>120</v>
      </c>
      <c r="V65" s="38" t="s">
        <v>120</v>
      </c>
      <c r="W65" s="38" t="s">
        <v>120</v>
      </c>
      <c r="X65" s="38" t="s">
        <v>259</v>
      </c>
    </row>
    <row r="66" spans="1:24" x14ac:dyDescent="0.45">
      <c r="A66" s="38" t="s">
        <v>323</v>
      </c>
      <c r="B66" s="38">
        <v>59</v>
      </c>
      <c r="C66" s="38" t="s">
        <v>258</v>
      </c>
      <c r="D66" s="38">
        <v>59</v>
      </c>
      <c r="E66" s="38">
        <v>65</v>
      </c>
      <c r="F66" s="38">
        <v>61</v>
      </c>
      <c r="G66" s="38">
        <v>50</v>
      </c>
      <c r="H66" s="38">
        <v>3759.8926740000002</v>
      </c>
      <c r="I66" s="38">
        <f t="shared" si="0"/>
        <v>3.759892674</v>
      </c>
      <c r="J66" s="38">
        <v>2474</v>
      </c>
      <c r="K66" s="38">
        <v>2460</v>
      </c>
      <c r="L66" s="38">
        <v>2631</v>
      </c>
      <c r="M66" s="38">
        <v>0.123142</v>
      </c>
      <c r="N66" s="38">
        <v>0.27724799999999999</v>
      </c>
      <c r="O66" s="38">
        <v>1262</v>
      </c>
      <c r="P66" s="38">
        <v>799</v>
      </c>
      <c r="Q66" s="38">
        <v>3759.8926740000002</v>
      </c>
      <c r="R66" s="38" t="s">
        <v>120</v>
      </c>
      <c r="S66" s="38" t="s">
        <v>120</v>
      </c>
      <c r="T66" s="38" t="s">
        <v>120</v>
      </c>
      <c r="U66" s="38" t="s">
        <v>120</v>
      </c>
      <c r="V66" s="38" t="s">
        <v>120</v>
      </c>
      <c r="W66" s="38" t="s">
        <v>120</v>
      </c>
      <c r="X66" s="38" t="s">
        <v>259</v>
      </c>
    </row>
    <row r="67" spans="1:24" x14ac:dyDescent="0.45">
      <c r="A67" s="38" t="s">
        <v>324</v>
      </c>
      <c r="B67" s="38">
        <v>73</v>
      </c>
      <c r="C67" s="38" t="s">
        <v>258</v>
      </c>
      <c r="D67" s="38">
        <v>73</v>
      </c>
      <c r="E67" s="38">
        <v>66</v>
      </c>
      <c r="F67" s="38">
        <v>72</v>
      </c>
      <c r="G67" s="38">
        <v>54</v>
      </c>
      <c r="H67" s="38">
        <v>15791.683790999999</v>
      </c>
      <c r="I67" s="38">
        <f t="shared" ref="I67:I130" si="1">H67/1000</f>
        <v>15.791683790999999</v>
      </c>
      <c r="J67" s="38">
        <v>2488</v>
      </c>
      <c r="K67" s="38">
        <v>2464</v>
      </c>
      <c r="L67" s="38">
        <v>2632</v>
      </c>
      <c r="M67" s="38">
        <v>2.5959999999999998E-3</v>
      </c>
      <c r="N67" s="38">
        <v>7.5077000000000005E-2</v>
      </c>
      <c r="O67" s="38">
        <v>120</v>
      </c>
      <c r="P67" s="38">
        <v>79</v>
      </c>
      <c r="Q67" s="38">
        <v>15791.683790999999</v>
      </c>
      <c r="R67" s="38" t="s">
        <v>120</v>
      </c>
      <c r="S67" s="38" t="s">
        <v>120</v>
      </c>
      <c r="T67" s="38" t="s">
        <v>120</v>
      </c>
      <c r="U67" s="38" t="s">
        <v>120</v>
      </c>
      <c r="V67" s="38" t="s">
        <v>120</v>
      </c>
      <c r="W67" s="38" t="s">
        <v>120</v>
      </c>
      <c r="X67" s="38" t="s">
        <v>259</v>
      </c>
    </row>
    <row r="68" spans="1:24" x14ac:dyDescent="0.45">
      <c r="A68" s="38" t="s">
        <v>325</v>
      </c>
      <c r="B68" s="38">
        <v>76</v>
      </c>
      <c r="C68" s="38" t="s">
        <v>258</v>
      </c>
      <c r="D68" s="38">
        <v>76</v>
      </c>
      <c r="E68" s="38">
        <v>67</v>
      </c>
      <c r="F68" s="38">
        <v>77</v>
      </c>
      <c r="G68" s="38">
        <v>62</v>
      </c>
      <c r="H68" s="38">
        <v>3727.9383090000001</v>
      </c>
      <c r="I68" s="38">
        <f t="shared" si="1"/>
        <v>3.7279383090000002</v>
      </c>
      <c r="J68" s="38">
        <v>2491</v>
      </c>
      <c r="K68" s="38">
        <v>2475</v>
      </c>
      <c r="L68" s="38">
        <v>2633</v>
      </c>
      <c r="M68" s="38">
        <v>1E-3</v>
      </c>
      <c r="N68" s="38">
        <v>5.9790999999999997E-2</v>
      </c>
      <c r="O68" s="38">
        <v>68</v>
      </c>
      <c r="P68" s="38">
        <v>71</v>
      </c>
      <c r="Q68" s="38">
        <v>3727.9383090000001</v>
      </c>
      <c r="R68" s="38" t="s">
        <v>120</v>
      </c>
      <c r="S68" s="38" t="s">
        <v>120</v>
      </c>
      <c r="T68" s="38" t="s">
        <v>120</v>
      </c>
      <c r="U68" s="38" t="s">
        <v>120</v>
      </c>
      <c r="V68" s="38" t="s">
        <v>120</v>
      </c>
      <c r="W68" s="38" t="s">
        <v>120</v>
      </c>
      <c r="X68" s="38" t="s">
        <v>259</v>
      </c>
    </row>
    <row r="69" spans="1:24" x14ac:dyDescent="0.45">
      <c r="A69" s="38" t="s">
        <v>326</v>
      </c>
      <c r="B69" s="38">
        <v>69</v>
      </c>
      <c r="C69" s="38" t="s">
        <v>258</v>
      </c>
      <c r="D69" s="38">
        <v>69</v>
      </c>
      <c r="E69" s="38">
        <v>68</v>
      </c>
      <c r="F69" s="38">
        <v>63</v>
      </c>
      <c r="G69" s="38">
        <v>73</v>
      </c>
      <c r="H69" s="38">
        <v>3420.7999620000001</v>
      </c>
      <c r="I69" s="38">
        <f t="shared" si="1"/>
        <v>3.4207999620000002</v>
      </c>
      <c r="J69" s="38">
        <v>2484</v>
      </c>
      <c r="K69" s="38">
        <v>2721</v>
      </c>
      <c r="L69" s="38">
        <v>2634</v>
      </c>
      <c r="M69" s="38">
        <v>8.7699999999999996E-4</v>
      </c>
      <c r="N69" s="38">
        <v>8.2319000000000003E-2</v>
      </c>
      <c r="O69" s="38">
        <v>57</v>
      </c>
      <c r="P69" s="38">
        <v>54</v>
      </c>
      <c r="Q69" s="38">
        <v>3420.7999620000001</v>
      </c>
      <c r="R69" s="38" t="s">
        <v>120</v>
      </c>
      <c r="S69" s="38" t="s">
        <v>120</v>
      </c>
      <c r="T69" s="38" t="s">
        <v>120</v>
      </c>
      <c r="U69" s="38" t="s">
        <v>120</v>
      </c>
      <c r="V69" s="38" t="s">
        <v>120</v>
      </c>
      <c r="W69" s="38" t="s">
        <v>120</v>
      </c>
      <c r="X69" s="38" t="s">
        <v>259</v>
      </c>
    </row>
    <row r="70" spans="1:24" x14ac:dyDescent="0.45">
      <c r="A70" s="38" t="s">
        <v>327</v>
      </c>
      <c r="B70" s="38">
        <v>63</v>
      </c>
      <c r="C70" s="38" t="s">
        <v>258</v>
      </c>
      <c r="D70" s="38">
        <v>63</v>
      </c>
      <c r="E70" s="38">
        <v>69</v>
      </c>
      <c r="F70" s="38">
        <v>65</v>
      </c>
      <c r="G70" s="38">
        <v>63</v>
      </c>
      <c r="H70" s="38">
        <v>1374.2640690000001</v>
      </c>
      <c r="I70" s="38">
        <f t="shared" si="1"/>
        <v>1.3742640690000001</v>
      </c>
      <c r="J70" s="38">
        <v>2478</v>
      </c>
      <c r="K70" s="38">
        <v>2484</v>
      </c>
      <c r="L70" s="38">
        <v>2635</v>
      </c>
      <c r="M70" s="38">
        <v>2.911E-3</v>
      </c>
      <c r="N70" s="38">
        <v>5.7045999999999999E-2</v>
      </c>
      <c r="O70" s="38">
        <v>61</v>
      </c>
      <c r="P70" s="38">
        <v>57</v>
      </c>
      <c r="Q70" s="38">
        <v>1374.2640690000001</v>
      </c>
      <c r="R70" s="38" t="s">
        <v>120</v>
      </c>
      <c r="S70" s="38" t="s">
        <v>120</v>
      </c>
      <c r="T70" s="38" t="s">
        <v>120</v>
      </c>
      <c r="U70" s="38" t="s">
        <v>120</v>
      </c>
      <c r="V70" s="38" t="s">
        <v>120</v>
      </c>
      <c r="W70" s="38" t="s">
        <v>120</v>
      </c>
      <c r="X70" s="38" t="s">
        <v>259</v>
      </c>
    </row>
    <row r="71" spans="1:24" x14ac:dyDescent="0.45">
      <c r="A71" s="38" t="s">
        <v>328</v>
      </c>
      <c r="B71" s="38">
        <v>91</v>
      </c>
      <c r="C71" s="38" t="s">
        <v>258</v>
      </c>
      <c r="D71" s="38">
        <v>91</v>
      </c>
      <c r="E71" s="38">
        <v>70</v>
      </c>
      <c r="F71" s="38">
        <v>93</v>
      </c>
      <c r="G71" s="38">
        <v>65</v>
      </c>
      <c r="H71" s="38">
        <v>8872.8629980000005</v>
      </c>
      <c r="I71" s="38">
        <f t="shared" si="1"/>
        <v>8.8728629980000004</v>
      </c>
      <c r="J71" s="38">
        <v>2506</v>
      </c>
      <c r="K71" s="38">
        <v>2478</v>
      </c>
      <c r="L71" s="38">
        <v>2636</v>
      </c>
      <c r="M71" s="38">
        <v>4.5100000000000001E-4</v>
      </c>
      <c r="N71" s="38">
        <v>6.2198999999999997E-2</v>
      </c>
      <c r="O71" s="38">
        <v>65</v>
      </c>
      <c r="P71" s="38">
        <v>61</v>
      </c>
      <c r="Q71" s="38">
        <v>8872.8629980000005</v>
      </c>
      <c r="R71" s="38" t="s">
        <v>120</v>
      </c>
      <c r="S71" s="38" t="s">
        <v>120</v>
      </c>
      <c r="T71" s="38" t="s">
        <v>120</v>
      </c>
      <c r="U71" s="38" t="s">
        <v>120</v>
      </c>
      <c r="V71" s="38" t="s">
        <v>120</v>
      </c>
      <c r="W71" s="38" t="s">
        <v>120</v>
      </c>
      <c r="X71" s="38" t="s">
        <v>259</v>
      </c>
    </row>
    <row r="72" spans="1:24" x14ac:dyDescent="0.45">
      <c r="A72" s="38" t="s">
        <v>329</v>
      </c>
      <c r="B72" s="38">
        <v>75</v>
      </c>
      <c r="C72" s="38" t="s">
        <v>258</v>
      </c>
      <c r="D72" s="38">
        <v>75</v>
      </c>
      <c r="E72" s="38">
        <v>71</v>
      </c>
      <c r="F72" s="38">
        <v>69</v>
      </c>
      <c r="G72" s="38">
        <v>66</v>
      </c>
      <c r="H72" s="38">
        <v>5687.2659599999997</v>
      </c>
      <c r="I72" s="38">
        <f t="shared" si="1"/>
        <v>5.6872659599999995</v>
      </c>
      <c r="J72" s="38">
        <v>2490</v>
      </c>
      <c r="K72" s="38">
        <v>2482</v>
      </c>
      <c r="L72" s="38">
        <v>2637</v>
      </c>
      <c r="M72" s="38">
        <v>1.7935E-2</v>
      </c>
      <c r="N72" s="38">
        <v>8.9136999999999994E-2</v>
      </c>
      <c r="O72" s="38">
        <v>235</v>
      </c>
      <c r="P72" s="38">
        <v>133</v>
      </c>
      <c r="Q72" s="38">
        <v>5687.2659599999997</v>
      </c>
      <c r="R72" s="38" t="s">
        <v>120</v>
      </c>
      <c r="S72" s="38" t="s">
        <v>120</v>
      </c>
      <c r="T72" s="38" t="s">
        <v>120</v>
      </c>
      <c r="U72" s="38" t="s">
        <v>120</v>
      </c>
      <c r="V72" s="38" t="s">
        <v>120</v>
      </c>
      <c r="W72" s="38" t="s">
        <v>120</v>
      </c>
      <c r="X72" s="38" t="s">
        <v>259</v>
      </c>
    </row>
    <row r="73" spans="1:24" x14ac:dyDescent="0.45">
      <c r="A73" s="38" t="s">
        <v>330</v>
      </c>
      <c r="B73" s="38">
        <v>81</v>
      </c>
      <c r="C73" s="38" t="s">
        <v>258</v>
      </c>
      <c r="D73" s="38">
        <v>81</v>
      </c>
      <c r="E73" s="38">
        <v>72</v>
      </c>
      <c r="F73" s="38">
        <v>83</v>
      </c>
      <c r="G73" s="38">
        <v>64</v>
      </c>
      <c r="H73" s="38">
        <v>6806.7649659999997</v>
      </c>
      <c r="I73" s="38">
        <f t="shared" si="1"/>
        <v>6.8067649659999994</v>
      </c>
      <c r="J73" s="38">
        <v>2496</v>
      </c>
      <c r="K73" s="38">
        <v>2477</v>
      </c>
      <c r="L73" s="38">
        <v>2638</v>
      </c>
      <c r="M73" s="38">
        <v>1E-3</v>
      </c>
      <c r="N73" s="38">
        <v>9.1009000000000007E-2</v>
      </c>
      <c r="O73" s="38">
        <v>74</v>
      </c>
      <c r="P73" s="38">
        <v>74</v>
      </c>
      <c r="Q73" s="38">
        <v>6806.7649659999997</v>
      </c>
      <c r="R73" s="38" t="s">
        <v>120</v>
      </c>
      <c r="S73" s="38" t="s">
        <v>120</v>
      </c>
      <c r="T73" s="38" t="s">
        <v>120</v>
      </c>
      <c r="U73" s="38" t="s">
        <v>120</v>
      </c>
      <c r="V73" s="38" t="s">
        <v>120</v>
      </c>
      <c r="W73" s="38" t="s">
        <v>120</v>
      </c>
      <c r="X73" s="38" t="s">
        <v>259</v>
      </c>
    </row>
    <row r="74" spans="1:24" x14ac:dyDescent="0.45">
      <c r="A74" s="38" t="s">
        <v>331</v>
      </c>
      <c r="B74" s="38">
        <v>90</v>
      </c>
      <c r="C74" s="38" t="s">
        <v>258</v>
      </c>
      <c r="D74" s="38">
        <v>90</v>
      </c>
      <c r="E74" s="38">
        <v>73</v>
      </c>
      <c r="F74" s="38">
        <v>92</v>
      </c>
      <c r="G74" s="38">
        <v>64</v>
      </c>
      <c r="H74" s="38">
        <v>11095.762978999999</v>
      </c>
      <c r="I74" s="38">
        <f t="shared" si="1"/>
        <v>11.095762979</v>
      </c>
      <c r="J74" s="38">
        <v>2505</v>
      </c>
      <c r="K74" s="38">
        <v>2477</v>
      </c>
      <c r="L74" s="38">
        <v>2639</v>
      </c>
      <c r="M74" s="38">
        <v>7.2099999999999996E-4</v>
      </c>
      <c r="N74" s="38">
        <v>8.7577000000000002E-2</v>
      </c>
      <c r="O74" s="38">
        <v>82</v>
      </c>
      <c r="P74" s="38">
        <v>74</v>
      </c>
      <c r="Q74" s="38">
        <v>11095.762978999999</v>
      </c>
      <c r="R74" s="38" t="s">
        <v>120</v>
      </c>
      <c r="S74" s="38" t="s">
        <v>120</v>
      </c>
      <c r="T74" s="38" t="s">
        <v>120</v>
      </c>
      <c r="U74" s="38" t="s">
        <v>120</v>
      </c>
      <c r="V74" s="38" t="s">
        <v>120</v>
      </c>
      <c r="W74" s="38" t="s">
        <v>120</v>
      </c>
      <c r="X74" s="38" t="s">
        <v>259</v>
      </c>
    </row>
    <row r="75" spans="1:24" x14ac:dyDescent="0.45">
      <c r="A75" s="38" t="s">
        <v>332</v>
      </c>
      <c r="B75" s="38">
        <v>79</v>
      </c>
      <c r="C75" s="38" t="s">
        <v>258</v>
      </c>
      <c r="D75" s="38">
        <v>79</v>
      </c>
      <c r="E75" s="38">
        <v>75</v>
      </c>
      <c r="F75" s="38">
        <v>81</v>
      </c>
      <c r="G75" s="38">
        <v>65</v>
      </c>
      <c r="H75" s="38">
        <v>2824.2325019999998</v>
      </c>
      <c r="I75" s="38">
        <f t="shared" si="1"/>
        <v>2.8242325019999996</v>
      </c>
      <c r="J75" s="38">
        <v>2494</v>
      </c>
      <c r="K75" s="38">
        <v>2478</v>
      </c>
      <c r="L75" s="38">
        <v>2641</v>
      </c>
      <c r="M75" s="38">
        <v>1E-3</v>
      </c>
      <c r="N75" s="38">
        <v>5.8383999999999998E-2</v>
      </c>
      <c r="O75" s="38">
        <v>56</v>
      </c>
      <c r="P75" s="38">
        <v>61</v>
      </c>
      <c r="Q75" s="38">
        <v>2824.2325019999998</v>
      </c>
      <c r="R75" s="38" t="s">
        <v>120</v>
      </c>
      <c r="S75" s="38" t="s">
        <v>120</v>
      </c>
      <c r="T75" s="38" t="s">
        <v>120</v>
      </c>
      <c r="U75" s="38" t="s">
        <v>120</v>
      </c>
      <c r="V75" s="38" t="s">
        <v>120</v>
      </c>
      <c r="W75" s="38" t="s">
        <v>120</v>
      </c>
      <c r="X75" s="38" t="s">
        <v>259</v>
      </c>
    </row>
    <row r="76" spans="1:24" x14ac:dyDescent="0.45">
      <c r="A76" s="38" t="s">
        <v>333</v>
      </c>
      <c r="B76" s="38">
        <v>74</v>
      </c>
      <c r="C76" s="38" t="s">
        <v>258</v>
      </c>
      <c r="D76" s="38">
        <v>74</v>
      </c>
      <c r="E76" s="38">
        <v>76</v>
      </c>
      <c r="F76" s="38">
        <v>76</v>
      </c>
      <c r="G76" s="38">
        <v>66</v>
      </c>
      <c r="H76" s="38">
        <v>726.40872999999999</v>
      </c>
      <c r="I76" s="38">
        <f t="shared" si="1"/>
        <v>0.72640872999999995</v>
      </c>
      <c r="J76" s="38">
        <v>2489</v>
      </c>
      <c r="K76" s="38">
        <v>2482</v>
      </c>
      <c r="L76" s="38">
        <v>2642</v>
      </c>
      <c r="M76" s="38">
        <v>4.13E-3</v>
      </c>
      <c r="N76" s="38">
        <v>0.10267999999999999</v>
      </c>
      <c r="O76" s="38">
        <v>136</v>
      </c>
      <c r="P76" s="38">
        <v>133</v>
      </c>
      <c r="Q76" s="38">
        <v>726.40872999999999</v>
      </c>
      <c r="R76" s="38" t="s">
        <v>120</v>
      </c>
      <c r="S76" s="38" t="s">
        <v>120</v>
      </c>
      <c r="T76" s="38" t="s">
        <v>120</v>
      </c>
      <c r="U76" s="38" t="s">
        <v>120</v>
      </c>
      <c r="V76" s="38" t="s">
        <v>120</v>
      </c>
      <c r="W76" s="38" t="s">
        <v>120</v>
      </c>
      <c r="X76" s="38" t="s">
        <v>259</v>
      </c>
    </row>
    <row r="77" spans="1:24" x14ac:dyDescent="0.45">
      <c r="A77" s="38" t="s">
        <v>334</v>
      </c>
      <c r="B77" s="38">
        <v>71</v>
      </c>
      <c r="C77" s="38" t="s">
        <v>258</v>
      </c>
      <c r="D77" s="38">
        <v>71</v>
      </c>
      <c r="E77" s="38">
        <v>78</v>
      </c>
      <c r="F77" s="38">
        <v>67</v>
      </c>
      <c r="G77" s="38">
        <v>74</v>
      </c>
      <c r="H77" s="38">
        <v>920.60290299999997</v>
      </c>
      <c r="I77" s="38">
        <f t="shared" si="1"/>
        <v>0.92060290299999992</v>
      </c>
      <c r="J77" s="38">
        <v>2486</v>
      </c>
      <c r="K77" s="38">
        <v>2485</v>
      </c>
      <c r="L77" s="38">
        <v>2644</v>
      </c>
      <c r="M77" s="38">
        <v>0.120573</v>
      </c>
      <c r="N77" s="38">
        <v>0.14723800000000001</v>
      </c>
      <c r="O77" s="38">
        <v>800</v>
      </c>
      <c r="P77" s="38">
        <v>689</v>
      </c>
      <c r="Q77" s="38">
        <v>920.60290299999997</v>
      </c>
      <c r="R77" s="38" t="s">
        <v>120</v>
      </c>
      <c r="S77" s="38" t="s">
        <v>120</v>
      </c>
      <c r="T77" s="38" t="s">
        <v>120</v>
      </c>
      <c r="U77" s="38" t="s">
        <v>120</v>
      </c>
      <c r="V77" s="38" t="s">
        <v>120</v>
      </c>
      <c r="W77" s="38" t="s">
        <v>120</v>
      </c>
      <c r="X77" s="38" t="s">
        <v>259</v>
      </c>
    </row>
    <row r="78" spans="1:24" x14ac:dyDescent="0.45">
      <c r="A78" s="38" t="s">
        <v>335</v>
      </c>
      <c r="B78" s="38">
        <v>77</v>
      </c>
      <c r="C78" s="38" t="s">
        <v>258</v>
      </c>
      <c r="D78" s="38">
        <v>77</v>
      </c>
      <c r="E78" s="38">
        <v>79</v>
      </c>
      <c r="F78" s="38">
        <v>78</v>
      </c>
      <c r="G78" s="38">
        <v>68</v>
      </c>
      <c r="H78" s="38">
        <v>965.86940800000002</v>
      </c>
      <c r="I78" s="38">
        <f t="shared" si="1"/>
        <v>0.96586940799999998</v>
      </c>
      <c r="J78" s="38">
        <v>2492</v>
      </c>
      <c r="K78" s="38">
        <v>2727</v>
      </c>
      <c r="L78" s="38">
        <v>2645</v>
      </c>
      <c r="M78" s="38">
        <v>1E-3</v>
      </c>
      <c r="N78" s="38">
        <v>5.4035E-2</v>
      </c>
      <c r="O78" s="38">
        <v>130</v>
      </c>
      <c r="P78" s="38">
        <v>130</v>
      </c>
      <c r="Q78" s="38">
        <v>965.86940800000002</v>
      </c>
      <c r="R78" s="38" t="s">
        <v>120</v>
      </c>
      <c r="S78" s="38" t="s">
        <v>120</v>
      </c>
      <c r="T78" s="38" t="s">
        <v>120</v>
      </c>
      <c r="U78" s="38" t="s">
        <v>120</v>
      </c>
      <c r="V78" s="38" t="s">
        <v>120</v>
      </c>
      <c r="W78" s="38" t="s">
        <v>120</v>
      </c>
      <c r="X78" s="38" t="s">
        <v>259</v>
      </c>
    </row>
    <row r="79" spans="1:24" x14ac:dyDescent="0.45">
      <c r="A79" s="38" t="s">
        <v>336</v>
      </c>
      <c r="B79" s="38">
        <v>65</v>
      </c>
      <c r="C79" s="38" t="s">
        <v>258</v>
      </c>
      <c r="D79" s="38">
        <v>65</v>
      </c>
      <c r="E79" s="38">
        <v>80</v>
      </c>
      <c r="F79" s="38">
        <v>70</v>
      </c>
      <c r="G79" s="38">
        <v>68</v>
      </c>
      <c r="H79" s="38">
        <v>216.421356</v>
      </c>
      <c r="I79" s="38">
        <f t="shared" si="1"/>
        <v>0.21642135600000001</v>
      </c>
      <c r="J79" s="38">
        <v>2480</v>
      </c>
      <c r="K79" s="38">
        <v>2727</v>
      </c>
      <c r="L79" s="38">
        <v>2646</v>
      </c>
      <c r="M79" s="38">
        <v>1E-3</v>
      </c>
      <c r="N79" s="38">
        <v>8.2317000000000001E-2</v>
      </c>
      <c r="O79" s="38">
        <v>126</v>
      </c>
      <c r="P79" s="38">
        <v>130</v>
      </c>
      <c r="Q79" s="38">
        <v>216.421356</v>
      </c>
      <c r="R79" s="38" t="s">
        <v>120</v>
      </c>
      <c r="S79" s="38" t="s">
        <v>120</v>
      </c>
      <c r="T79" s="38" t="s">
        <v>120</v>
      </c>
      <c r="U79" s="38" t="s">
        <v>120</v>
      </c>
      <c r="V79" s="38" t="s">
        <v>120</v>
      </c>
      <c r="W79" s="38" t="s">
        <v>120</v>
      </c>
      <c r="X79" s="38" t="s">
        <v>259</v>
      </c>
    </row>
    <row r="80" spans="1:24" x14ac:dyDescent="0.45">
      <c r="A80" s="38" t="s">
        <v>337</v>
      </c>
      <c r="B80" s="38">
        <v>67</v>
      </c>
      <c r="C80" s="38" t="s">
        <v>258</v>
      </c>
      <c r="D80" s="38">
        <v>67</v>
      </c>
      <c r="E80" s="38">
        <v>81</v>
      </c>
      <c r="F80" s="38">
        <v>66</v>
      </c>
      <c r="G80" s="38">
        <v>70</v>
      </c>
      <c r="H80" s="38">
        <v>1275.1524159999999</v>
      </c>
      <c r="I80" s="38">
        <f t="shared" si="1"/>
        <v>1.2751524159999998</v>
      </c>
      <c r="J80" s="38">
        <v>2482</v>
      </c>
      <c r="K80" s="38">
        <v>2480</v>
      </c>
      <c r="L80" s="38">
        <v>2647</v>
      </c>
      <c r="M80" s="38">
        <v>5.4900000000000001E-3</v>
      </c>
      <c r="N80" s="38">
        <v>7.5678999999999996E-2</v>
      </c>
      <c r="O80" s="38">
        <v>133</v>
      </c>
      <c r="P80" s="38">
        <v>126</v>
      </c>
      <c r="Q80" s="38">
        <v>1275.1524159999999</v>
      </c>
      <c r="R80" s="38" t="s">
        <v>120</v>
      </c>
      <c r="S80" s="38" t="s">
        <v>120</v>
      </c>
      <c r="T80" s="38" t="s">
        <v>120</v>
      </c>
      <c r="U80" s="38" t="s">
        <v>120</v>
      </c>
      <c r="V80" s="38" t="s">
        <v>120</v>
      </c>
      <c r="W80" s="38" t="s">
        <v>120</v>
      </c>
      <c r="X80" s="38" t="s">
        <v>259</v>
      </c>
    </row>
    <row r="81" spans="1:24" x14ac:dyDescent="0.45">
      <c r="A81" s="38" t="s">
        <v>338</v>
      </c>
      <c r="B81" s="38">
        <v>72</v>
      </c>
      <c r="C81" s="38" t="s">
        <v>258</v>
      </c>
      <c r="D81" s="38">
        <v>72</v>
      </c>
      <c r="E81" s="38">
        <v>82</v>
      </c>
      <c r="F81" s="38">
        <v>75</v>
      </c>
      <c r="G81" s="38">
        <v>73</v>
      </c>
      <c r="H81" s="38">
        <v>139.90485200000001</v>
      </c>
      <c r="I81" s="38">
        <f t="shared" si="1"/>
        <v>0.139904852</v>
      </c>
      <c r="J81" s="38">
        <v>2487</v>
      </c>
      <c r="K81" s="38">
        <v>2721</v>
      </c>
      <c r="L81" s="38">
        <v>2648</v>
      </c>
      <c r="M81" s="38">
        <v>1E-3</v>
      </c>
      <c r="N81" s="38">
        <v>4.7669999999999997E-2</v>
      </c>
      <c r="O81" s="38">
        <v>53</v>
      </c>
      <c r="P81" s="38">
        <v>54</v>
      </c>
      <c r="Q81" s="38">
        <v>139.90485200000001</v>
      </c>
      <c r="R81" s="38" t="s">
        <v>120</v>
      </c>
      <c r="S81" s="38" t="s">
        <v>120</v>
      </c>
      <c r="T81" s="38" t="s">
        <v>120</v>
      </c>
      <c r="U81" s="38" t="s">
        <v>120</v>
      </c>
      <c r="V81" s="38" t="s">
        <v>120</v>
      </c>
      <c r="W81" s="38" t="s">
        <v>120</v>
      </c>
      <c r="X81" s="38" t="s">
        <v>259</v>
      </c>
    </row>
    <row r="82" spans="1:24" x14ac:dyDescent="0.45">
      <c r="A82" s="38" t="s">
        <v>339</v>
      </c>
      <c r="B82" s="38">
        <v>87</v>
      </c>
      <c r="C82" s="38" t="s">
        <v>258</v>
      </c>
      <c r="D82" s="38">
        <v>87</v>
      </c>
      <c r="E82" s="38">
        <v>83</v>
      </c>
      <c r="F82" s="38">
        <v>90</v>
      </c>
      <c r="G82" s="38">
        <v>74</v>
      </c>
      <c r="H82" s="38">
        <v>3543.9154920000001</v>
      </c>
      <c r="I82" s="38">
        <f t="shared" si="1"/>
        <v>3.543915492</v>
      </c>
      <c r="J82" s="38">
        <v>2502</v>
      </c>
      <c r="K82" s="38">
        <v>2485</v>
      </c>
      <c r="L82" s="38">
        <v>2649</v>
      </c>
      <c r="M82" s="38">
        <v>0.12274599999999999</v>
      </c>
      <c r="N82" s="38">
        <v>0.33164900000000003</v>
      </c>
      <c r="O82" s="38">
        <v>1124</v>
      </c>
      <c r="P82" s="38">
        <v>689</v>
      </c>
      <c r="Q82" s="38">
        <v>3543.9154920000001</v>
      </c>
      <c r="R82" s="38" t="s">
        <v>120</v>
      </c>
      <c r="S82" s="38" t="s">
        <v>120</v>
      </c>
      <c r="T82" s="38" t="s">
        <v>120</v>
      </c>
      <c r="U82" s="38" t="s">
        <v>120</v>
      </c>
      <c r="V82" s="38" t="s">
        <v>120</v>
      </c>
      <c r="W82" s="38" t="s">
        <v>120</v>
      </c>
      <c r="X82" s="38" t="s">
        <v>259</v>
      </c>
    </row>
    <row r="83" spans="1:24" x14ac:dyDescent="0.45">
      <c r="A83" s="38" t="s">
        <v>340</v>
      </c>
      <c r="B83" s="38">
        <v>83</v>
      </c>
      <c r="C83" s="38" t="s">
        <v>258</v>
      </c>
      <c r="D83" s="38">
        <v>83</v>
      </c>
      <c r="E83" s="38">
        <v>84</v>
      </c>
      <c r="F83" s="38">
        <v>79</v>
      </c>
      <c r="G83" s="38">
        <v>86</v>
      </c>
      <c r="H83" s="38">
        <v>9319.7222149999998</v>
      </c>
      <c r="I83" s="38">
        <f t="shared" si="1"/>
        <v>9.3197222150000005</v>
      </c>
      <c r="J83" s="38">
        <v>2498</v>
      </c>
      <c r="K83" s="38">
        <v>2501</v>
      </c>
      <c r="L83" s="38">
        <v>2650</v>
      </c>
      <c r="M83" s="38">
        <v>4.2900000000000002E-4</v>
      </c>
      <c r="N83" s="38">
        <v>7.3172000000000001E-2</v>
      </c>
      <c r="O83" s="38">
        <v>50</v>
      </c>
      <c r="P83" s="38">
        <v>46</v>
      </c>
      <c r="Q83" s="38">
        <v>9319.7222149999998</v>
      </c>
      <c r="R83" s="38" t="s">
        <v>120</v>
      </c>
      <c r="S83" s="38" t="s">
        <v>120</v>
      </c>
      <c r="T83" s="38" t="s">
        <v>120</v>
      </c>
      <c r="U83" s="38" t="s">
        <v>120</v>
      </c>
      <c r="V83" s="38" t="s">
        <v>120</v>
      </c>
      <c r="W83" s="38" t="s">
        <v>120</v>
      </c>
      <c r="X83" s="38" t="s">
        <v>259</v>
      </c>
    </row>
    <row r="84" spans="1:24" x14ac:dyDescent="0.45">
      <c r="A84" s="38" t="s">
        <v>341</v>
      </c>
      <c r="B84" s="38">
        <v>80</v>
      </c>
      <c r="C84" s="38" t="s">
        <v>258</v>
      </c>
      <c r="D84" s="38">
        <v>80</v>
      </c>
      <c r="E84" s="38">
        <v>85</v>
      </c>
      <c r="F84" s="38">
        <v>82</v>
      </c>
      <c r="G84" s="38">
        <v>76</v>
      </c>
      <c r="H84" s="38">
        <v>1985.476189</v>
      </c>
      <c r="I84" s="38">
        <f t="shared" si="1"/>
        <v>1.9854761889999999</v>
      </c>
      <c r="J84" s="38">
        <v>2495</v>
      </c>
      <c r="K84" s="38">
        <v>2489</v>
      </c>
      <c r="L84" s="38">
        <v>2651</v>
      </c>
      <c r="M84" s="38">
        <v>4.5329999999999997E-3</v>
      </c>
      <c r="N84" s="38">
        <v>6.9527000000000005E-2</v>
      </c>
      <c r="O84" s="38">
        <v>145</v>
      </c>
      <c r="P84" s="38">
        <v>136</v>
      </c>
      <c r="Q84" s="38">
        <v>1985.476189</v>
      </c>
      <c r="R84" s="38" t="s">
        <v>120</v>
      </c>
      <c r="S84" s="38" t="s">
        <v>120</v>
      </c>
      <c r="T84" s="38" t="s">
        <v>120</v>
      </c>
      <c r="U84" s="38" t="s">
        <v>120</v>
      </c>
      <c r="V84" s="38" t="s">
        <v>120</v>
      </c>
      <c r="W84" s="38" t="s">
        <v>120</v>
      </c>
      <c r="X84" s="38" t="s">
        <v>259</v>
      </c>
    </row>
    <row r="85" spans="1:24" x14ac:dyDescent="0.45">
      <c r="A85" s="38" t="s">
        <v>342</v>
      </c>
      <c r="B85" s="38">
        <v>85</v>
      </c>
      <c r="C85" s="38" t="s">
        <v>258</v>
      </c>
      <c r="D85" s="38">
        <v>85</v>
      </c>
      <c r="E85" s="38">
        <v>86</v>
      </c>
      <c r="F85" s="38">
        <v>88</v>
      </c>
      <c r="G85" s="38">
        <v>79</v>
      </c>
      <c r="H85" s="38">
        <v>1150.412607</v>
      </c>
      <c r="I85" s="38">
        <f t="shared" si="1"/>
        <v>1.150412607</v>
      </c>
      <c r="J85" s="38">
        <v>2500</v>
      </c>
      <c r="K85" s="38">
        <v>2498</v>
      </c>
      <c r="L85" s="38">
        <v>2652</v>
      </c>
      <c r="M85" s="38">
        <v>1E-3</v>
      </c>
      <c r="N85" s="38">
        <v>5.1942000000000002E-2</v>
      </c>
      <c r="O85" s="38">
        <v>49</v>
      </c>
      <c r="P85" s="38">
        <v>50</v>
      </c>
      <c r="Q85" s="38">
        <v>1150.412607</v>
      </c>
      <c r="R85" s="38" t="s">
        <v>120</v>
      </c>
      <c r="S85" s="38" t="s">
        <v>120</v>
      </c>
      <c r="T85" s="38" t="s">
        <v>120</v>
      </c>
      <c r="U85" s="38" t="s">
        <v>120</v>
      </c>
      <c r="V85" s="38" t="s">
        <v>120</v>
      </c>
      <c r="W85" s="38" t="s">
        <v>120</v>
      </c>
      <c r="X85" s="38" t="s">
        <v>259</v>
      </c>
    </row>
    <row r="86" spans="1:24" x14ac:dyDescent="0.45">
      <c r="A86" s="38" t="s">
        <v>343</v>
      </c>
      <c r="B86" s="38">
        <v>82</v>
      </c>
      <c r="C86" s="38" t="s">
        <v>258</v>
      </c>
      <c r="D86" s="38">
        <v>82</v>
      </c>
      <c r="E86" s="38">
        <v>87</v>
      </c>
      <c r="F86" s="38">
        <v>80</v>
      </c>
      <c r="G86" s="38">
        <v>85</v>
      </c>
      <c r="H86" s="38">
        <v>1124.0800859999999</v>
      </c>
      <c r="I86" s="38">
        <f t="shared" si="1"/>
        <v>1.124080086</v>
      </c>
      <c r="J86" s="38">
        <v>2497</v>
      </c>
      <c r="K86" s="38">
        <v>2504</v>
      </c>
      <c r="L86" s="38">
        <v>2653</v>
      </c>
      <c r="M86" s="38">
        <v>5.3379999999999999E-3</v>
      </c>
      <c r="N86" s="38">
        <v>6.7778000000000005E-2</v>
      </c>
      <c r="O86" s="38">
        <v>86</v>
      </c>
      <c r="P86" s="38">
        <v>80</v>
      </c>
      <c r="Q86" s="38">
        <v>1124.0800859999999</v>
      </c>
      <c r="R86" s="38" t="s">
        <v>120</v>
      </c>
      <c r="S86" s="38" t="s">
        <v>120</v>
      </c>
      <c r="T86" s="38" t="s">
        <v>120</v>
      </c>
      <c r="U86" s="38" t="s">
        <v>120</v>
      </c>
      <c r="V86" s="38" t="s">
        <v>120</v>
      </c>
      <c r="W86" s="38" t="s">
        <v>120</v>
      </c>
      <c r="X86" s="38" t="s">
        <v>259</v>
      </c>
    </row>
    <row r="87" spans="1:24" x14ac:dyDescent="0.45">
      <c r="A87" s="38" t="s">
        <v>344</v>
      </c>
      <c r="B87" s="38">
        <v>112</v>
      </c>
      <c r="C87" s="38" t="s">
        <v>258</v>
      </c>
      <c r="D87" s="38">
        <v>112</v>
      </c>
      <c r="E87" s="38">
        <v>88</v>
      </c>
      <c r="F87" s="38">
        <v>114</v>
      </c>
      <c r="G87" s="38">
        <v>83</v>
      </c>
      <c r="H87" s="38">
        <v>17421.677477000001</v>
      </c>
      <c r="I87" s="38">
        <f t="shared" si="1"/>
        <v>17.421677476999999</v>
      </c>
      <c r="J87" s="38">
        <v>2527</v>
      </c>
      <c r="K87" s="38">
        <v>2496</v>
      </c>
      <c r="L87" s="38">
        <v>2654</v>
      </c>
      <c r="M87" s="38">
        <v>1.4350000000000001E-3</v>
      </c>
      <c r="N87" s="38">
        <v>8.8683999999999999E-2</v>
      </c>
      <c r="O87" s="38">
        <v>99</v>
      </c>
      <c r="P87" s="38">
        <v>74</v>
      </c>
      <c r="Q87" s="38">
        <v>17421.677477000001</v>
      </c>
      <c r="R87" s="38" t="s">
        <v>120</v>
      </c>
      <c r="S87" s="38" t="s">
        <v>120</v>
      </c>
      <c r="T87" s="38" t="s">
        <v>120</v>
      </c>
      <c r="U87" s="38" t="s">
        <v>120</v>
      </c>
      <c r="V87" s="38" t="s">
        <v>120</v>
      </c>
      <c r="W87" s="38" t="s">
        <v>120</v>
      </c>
      <c r="X87" s="38" t="s">
        <v>259</v>
      </c>
    </row>
    <row r="88" spans="1:24" x14ac:dyDescent="0.45">
      <c r="A88" s="38" t="s">
        <v>345</v>
      </c>
      <c r="B88" s="38">
        <v>102</v>
      </c>
      <c r="C88" s="38" t="s">
        <v>258</v>
      </c>
      <c r="D88" s="38">
        <v>102</v>
      </c>
      <c r="E88" s="38">
        <v>89</v>
      </c>
      <c r="F88" s="38">
        <v>103</v>
      </c>
      <c r="G88" s="38">
        <v>83</v>
      </c>
      <c r="H88" s="38">
        <v>2934.2960840000001</v>
      </c>
      <c r="I88" s="38">
        <f t="shared" si="1"/>
        <v>2.9342960840000001</v>
      </c>
      <c r="J88" s="38">
        <v>2517</v>
      </c>
      <c r="K88" s="38">
        <v>2496</v>
      </c>
      <c r="L88" s="38">
        <v>2655</v>
      </c>
      <c r="M88" s="38">
        <v>1E-3</v>
      </c>
      <c r="N88" s="38">
        <v>4.9055000000000001E-2</v>
      </c>
      <c r="O88" s="38">
        <v>74</v>
      </c>
      <c r="P88" s="38">
        <v>74</v>
      </c>
      <c r="Q88" s="38">
        <v>2934.2960840000001</v>
      </c>
      <c r="R88" s="38" t="s">
        <v>120</v>
      </c>
      <c r="S88" s="38" t="s">
        <v>120</v>
      </c>
      <c r="T88" s="38" t="s">
        <v>120</v>
      </c>
      <c r="U88" s="38" t="s">
        <v>120</v>
      </c>
      <c r="V88" s="38" t="s">
        <v>120</v>
      </c>
      <c r="W88" s="38" t="s">
        <v>120</v>
      </c>
      <c r="X88" s="38" t="s">
        <v>259</v>
      </c>
    </row>
    <row r="89" spans="1:24" x14ac:dyDescent="0.45">
      <c r="A89" s="38" t="s">
        <v>346</v>
      </c>
      <c r="B89" s="38">
        <v>86</v>
      </c>
      <c r="C89" s="38" t="s">
        <v>258</v>
      </c>
      <c r="D89" s="38">
        <v>86</v>
      </c>
      <c r="E89" s="38">
        <v>90</v>
      </c>
      <c r="F89" s="38">
        <v>86</v>
      </c>
      <c r="G89" s="38">
        <v>87</v>
      </c>
      <c r="H89" s="38">
        <v>1183.363094</v>
      </c>
      <c r="I89" s="38">
        <f t="shared" si="1"/>
        <v>1.1833630939999999</v>
      </c>
      <c r="J89" s="38">
        <v>2501</v>
      </c>
      <c r="K89" s="38">
        <v>2503</v>
      </c>
      <c r="L89" s="38">
        <v>2656</v>
      </c>
      <c r="M89" s="38">
        <v>1.6900000000000001E-3</v>
      </c>
      <c r="N89" s="38">
        <v>8.2693000000000003E-2</v>
      </c>
      <c r="O89" s="38">
        <v>46</v>
      </c>
      <c r="P89" s="38">
        <v>44</v>
      </c>
      <c r="Q89" s="38">
        <v>1183.363094</v>
      </c>
      <c r="R89" s="38" t="s">
        <v>120</v>
      </c>
      <c r="S89" s="38" t="s">
        <v>120</v>
      </c>
      <c r="T89" s="38" t="s">
        <v>120</v>
      </c>
      <c r="U89" s="38" t="s">
        <v>120</v>
      </c>
      <c r="V89" s="38" t="s">
        <v>120</v>
      </c>
      <c r="W89" s="38" t="s">
        <v>120</v>
      </c>
      <c r="X89" s="38" t="s">
        <v>259</v>
      </c>
    </row>
    <row r="90" spans="1:24" x14ac:dyDescent="0.45">
      <c r="A90" s="38" t="s">
        <v>347</v>
      </c>
      <c r="B90" s="38">
        <v>84</v>
      </c>
      <c r="C90" s="38" t="s">
        <v>258</v>
      </c>
      <c r="D90" s="38">
        <v>84</v>
      </c>
      <c r="E90" s="38">
        <v>91</v>
      </c>
      <c r="F90" s="38">
        <v>84</v>
      </c>
      <c r="G90" s="38">
        <v>87</v>
      </c>
      <c r="H90" s="38">
        <v>69.194174000000004</v>
      </c>
      <c r="I90" s="38">
        <f t="shared" si="1"/>
        <v>6.9194173999999997E-2</v>
      </c>
      <c r="J90" s="38">
        <v>2499</v>
      </c>
      <c r="K90" s="38">
        <v>2503</v>
      </c>
      <c r="L90" s="38">
        <v>2657</v>
      </c>
      <c r="M90" s="38">
        <v>1E-3</v>
      </c>
      <c r="N90" s="38">
        <v>6.7243999999999998E-2</v>
      </c>
      <c r="O90" s="38">
        <v>40</v>
      </c>
      <c r="P90" s="38">
        <v>44</v>
      </c>
      <c r="Q90" s="38">
        <v>69.194174000000004</v>
      </c>
      <c r="R90" s="38" t="s">
        <v>120</v>
      </c>
      <c r="S90" s="38" t="s">
        <v>120</v>
      </c>
      <c r="T90" s="38" t="s">
        <v>120</v>
      </c>
      <c r="U90" s="38" t="s">
        <v>120</v>
      </c>
      <c r="V90" s="38" t="s">
        <v>120</v>
      </c>
      <c r="W90" s="38" t="s">
        <v>120</v>
      </c>
      <c r="X90" s="38" t="s">
        <v>259</v>
      </c>
    </row>
    <row r="91" spans="1:24" x14ac:dyDescent="0.45">
      <c r="A91" s="38" t="s">
        <v>348</v>
      </c>
      <c r="B91" s="38">
        <v>89</v>
      </c>
      <c r="C91" s="38" t="s">
        <v>258</v>
      </c>
      <c r="D91" s="38">
        <v>89</v>
      </c>
      <c r="E91" s="38">
        <v>92</v>
      </c>
      <c r="F91" s="38">
        <v>85</v>
      </c>
      <c r="G91" s="38">
        <v>92</v>
      </c>
      <c r="H91" s="38">
        <v>809.61940800000002</v>
      </c>
      <c r="I91" s="38">
        <f t="shared" si="1"/>
        <v>0.80961940799999998</v>
      </c>
      <c r="J91" s="38">
        <v>2504</v>
      </c>
      <c r="K91" s="38">
        <v>2505</v>
      </c>
      <c r="L91" s="38">
        <v>2658</v>
      </c>
      <c r="M91" s="38">
        <v>1E-3</v>
      </c>
      <c r="N91" s="38">
        <v>5.8885E-2</v>
      </c>
      <c r="O91" s="38">
        <v>80</v>
      </c>
      <c r="P91" s="38">
        <v>82</v>
      </c>
      <c r="Q91" s="38">
        <v>809.61940800000002</v>
      </c>
      <c r="R91" s="38" t="s">
        <v>120</v>
      </c>
      <c r="S91" s="38" t="s">
        <v>120</v>
      </c>
      <c r="T91" s="38" t="s">
        <v>120</v>
      </c>
      <c r="U91" s="38" t="s">
        <v>120</v>
      </c>
      <c r="V91" s="38" t="s">
        <v>120</v>
      </c>
      <c r="W91" s="38" t="s">
        <v>120</v>
      </c>
      <c r="X91" s="38" t="s">
        <v>259</v>
      </c>
    </row>
    <row r="92" spans="1:24" x14ac:dyDescent="0.45">
      <c r="A92" s="38" t="s">
        <v>349</v>
      </c>
      <c r="B92" s="38">
        <v>88</v>
      </c>
      <c r="C92" s="38" t="s">
        <v>258</v>
      </c>
      <c r="D92" s="38">
        <v>88</v>
      </c>
      <c r="E92" s="38">
        <v>93</v>
      </c>
      <c r="F92" s="38">
        <v>87</v>
      </c>
      <c r="G92" s="38">
        <v>91</v>
      </c>
      <c r="H92" s="38">
        <v>1420.4951289999999</v>
      </c>
      <c r="I92" s="38">
        <f t="shared" si="1"/>
        <v>1.4204951289999999</v>
      </c>
      <c r="J92" s="38">
        <v>2503</v>
      </c>
      <c r="K92" s="38">
        <v>2510</v>
      </c>
      <c r="L92" s="38">
        <v>2659</v>
      </c>
      <c r="M92" s="38">
        <v>1E-3</v>
      </c>
      <c r="N92" s="38">
        <v>6.7700999999999997E-2</v>
      </c>
      <c r="O92" s="38">
        <v>44</v>
      </c>
      <c r="P92" s="38">
        <v>44</v>
      </c>
      <c r="Q92" s="38">
        <v>1420.4951289999999</v>
      </c>
      <c r="R92" s="38" t="s">
        <v>120</v>
      </c>
      <c r="S92" s="38" t="s">
        <v>120</v>
      </c>
      <c r="T92" s="38" t="s">
        <v>120</v>
      </c>
      <c r="U92" s="38" t="s">
        <v>120</v>
      </c>
      <c r="V92" s="38" t="s">
        <v>120</v>
      </c>
      <c r="W92" s="38" t="s">
        <v>120</v>
      </c>
      <c r="X92" s="38" t="s">
        <v>259</v>
      </c>
    </row>
    <row r="93" spans="1:24" x14ac:dyDescent="0.45">
      <c r="A93" s="38" t="s">
        <v>350</v>
      </c>
      <c r="B93" s="38">
        <v>93</v>
      </c>
      <c r="C93" s="38" t="s">
        <v>258</v>
      </c>
      <c r="D93" s="38">
        <v>93</v>
      </c>
      <c r="E93" s="38">
        <v>94</v>
      </c>
      <c r="F93" s="38">
        <v>89</v>
      </c>
      <c r="G93" s="38">
        <v>76</v>
      </c>
      <c r="H93" s="38">
        <v>17836.874087</v>
      </c>
      <c r="I93" s="38">
        <f t="shared" si="1"/>
        <v>17.836874087000002</v>
      </c>
      <c r="J93" s="38">
        <v>2508</v>
      </c>
      <c r="K93" s="38">
        <v>2489</v>
      </c>
      <c r="L93" s="38">
        <v>2660</v>
      </c>
      <c r="M93" s="38">
        <v>2.9545999999999999E-2</v>
      </c>
      <c r="N93" s="38">
        <v>0.15861500000000001</v>
      </c>
      <c r="O93" s="38">
        <v>663</v>
      </c>
      <c r="P93" s="38">
        <v>136</v>
      </c>
      <c r="Q93" s="38">
        <v>17836.874087</v>
      </c>
      <c r="R93" s="38" t="s">
        <v>120</v>
      </c>
      <c r="S93" s="38" t="s">
        <v>120</v>
      </c>
      <c r="T93" s="38" t="s">
        <v>120</v>
      </c>
      <c r="U93" s="38" t="s">
        <v>120</v>
      </c>
      <c r="V93" s="38" t="s">
        <v>120</v>
      </c>
      <c r="W93" s="38" t="s">
        <v>120</v>
      </c>
      <c r="X93" s="38" t="s">
        <v>259</v>
      </c>
    </row>
    <row r="94" spans="1:24" x14ac:dyDescent="0.45">
      <c r="A94" s="38" t="s">
        <v>351</v>
      </c>
      <c r="B94" s="38">
        <v>95</v>
      </c>
      <c r="C94" s="38" t="s">
        <v>258</v>
      </c>
      <c r="D94" s="38">
        <v>95</v>
      </c>
      <c r="E94" s="38">
        <v>96</v>
      </c>
      <c r="F94" s="38">
        <v>91</v>
      </c>
      <c r="G94" s="38">
        <v>98</v>
      </c>
      <c r="H94" s="38">
        <v>8207.4377640000002</v>
      </c>
      <c r="I94" s="38">
        <f t="shared" si="1"/>
        <v>8.2074377639999998</v>
      </c>
      <c r="J94" s="38">
        <v>2510</v>
      </c>
      <c r="K94" s="38">
        <v>2511</v>
      </c>
      <c r="L94" s="38">
        <v>2662</v>
      </c>
      <c r="M94" s="38">
        <v>4.8700000000000002E-4</v>
      </c>
      <c r="N94" s="38">
        <v>6.4359E-2</v>
      </c>
      <c r="O94" s="38">
        <v>44</v>
      </c>
      <c r="P94" s="38">
        <v>40</v>
      </c>
      <c r="Q94" s="38">
        <v>8207.4377640000002</v>
      </c>
      <c r="R94" s="38" t="s">
        <v>120</v>
      </c>
      <c r="S94" s="38" t="s">
        <v>120</v>
      </c>
      <c r="T94" s="38" t="s">
        <v>120</v>
      </c>
      <c r="U94" s="38" t="s">
        <v>120</v>
      </c>
      <c r="V94" s="38" t="s">
        <v>120</v>
      </c>
      <c r="W94" s="38" t="s">
        <v>120</v>
      </c>
      <c r="X94" s="38" t="s">
        <v>259</v>
      </c>
    </row>
    <row r="95" spans="1:24" x14ac:dyDescent="0.45">
      <c r="A95" s="38" t="s">
        <v>352</v>
      </c>
      <c r="B95" s="38">
        <v>100</v>
      </c>
      <c r="C95" s="38" t="s">
        <v>258</v>
      </c>
      <c r="D95" s="38">
        <v>100</v>
      </c>
      <c r="E95" s="38">
        <v>97</v>
      </c>
      <c r="F95" s="38">
        <v>101</v>
      </c>
      <c r="G95" s="38">
        <v>91</v>
      </c>
      <c r="H95" s="38">
        <v>1212.0242599999999</v>
      </c>
      <c r="I95" s="38">
        <f t="shared" si="1"/>
        <v>1.21202426</v>
      </c>
      <c r="J95" s="38">
        <v>2515</v>
      </c>
      <c r="K95" s="38">
        <v>2510</v>
      </c>
      <c r="L95" s="38">
        <v>2663</v>
      </c>
      <c r="M95" s="38">
        <v>1E-3</v>
      </c>
      <c r="N95" s="38">
        <v>8.2220000000000001E-2</v>
      </c>
      <c r="O95" s="38">
        <v>34</v>
      </c>
      <c r="P95" s="38">
        <v>44</v>
      </c>
      <c r="Q95" s="38">
        <v>1212.0242599999999</v>
      </c>
      <c r="R95" s="38" t="s">
        <v>120</v>
      </c>
      <c r="S95" s="38" t="s">
        <v>120</v>
      </c>
      <c r="T95" s="38" t="s">
        <v>120</v>
      </c>
      <c r="U95" s="38" t="s">
        <v>120</v>
      </c>
      <c r="V95" s="38" t="s">
        <v>120</v>
      </c>
      <c r="W95" s="38" t="s">
        <v>120</v>
      </c>
      <c r="X95" s="38" t="s">
        <v>259</v>
      </c>
    </row>
    <row r="96" spans="1:24" x14ac:dyDescent="0.45">
      <c r="A96" s="38" t="s">
        <v>353</v>
      </c>
      <c r="B96" s="38">
        <v>101</v>
      </c>
      <c r="C96" s="38" t="s">
        <v>258</v>
      </c>
      <c r="D96" s="38">
        <v>101</v>
      </c>
      <c r="E96" s="38">
        <v>98</v>
      </c>
      <c r="F96" s="38">
        <v>102</v>
      </c>
      <c r="G96" s="38">
        <v>92</v>
      </c>
      <c r="H96" s="38">
        <v>1448.635912</v>
      </c>
      <c r="I96" s="38">
        <f t="shared" si="1"/>
        <v>1.4486359119999999</v>
      </c>
      <c r="J96" s="38">
        <v>2516</v>
      </c>
      <c r="K96" s="38">
        <v>2505</v>
      </c>
      <c r="L96" s="38">
        <v>2664</v>
      </c>
      <c r="M96" s="38">
        <v>2.0709999999999999E-3</v>
      </c>
      <c r="N96" s="38">
        <v>6.9468000000000002E-2</v>
      </c>
      <c r="O96" s="38">
        <v>85</v>
      </c>
      <c r="P96" s="38">
        <v>82</v>
      </c>
      <c r="Q96" s="38">
        <v>1448.635912</v>
      </c>
      <c r="R96" s="38" t="s">
        <v>120</v>
      </c>
      <c r="S96" s="38" t="s">
        <v>120</v>
      </c>
      <c r="T96" s="38" t="s">
        <v>120</v>
      </c>
      <c r="U96" s="38" t="s">
        <v>120</v>
      </c>
      <c r="V96" s="38" t="s">
        <v>120</v>
      </c>
      <c r="W96" s="38" t="s">
        <v>120</v>
      </c>
      <c r="X96" s="38" t="s">
        <v>259</v>
      </c>
    </row>
    <row r="97" spans="1:24" x14ac:dyDescent="0.45">
      <c r="A97" s="38" t="s">
        <v>354</v>
      </c>
      <c r="B97" s="38">
        <v>92</v>
      </c>
      <c r="C97" s="38" t="s">
        <v>258</v>
      </c>
      <c r="D97" s="38">
        <v>92</v>
      </c>
      <c r="E97" s="38">
        <v>99</v>
      </c>
      <c r="F97" s="38">
        <v>95</v>
      </c>
      <c r="G97" s="38">
        <v>94</v>
      </c>
      <c r="H97" s="38">
        <v>1748.2679459999999</v>
      </c>
      <c r="I97" s="38">
        <f t="shared" si="1"/>
        <v>1.7482679459999999</v>
      </c>
      <c r="J97" s="38">
        <v>2507</v>
      </c>
      <c r="K97" s="38">
        <v>2731</v>
      </c>
      <c r="L97" s="38">
        <v>2665</v>
      </c>
      <c r="M97" s="38">
        <v>1.0867999999999999E-2</v>
      </c>
      <c r="N97" s="38">
        <v>7.9913999999999999E-2</v>
      </c>
      <c r="O97" s="38">
        <v>156</v>
      </c>
      <c r="P97" s="38">
        <v>137</v>
      </c>
      <c r="Q97" s="38">
        <v>1748.2679459999999</v>
      </c>
      <c r="R97" s="38" t="s">
        <v>120</v>
      </c>
      <c r="S97" s="38" t="s">
        <v>120</v>
      </c>
      <c r="T97" s="38" t="s">
        <v>120</v>
      </c>
      <c r="U97" s="38" t="s">
        <v>120</v>
      </c>
      <c r="V97" s="38" t="s">
        <v>120</v>
      </c>
      <c r="W97" s="38" t="s">
        <v>120</v>
      </c>
      <c r="X97" s="38" t="s">
        <v>259</v>
      </c>
    </row>
    <row r="98" spans="1:24" x14ac:dyDescent="0.45">
      <c r="A98" s="38" t="s">
        <v>355</v>
      </c>
      <c r="B98" s="38">
        <v>98</v>
      </c>
      <c r="C98" s="38" t="s">
        <v>258</v>
      </c>
      <c r="D98" s="38">
        <v>98</v>
      </c>
      <c r="E98" s="38">
        <v>100</v>
      </c>
      <c r="F98" s="38">
        <v>100</v>
      </c>
      <c r="G98" s="38">
        <v>94</v>
      </c>
      <c r="H98" s="38">
        <v>975.33639900000003</v>
      </c>
      <c r="I98" s="38">
        <f t="shared" si="1"/>
        <v>0.97533639900000002</v>
      </c>
      <c r="J98" s="38">
        <v>2513</v>
      </c>
      <c r="K98" s="38">
        <v>2731</v>
      </c>
      <c r="L98" s="38">
        <v>2666</v>
      </c>
      <c r="M98" s="38">
        <v>6.1520000000000004E-3</v>
      </c>
      <c r="N98" s="38">
        <v>6.6852999999999996E-2</v>
      </c>
      <c r="O98" s="38">
        <v>143</v>
      </c>
      <c r="P98" s="38">
        <v>137</v>
      </c>
      <c r="Q98" s="38">
        <v>975.33639900000003</v>
      </c>
      <c r="R98" s="38" t="s">
        <v>120</v>
      </c>
      <c r="S98" s="38" t="s">
        <v>120</v>
      </c>
      <c r="T98" s="38" t="s">
        <v>120</v>
      </c>
      <c r="U98" s="38" t="s">
        <v>120</v>
      </c>
      <c r="V98" s="38" t="s">
        <v>120</v>
      </c>
      <c r="W98" s="38" t="s">
        <v>120</v>
      </c>
      <c r="X98" s="38" t="s">
        <v>259</v>
      </c>
    </row>
    <row r="99" spans="1:24" x14ac:dyDescent="0.45">
      <c r="A99" s="38" t="s">
        <v>356</v>
      </c>
      <c r="B99" s="38">
        <v>99</v>
      </c>
      <c r="C99" s="38" t="s">
        <v>258</v>
      </c>
      <c r="D99" s="38">
        <v>99</v>
      </c>
      <c r="E99" s="38">
        <v>101</v>
      </c>
      <c r="F99" s="38">
        <v>96</v>
      </c>
      <c r="G99" s="38">
        <v>86</v>
      </c>
      <c r="H99" s="38">
        <v>2431.707249</v>
      </c>
      <c r="I99" s="38">
        <f t="shared" si="1"/>
        <v>2.431707249</v>
      </c>
      <c r="J99" s="38">
        <v>2514</v>
      </c>
      <c r="K99" s="38">
        <v>2501</v>
      </c>
      <c r="L99" s="38">
        <v>2667</v>
      </c>
      <c r="M99" s="38">
        <v>1E-3</v>
      </c>
      <c r="N99" s="38">
        <v>7.4156E-2</v>
      </c>
      <c r="O99" s="38">
        <v>43</v>
      </c>
      <c r="P99" s="38">
        <v>46</v>
      </c>
      <c r="Q99" s="38">
        <v>2431.707249</v>
      </c>
      <c r="R99" s="38" t="s">
        <v>120</v>
      </c>
      <c r="S99" s="38" t="s">
        <v>120</v>
      </c>
      <c r="T99" s="38" t="s">
        <v>120</v>
      </c>
      <c r="U99" s="38" t="s">
        <v>120</v>
      </c>
      <c r="V99" s="38" t="s">
        <v>120</v>
      </c>
      <c r="W99" s="38" t="s">
        <v>120</v>
      </c>
      <c r="X99" s="38" t="s">
        <v>259</v>
      </c>
    </row>
    <row r="100" spans="1:24" x14ac:dyDescent="0.45">
      <c r="A100" s="38" t="s">
        <v>357</v>
      </c>
      <c r="B100" s="38">
        <v>96</v>
      </c>
      <c r="C100" s="38" t="s">
        <v>258</v>
      </c>
      <c r="D100" s="38">
        <v>96</v>
      </c>
      <c r="E100" s="38">
        <v>102</v>
      </c>
      <c r="F100" s="38">
        <v>98</v>
      </c>
      <c r="G100" s="38">
        <v>97</v>
      </c>
      <c r="H100" s="38">
        <v>121.78300900000001</v>
      </c>
      <c r="I100" s="38">
        <f t="shared" si="1"/>
        <v>0.12178300900000001</v>
      </c>
      <c r="J100" s="38">
        <v>2511</v>
      </c>
      <c r="K100" s="38">
        <v>-1</v>
      </c>
      <c r="L100" s="38">
        <v>2668</v>
      </c>
      <c r="M100" s="38">
        <v>1E-3</v>
      </c>
      <c r="N100" s="38">
        <v>5.8652999999999997E-2</v>
      </c>
      <c r="O100" s="38">
        <v>40</v>
      </c>
      <c r="P100" s="38">
        <v>42</v>
      </c>
      <c r="Q100" s="38">
        <v>121.78300900000001</v>
      </c>
      <c r="R100" s="38" t="s">
        <v>120</v>
      </c>
      <c r="S100" s="38" t="s">
        <v>120</v>
      </c>
      <c r="T100" s="38" t="s">
        <v>120</v>
      </c>
      <c r="U100" s="38" t="s">
        <v>120</v>
      </c>
      <c r="V100" s="38" t="s">
        <v>120</v>
      </c>
      <c r="W100" s="38" t="s">
        <v>120</v>
      </c>
      <c r="X100" s="38" t="s">
        <v>259</v>
      </c>
    </row>
    <row r="101" spans="1:24" x14ac:dyDescent="0.45">
      <c r="A101" s="38" t="s">
        <v>358</v>
      </c>
      <c r="B101" s="38">
        <v>97</v>
      </c>
      <c r="C101" s="38" t="s">
        <v>258</v>
      </c>
      <c r="D101" s="38">
        <v>97</v>
      </c>
      <c r="E101" s="38">
        <v>103</v>
      </c>
      <c r="F101" s="38">
        <v>99</v>
      </c>
      <c r="G101" s="38">
        <v>98</v>
      </c>
      <c r="H101" s="38">
        <v>154.54951299999999</v>
      </c>
      <c r="I101" s="38">
        <f t="shared" si="1"/>
        <v>0.154549513</v>
      </c>
      <c r="J101" s="38">
        <v>2512</v>
      </c>
      <c r="K101" s="38">
        <v>2511</v>
      </c>
      <c r="L101" s="38">
        <v>2669</v>
      </c>
      <c r="M101" s="38">
        <v>1E-3</v>
      </c>
      <c r="N101" s="38">
        <v>7.7890000000000001E-2</v>
      </c>
      <c r="O101" s="38">
        <v>35</v>
      </c>
      <c r="P101" s="38">
        <v>40</v>
      </c>
      <c r="Q101" s="38">
        <v>154.54951299999999</v>
      </c>
      <c r="R101" s="38" t="s">
        <v>120</v>
      </c>
      <c r="S101" s="38" t="s">
        <v>120</v>
      </c>
      <c r="T101" s="38" t="s">
        <v>120</v>
      </c>
      <c r="U101" s="38" t="s">
        <v>120</v>
      </c>
      <c r="V101" s="38" t="s">
        <v>120</v>
      </c>
      <c r="W101" s="38" t="s">
        <v>120</v>
      </c>
      <c r="X101" s="38" t="s">
        <v>259</v>
      </c>
    </row>
    <row r="102" spans="1:24" x14ac:dyDescent="0.45">
      <c r="A102" s="38" t="s">
        <v>359</v>
      </c>
      <c r="B102" s="38">
        <v>107</v>
      </c>
      <c r="C102" s="38" t="s">
        <v>258</v>
      </c>
      <c r="D102" s="38">
        <v>107</v>
      </c>
      <c r="E102" s="38">
        <v>104</v>
      </c>
      <c r="F102" s="38">
        <v>106</v>
      </c>
      <c r="G102" s="38">
        <v>111</v>
      </c>
      <c r="H102" s="38">
        <v>7683.7125690000003</v>
      </c>
      <c r="I102" s="38">
        <f t="shared" si="1"/>
        <v>7.6837125689999999</v>
      </c>
      <c r="J102" s="38">
        <v>2522</v>
      </c>
      <c r="K102" s="38">
        <v>2521</v>
      </c>
      <c r="L102" s="38">
        <v>2670</v>
      </c>
      <c r="M102" s="38">
        <v>9.2012999999999998E-2</v>
      </c>
      <c r="N102" s="38">
        <v>0.28368500000000002</v>
      </c>
      <c r="O102" s="38">
        <v>1189</v>
      </c>
      <c r="P102" s="38">
        <v>482</v>
      </c>
      <c r="Q102" s="38">
        <v>7683.7125690000003</v>
      </c>
      <c r="R102" s="38" t="s">
        <v>120</v>
      </c>
      <c r="S102" s="38" t="s">
        <v>120</v>
      </c>
      <c r="T102" s="38" t="s">
        <v>120</v>
      </c>
      <c r="U102" s="38" t="s">
        <v>120</v>
      </c>
      <c r="V102" s="38" t="s">
        <v>120</v>
      </c>
      <c r="W102" s="38" t="s">
        <v>120</v>
      </c>
      <c r="X102" s="38" t="s">
        <v>259</v>
      </c>
    </row>
    <row r="103" spans="1:24" x14ac:dyDescent="0.45">
      <c r="A103" s="38" t="s">
        <v>360</v>
      </c>
      <c r="B103" s="38">
        <v>104</v>
      </c>
      <c r="C103" s="38" t="s">
        <v>258</v>
      </c>
      <c r="D103" s="38">
        <v>104</v>
      </c>
      <c r="E103" s="38">
        <v>105</v>
      </c>
      <c r="F103" s="38">
        <v>109</v>
      </c>
      <c r="G103" s="38">
        <v>107</v>
      </c>
      <c r="H103" s="38">
        <v>6537.4368670000003</v>
      </c>
      <c r="I103" s="38">
        <f t="shared" si="1"/>
        <v>6.5374368670000003</v>
      </c>
      <c r="J103" s="38">
        <v>2519</v>
      </c>
      <c r="K103" s="38">
        <v>2524</v>
      </c>
      <c r="L103" s="38">
        <v>2671</v>
      </c>
      <c r="M103" s="38">
        <v>1.8509000000000001E-2</v>
      </c>
      <c r="N103" s="38">
        <v>0.137741</v>
      </c>
      <c r="O103" s="38">
        <v>391</v>
      </c>
      <c r="P103" s="38">
        <v>270</v>
      </c>
      <c r="Q103" s="38">
        <v>6537.4368670000003</v>
      </c>
      <c r="R103" s="38" t="s">
        <v>120</v>
      </c>
      <c r="S103" s="38" t="s">
        <v>120</v>
      </c>
      <c r="T103" s="38" t="s">
        <v>120</v>
      </c>
      <c r="U103" s="38" t="s">
        <v>120</v>
      </c>
      <c r="V103" s="38" t="s">
        <v>120</v>
      </c>
      <c r="W103" s="38" t="s">
        <v>120</v>
      </c>
      <c r="X103" s="38" t="s">
        <v>259</v>
      </c>
    </row>
    <row r="104" spans="1:24" x14ac:dyDescent="0.45">
      <c r="A104" s="38" t="s">
        <v>361</v>
      </c>
      <c r="B104" s="38">
        <v>105</v>
      </c>
      <c r="C104" s="38" t="s">
        <v>258</v>
      </c>
      <c r="D104" s="38">
        <v>105</v>
      </c>
      <c r="E104" s="38">
        <v>106</v>
      </c>
      <c r="F104" s="38">
        <v>104</v>
      </c>
      <c r="G104" s="38">
        <v>110</v>
      </c>
      <c r="H104" s="38">
        <v>1687.176676</v>
      </c>
      <c r="I104" s="38">
        <f t="shared" si="1"/>
        <v>1.687176676</v>
      </c>
      <c r="J104" s="38">
        <v>2520</v>
      </c>
      <c r="K104" s="38">
        <v>2526</v>
      </c>
      <c r="L104" s="38">
        <v>2672</v>
      </c>
      <c r="M104" s="38">
        <v>1E-3</v>
      </c>
      <c r="N104" s="38">
        <v>7.1403999999999995E-2</v>
      </c>
      <c r="O104" s="38">
        <v>105</v>
      </c>
      <c r="P104" s="38">
        <v>110</v>
      </c>
      <c r="Q104" s="38">
        <v>1687.176676</v>
      </c>
      <c r="R104" s="38" t="s">
        <v>120</v>
      </c>
      <c r="S104" s="38" t="s">
        <v>120</v>
      </c>
      <c r="T104" s="38" t="s">
        <v>120</v>
      </c>
      <c r="U104" s="38" t="s">
        <v>120</v>
      </c>
      <c r="V104" s="38" t="s">
        <v>120</v>
      </c>
      <c r="W104" s="38" t="s">
        <v>120</v>
      </c>
      <c r="X104" s="38" t="s">
        <v>259</v>
      </c>
    </row>
    <row r="105" spans="1:24" x14ac:dyDescent="0.45">
      <c r="A105" s="38" t="s">
        <v>362</v>
      </c>
      <c r="B105" s="38">
        <v>109</v>
      </c>
      <c r="C105" s="38" t="s">
        <v>258</v>
      </c>
      <c r="D105" s="38">
        <v>109</v>
      </c>
      <c r="E105" s="38">
        <v>108</v>
      </c>
      <c r="F105" s="38">
        <v>107</v>
      </c>
      <c r="G105" s="38">
        <v>113</v>
      </c>
      <c r="H105" s="38">
        <v>4417.3989869999996</v>
      </c>
      <c r="I105" s="38">
        <f t="shared" si="1"/>
        <v>4.4173989869999994</v>
      </c>
      <c r="J105" s="38">
        <v>2524</v>
      </c>
      <c r="K105" s="38">
        <v>2529</v>
      </c>
      <c r="L105" s="38">
        <v>2674</v>
      </c>
      <c r="M105" s="38">
        <v>1.5394E-2</v>
      </c>
      <c r="N105" s="38">
        <v>0.116783</v>
      </c>
      <c r="O105" s="38">
        <v>270</v>
      </c>
      <c r="P105" s="38">
        <v>202</v>
      </c>
      <c r="Q105" s="38">
        <v>4417.3989869999996</v>
      </c>
      <c r="R105" s="38" t="s">
        <v>120</v>
      </c>
      <c r="S105" s="38" t="s">
        <v>120</v>
      </c>
      <c r="T105" s="38" t="s">
        <v>120</v>
      </c>
      <c r="U105" s="38" t="s">
        <v>120</v>
      </c>
      <c r="V105" s="38" t="s">
        <v>120</v>
      </c>
      <c r="W105" s="38" t="s">
        <v>120</v>
      </c>
      <c r="X105" s="38" t="s">
        <v>259</v>
      </c>
    </row>
    <row r="106" spans="1:24" x14ac:dyDescent="0.45">
      <c r="A106" s="38" t="s">
        <v>363</v>
      </c>
      <c r="B106" s="38">
        <v>108</v>
      </c>
      <c r="C106" s="38" t="s">
        <v>258</v>
      </c>
      <c r="D106" s="38">
        <v>108</v>
      </c>
      <c r="E106" s="38">
        <v>109</v>
      </c>
      <c r="F106" s="38">
        <v>108</v>
      </c>
      <c r="G106" s="38">
        <v>110</v>
      </c>
      <c r="H106" s="38">
        <v>2186.5485189999999</v>
      </c>
      <c r="I106" s="38">
        <f t="shared" si="1"/>
        <v>2.186548519</v>
      </c>
      <c r="J106" s="38">
        <v>2523</v>
      </c>
      <c r="K106" s="38">
        <v>2526</v>
      </c>
      <c r="L106" s="38">
        <v>2675</v>
      </c>
      <c r="M106" s="38">
        <v>3.2009999999999999E-3</v>
      </c>
      <c r="N106" s="38">
        <v>9.8642999999999995E-2</v>
      </c>
      <c r="O106" s="38">
        <v>117</v>
      </c>
      <c r="P106" s="38">
        <v>110</v>
      </c>
      <c r="Q106" s="38">
        <v>2186.5485189999999</v>
      </c>
      <c r="R106" s="38" t="s">
        <v>120</v>
      </c>
      <c r="S106" s="38" t="s">
        <v>120</v>
      </c>
      <c r="T106" s="38" t="s">
        <v>120</v>
      </c>
      <c r="U106" s="38" t="s">
        <v>120</v>
      </c>
      <c r="V106" s="38" t="s">
        <v>120</v>
      </c>
      <c r="W106" s="38" t="s">
        <v>120</v>
      </c>
      <c r="X106" s="38" t="s">
        <v>259</v>
      </c>
    </row>
    <row r="107" spans="1:24" x14ac:dyDescent="0.45">
      <c r="A107" s="38" t="s">
        <v>364</v>
      </c>
      <c r="B107" s="38">
        <v>129</v>
      </c>
      <c r="C107" s="38" t="s">
        <v>258</v>
      </c>
      <c r="D107" s="38">
        <v>129</v>
      </c>
      <c r="E107" s="38">
        <v>110</v>
      </c>
      <c r="F107" s="38">
        <v>130</v>
      </c>
      <c r="G107" s="38">
        <v>107</v>
      </c>
      <c r="H107" s="38">
        <v>11676.960677999999</v>
      </c>
      <c r="I107" s="38">
        <f t="shared" si="1"/>
        <v>11.676960677999999</v>
      </c>
      <c r="J107" s="38">
        <v>2544</v>
      </c>
      <c r="K107" s="38">
        <v>2524</v>
      </c>
      <c r="L107" s="38">
        <v>2676</v>
      </c>
      <c r="M107" s="38">
        <v>6.8597000000000005E-2</v>
      </c>
      <c r="N107" s="38">
        <v>0.231291</v>
      </c>
      <c r="O107" s="38">
        <v>1071</v>
      </c>
      <c r="P107" s="38">
        <v>270</v>
      </c>
      <c r="Q107" s="38">
        <v>11676.960677999999</v>
      </c>
      <c r="R107" s="38" t="s">
        <v>120</v>
      </c>
      <c r="S107" s="38" t="s">
        <v>120</v>
      </c>
      <c r="T107" s="38" t="s">
        <v>120</v>
      </c>
      <c r="U107" s="38" t="s">
        <v>120</v>
      </c>
      <c r="V107" s="38" t="s">
        <v>120</v>
      </c>
      <c r="W107" s="38" t="s">
        <v>120</v>
      </c>
      <c r="X107" s="38" t="s">
        <v>259</v>
      </c>
    </row>
    <row r="108" spans="1:24" x14ac:dyDescent="0.45">
      <c r="A108" s="38" t="s">
        <v>365</v>
      </c>
      <c r="B108" s="38">
        <v>106</v>
      </c>
      <c r="C108" s="38" t="s">
        <v>258</v>
      </c>
      <c r="D108" s="38">
        <v>106</v>
      </c>
      <c r="E108" s="38">
        <v>111</v>
      </c>
      <c r="F108" s="38">
        <v>111</v>
      </c>
      <c r="G108" s="38">
        <v>109</v>
      </c>
      <c r="H108" s="38">
        <v>2019.4543650000001</v>
      </c>
      <c r="I108" s="38">
        <f t="shared" si="1"/>
        <v>2.0194543650000001</v>
      </c>
      <c r="J108" s="38">
        <v>2521</v>
      </c>
      <c r="K108" s="38">
        <v>2519</v>
      </c>
      <c r="L108" s="38">
        <v>2677</v>
      </c>
      <c r="M108" s="38">
        <v>4.5061999999999998E-2</v>
      </c>
      <c r="N108" s="38">
        <v>0.24210799999999999</v>
      </c>
      <c r="O108" s="38">
        <v>482</v>
      </c>
      <c r="P108" s="38">
        <v>391</v>
      </c>
      <c r="Q108" s="38">
        <v>2019.4543650000001</v>
      </c>
      <c r="R108" s="38" t="s">
        <v>120</v>
      </c>
      <c r="S108" s="38" t="s">
        <v>120</v>
      </c>
      <c r="T108" s="38" t="s">
        <v>120</v>
      </c>
      <c r="U108" s="38" t="s">
        <v>120</v>
      </c>
      <c r="V108" s="38" t="s">
        <v>120</v>
      </c>
      <c r="W108" s="38" t="s">
        <v>120</v>
      </c>
      <c r="X108" s="38" t="s">
        <v>259</v>
      </c>
    </row>
    <row r="109" spans="1:24" x14ac:dyDescent="0.45">
      <c r="A109" s="38" t="s">
        <v>366</v>
      </c>
      <c r="B109" s="38">
        <v>111</v>
      </c>
      <c r="C109" s="38" t="s">
        <v>258</v>
      </c>
      <c r="D109" s="38">
        <v>111</v>
      </c>
      <c r="E109" s="38">
        <v>112</v>
      </c>
      <c r="F109" s="38">
        <v>110</v>
      </c>
      <c r="G109" s="38">
        <v>114</v>
      </c>
      <c r="H109" s="38">
        <v>5815.0387769999998</v>
      </c>
      <c r="I109" s="38">
        <f t="shared" si="1"/>
        <v>5.8150387769999998</v>
      </c>
      <c r="J109" s="38">
        <v>2526</v>
      </c>
      <c r="K109" s="38">
        <v>2527</v>
      </c>
      <c r="L109" s="38">
        <v>2678</v>
      </c>
      <c r="M109" s="38">
        <v>1.892E-3</v>
      </c>
      <c r="N109" s="38">
        <v>8.3587999999999996E-2</v>
      </c>
      <c r="O109" s="38">
        <v>110</v>
      </c>
      <c r="P109" s="38">
        <v>99</v>
      </c>
      <c r="Q109" s="38">
        <v>5815.0387769999998</v>
      </c>
      <c r="R109" s="38" t="s">
        <v>120</v>
      </c>
      <c r="S109" s="38" t="s">
        <v>120</v>
      </c>
      <c r="T109" s="38" t="s">
        <v>120</v>
      </c>
      <c r="U109" s="38" t="s">
        <v>120</v>
      </c>
      <c r="V109" s="38" t="s">
        <v>120</v>
      </c>
      <c r="W109" s="38" t="s">
        <v>120</v>
      </c>
      <c r="X109" s="38" t="s">
        <v>259</v>
      </c>
    </row>
    <row r="110" spans="1:24" x14ac:dyDescent="0.45">
      <c r="A110" s="38" t="s">
        <v>367</v>
      </c>
      <c r="B110" s="38">
        <v>138</v>
      </c>
      <c r="C110" s="38" t="s">
        <v>258</v>
      </c>
      <c r="D110" s="38">
        <v>138</v>
      </c>
      <c r="E110" s="38">
        <v>113</v>
      </c>
      <c r="F110" s="38">
        <v>139</v>
      </c>
      <c r="G110" s="38">
        <v>113</v>
      </c>
      <c r="H110" s="38">
        <v>17796.948499999999</v>
      </c>
      <c r="I110" s="38">
        <f t="shared" si="1"/>
        <v>17.796948499999999</v>
      </c>
      <c r="J110" s="38">
        <v>2553</v>
      </c>
      <c r="K110" s="38">
        <v>2529</v>
      </c>
      <c r="L110" s="38">
        <v>2679</v>
      </c>
      <c r="M110" s="38">
        <v>6.2088999999999998E-2</v>
      </c>
      <c r="N110" s="38">
        <v>0.22386800000000001</v>
      </c>
      <c r="O110" s="38">
        <v>1307</v>
      </c>
      <c r="P110" s="38">
        <v>202</v>
      </c>
      <c r="Q110" s="38">
        <v>17796.948499999999</v>
      </c>
      <c r="R110" s="38" t="s">
        <v>120</v>
      </c>
      <c r="S110" s="38" t="s">
        <v>120</v>
      </c>
      <c r="T110" s="38" t="s">
        <v>120</v>
      </c>
      <c r="U110" s="38" t="s">
        <v>120</v>
      </c>
      <c r="V110" s="38" t="s">
        <v>120</v>
      </c>
      <c r="W110" s="38" t="s">
        <v>120</v>
      </c>
      <c r="X110" s="38" t="s">
        <v>259</v>
      </c>
    </row>
    <row r="111" spans="1:24" x14ac:dyDescent="0.45">
      <c r="A111" s="38" t="s">
        <v>368</v>
      </c>
      <c r="B111" s="38">
        <v>127</v>
      </c>
      <c r="C111" s="38" t="s">
        <v>258</v>
      </c>
      <c r="D111" s="38">
        <v>127</v>
      </c>
      <c r="E111" s="38">
        <v>115</v>
      </c>
      <c r="F111" s="38">
        <v>129</v>
      </c>
      <c r="G111" s="38">
        <v>109</v>
      </c>
      <c r="H111" s="38">
        <v>10792.309703999999</v>
      </c>
      <c r="I111" s="38">
        <f t="shared" si="1"/>
        <v>10.792309703999999</v>
      </c>
      <c r="J111" s="38">
        <v>2542</v>
      </c>
      <c r="K111" s="38">
        <v>2519</v>
      </c>
      <c r="L111" s="38">
        <v>2681</v>
      </c>
      <c r="M111" s="38">
        <v>5.3741999999999998E-2</v>
      </c>
      <c r="N111" s="38">
        <v>0.31273099999999998</v>
      </c>
      <c r="O111" s="38">
        <v>971</v>
      </c>
      <c r="P111" s="38">
        <v>391</v>
      </c>
      <c r="Q111" s="38">
        <v>10792.309703999999</v>
      </c>
      <c r="R111" s="38" t="s">
        <v>120</v>
      </c>
      <c r="S111" s="38" t="s">
        <v>120</v>
      </c>
      <c r="T111" s="38" t="s">
        <v>120</v>
      </c>
      <c r="U111" s="38" t="s">
        <v>120</v>
      </c>
      <c r="V111" s="38" t="s">
        <v>120</v>
      </c>
      <c r="W111" s="38" t="s">
        <v>120</v>
      </c>
      <c r="X111" s="38" t="s">
        <v>259</v>
      </c>
    </row>
    <row r="112" spans="1:24" x14ac:dyDescent="0.45">
      <c r="A112" s="38" t="s">
        <v>369</v>
      </c>
      <c r="B112" s="38">
        <v>114</v>
      </c>
      <c r="C112" s="38" t="s">
        <v>258</v>
      </c>
      <c r="D112" s="38">
        <v>114</v>
      </c>
      <c r="E112" s="38">
        <v>116</v>
      </c>
      <c r="F112" s="38">
        <v>113</v>
      </c>
      <c r="G112" s="38">
        <v>117</v>
      </c>
      <c r="H112" s="38">
        <v>1436.028137</v>
      </c>
      <c r="I112" s="38">
        <f t="shared" si="1"/>
        <v>1.4360281370000001</v>
      </c>
      <c r="J112" s="38">
        <v>2529</v>
      </c>
      <c r="K112" s="38">
        <v>2531</v>
      </c>
      <c r="L112" s="38">
        <v>2682</v>
      </c>
      <c r="M112" s="38">
        <v>9.7490000000000007E-3</v>
      </c>
      <c r="N112" s="38">
        <v>0.12004099999999999</v>
      </c>
      <c r="O112" s="38">
        <v>202</v>
      </c>
      <c r="P112" s="38">
        <v>188</v>
      </c>
      <c r="Q112" s="38">
        <v>1436.028137</v>
      </c>
      <c r="R112" s="38" t="s">
        <v>120</v>
      </c>
      <c r="S112" s="38" t="s">
        <v>120</v>
      </c>
      <c r="T112" s="38" t="s">
        <v>120</v>
      </c>
      <c r="U112" s="38" t="s">
        <v>120</v>
      </c>
      <c r="V112" s="38" t="s">
        <v>120</v>
      </c>
      <c r="W112" s="38" t="s">
        <v>120</v>
      </c>
      <c r="X112" s="38" t="s">
        <v>259</v>
      </c>
    </row>
    <row r="113" spans="1:24" x14ac:dyDescent="0.45">
      <c r="A113" s="38" t="s">
        <v>370</v>
      </c>
      <c r="B113" s="38">
        <v>113</v>
      </c>
      <c r="C113" s="38" t="s">
        <v>258</v>
      </c>
      <c r="D113" s="38">
        <v>113</v>
      </c>
      <c r="E113" s="38">
        <v>117</v>
      </c>
      <c r="F113" s="38">
        <v>115</v>
      </c>
      <c r="G113" s="38">
        <v>111</v>
      </c>
      <c r="H113" s="38">
        <v>5184.8795989999999</v>
      </c>
      <c r="I113" s="38">
        <f t="shared" si="1"/>
        <v>5.1848795990000003</v>
      </c>
      <c r="J113" s="38">
        <v>2528</v>
      </c>
      <c r="K113" s="38">
        <v>2521</v>
      </c>
      <c r="L113" s="38">
        <v>2683</v>
      </c>
      <c r="M113" s="38">
        <v>0.115721</v>
      </c>
      <c r="N113" s="38">
        <v>0.32383800000000001</v>
      </c>
      <c r="O113" s="38">
        <v>1082</v>
      </c>
      <c r="P113" s="38">
        <v>482</v>
      </c>
      <c r="Q113" s="38">
        <v>5184.8795989999999</v>
      </c>
      <c r="R113" s="38" t="s">
        <v>120</v>
      </c>
      <c r="S113" s="38" t="s">
        <v>120</v>
      </c>
      <c r="T113" s="38" t="s">
        <v>120</v>
      </c>
      <c r="U113" s="38" t="s">
        <v>120</v>
      </c>
      <c r="V113" s="38" t="s">
        <v>120</v>
      </c>
      <c r="W113" s="38" t="s">
        <v>120</v>
      </c>
      <c r="X113" s="38" t="s">
        <v>259</v>
      </c>
    </row>
    <row r="114" spans="1:24" x14ac:dyDescent="0.45">
      <c r="A114" s="38" t="s">
        <v>371</v>
      </c>
      <c r="B114" s="38">
        <v>123</v>
      </c>
      <c r="C114" s="38" t="s">
        <v>258</v>
      </c>
      <c r="D114" s="38">
        <v>123</v>
      </c>
      <c r="E114" s="38">
        <v>118</v>
      </c>
      <c r="F114" s="38">
        <v>124</v>
      </c>
      <c r="G114" s="38">
        <v>114</v>
      </c>
      <c r="H114" s="38">
        <v>5771.2572110000001</v>
      </c>
      <c r="I114" s="38">
        <f t="shared" si="1"/>
        <v>5.771257211</v>
      </c>
      <c r="J114" s="38">
        <v>2538</v>
      </c>
      <c r="K114" s="38">
        <v>2527</v>
      </c>
      <c r="L114" s="38">
        <v>2684</v>
      </c>
      <c r="M114" s="38">
        <v>5.1999999999999995E-4</v>
      </c>
      <c r="N114" s="38">
        <v>7.918E-2</v>
      </c>
      <c r="O114" s="38">
        <v>102</v>
      </c>
      <c r="P114" s="38">
        <v>99</v>
      </c>
      <c r="Q114" s="38">
        <v>5771.2572110000001</v>
      </c>
      <c r="R114" s="38" t="s">
        <v>120</v>
      </c>
      <c r="S114" s="38" t="s">
        <v>120</v>
      </c>
      <c r="T114" s="38" t="s">
        <v>120</v>
      </c>
      <c r="U114" s="38" t="s">
        <v>120</v>
      </c>
      <c r="V114" s="38" t="s">
        <v>120</v>
      </c>
      <c r="W114" s="38" t="s">
        <v>120</v>
      </c>
      <c r="X114" s="38" t="s">
        <v>259</v>
      </c>
    </row>
    <row r="115" spans="1:24" x14ac:dyDescent="0.45">
      <c r="A115" s="38" t="s">
        <v>372</v>
      </c>
      <c r="B115" s="38">
        <v>115</v>
      </c>
      <c r="C115" s="38" t="s">
        <v>258</v>
      </c>
      <c r="D115" s="38">
        <v>115</v>
      </c>
      <c r="E115" s="38">
        <v>119</v>
      </c>
      <c r="F115" s="38">
        <v>116</v>
      </c>
      <c r="G115" s="38">
        <v>118</v>
      </c>
      <c r="H115" s="38">
        <v>1300.412607</v>
      </c>
      <c r="I115" s="38">
        <f t="shared" si="1"/>
        <v>1.3004126069999999</v>
      </c>
      <c r="J115" s="38">
        <v>2530</v>
      </c>
      <c r="K115" s="38">
        <v>2534</v>
      </c>
      <c r="L115" s="38">
        <v>2685</v>
      </c>
      <c r="M115" s="38">
        <v>9.9970000000000007E-3</v>
      </c>
      <c r="N115" s="38">
        <v>9.9118999999999999E-2</v>
      </c>
      <c r="O115" s="38">
        <v>177</v>
      </c>
      <c r="P115" s="38">
        <v>164</v>
      </c>
      <c r="Q115" s="38">
        <v>1300.412607</v>
      </c>
      <c r="R115" s="38" t="s">
        <v>120</v>
      </c>
      <c r="S115" s="38" t="s">
        <v>120</v>
      </c>
      <c r="T115" s="38" t="s">
        <v>120</v>
      </c>
      <c r="U115" s="38" t="s">
        <v>120</v>
      </c>
      <c r="V115" s="38" t="s">
        <v>120</v>
      </c>
      <c r="W115" s="38" t="s">
        <v>120</v>
      </c>
      <c r="X115" s="38" t="s">
        <v>259</v>
      </c>
    </row>
    <row r="116" spans="1:24" x14ac:dyDescent="0.45">
      <c r="A116" s="38" t="s">
        <v>373</v>
      </c>
      <c r="B116" s="38">
        <v>122</v>
      </c>
      <c r="C116" s="38" t="s">
        <v>258</v>
      </c>
      <c r="D116" s="38">
        <v>122</v>
      </c>
      <c r="E116" s="38">
        <v>121</v>
      </c>
      <c r="F116" s="38">
        <v>125</v>
      </c>
      <c r="G116" s="38">
        <v>117</v>
      </c>
      <c r="H116" s="38">
        <v>4984.0674589999999</v>
      </c>
      <c r="I116" s="38">
        <f t="shared" si="1"/>
        <v>4.9840674590000003</v>
      </c>
      <c r="J116" s="38">
        <v>2537</v>
      </c>
      <c r="K116" s="38">
        <v>2531</v>
      </c>
      <c r="L116" s="38">
        <v>2687</v>
      </c>
      <c r="M116" s="38">
        <v>1.7656000000000002E-2</v>
      </c>
      <c r="N116" s="38">
        <v>0.118918</v>
      </c>
      <c r="O116" s="38">
        <v>276</v>
      </c>
      <c r="P116" s="38">
        <v>188</v>
      </c>
      <c r="Q116" s="38">
        <v>4984.0674589999999</v>
      </c>
      <c r="R116" s="38" t="s">
        <v>120</v>
      </c>
      <c r="S116" s="38" t="s">
        <v>120</v>
      </c>
      <c r="T116" s="38" t="s">
        <v>120</v>
      </c>
      <c r="U116" s="38" t="s">
        <v>120</v>
      </c>
      <c r="V116" s="38" t="s">
        <v>120</v>
      </c>
      <c r="W116" s="38" t="s">
        <v>120</v>
      </c>
      <c r="X116" s="38" t="s">
        <v>259</v>
      </c>
    </row>
    <row r="117" spans="1:24" x14ac:dyDescent="0.45">
      <c r="A117" s="38" t="s">
        <v>374</v>
      </c>
      <c r="B117" s="38">
        <v>119</v>
      </c>
      <c r="C117" s="38" t="s">
        <v>258</v>
      </c>
      <c r="D117" s="38">
        <v>119</v>
      </c>
      <c r="E117" s="38">
        <v>122</v>
      </c>
      <c r="F117" s="38">
        <v>118</v>
      </c>
      <c r="G117" s="38">
        <v>121</v>
      </c>
      <c r="H117" s="38">
        <v>3584.2514420000002</v>
      </c>
      <c r="I117" s="38">
        <f t="shared" si="1"/>
        <v>3.5842514420000002</v>
      </c>
      <c r="J117" s="38">
        <v>2534</v>
      </c>
      <c r="K117" s="38">
        <v>2747</v>
      </c>
      <c r="L117" s="38">
        <v>2688</v>
      </c>
      <c r="M117" s="38">
        <v>6.9750000000000003E-3</v>
      </c>
      <c r="N117" s="38">
        <v>8.0517000000000005E-2</v>
      </c>
      <c r="O117" s="38">
        <v>164</v>
      </c>
      <c r="P117" s="38">
        <v>139</v>
      </c>
      <c r="Q117" s="38">
        <v>3584.2514420000002</v>
      </c>
      <c r="R117" s="38" t="s">
        <v>120</v>
      </c>
      <c r="S117" s="38" t="s">
        <v>120</v>
      </c>
      <c r="T117" s="38" t="s">
        <v>120</v>
      </c>
      <c r="U117" s="38" t="s">
        <v>120</v>
      </c>
      <c r="V117" s="38" t="s">
        <v>120</v>
      </c>
      <c r="W117" s="38" t="s">
        <v>120</v>
      </c>
      <c r="X117" s="38" t="s">
        <v>259</v>
      </c>
    </row>
    <row r="118" spans="1:24" x14ac:dyDescent="0.45">
      <c r="A118" s="38" t="s">
        <v>375</v>
      </c>
      <c r="B118" s="38">
        <v>116</v>
      </c>
      <c r="C118" s="38" t="s">
        <v>258</v>
      </c>
      <c r="D118" s="38">
        <v>116</v>
      </c>
      <c r="E118" s="38">
        <v>123</v>
      </c>
      <c r="F118" s="38">
        <v>117</v>
      </c>
      <c r="G118" s="38">
        <v>119</v>
      </c>
      <c r="H118" s="38">
        <v>909.98737300000005</v>
      </c>
      <c r="I118" s="38">
        <f t="shared" si="1"/>
        <v>0.9099873730000001</v>
      </c>
      <c r="J118" s="38">
        <v>2531</v>
      </c>
      <c r="K118" s="38">
        <v>2533</v>
      </c>
      <c r="L118" s="38">
        <v>2689</v>
      </c>
      <c r="M118" s="38">
        <v>1.3187000000000001E-2</v>
      </c>
      <c r="N118" s="38">
        <v>0.101062</v>
      </c>
      <c r="O118" s="38">
        <v>188</v>
      </c>
      <c r="P118" s="38">
        <v>176</v>
      </c>
      <c r="Q118" s="38">
        <v>909.98737300000005</v>
      </c>
      <c r="R118" s="38" t="s">
        <v>120</v>
      </c>
      <c r="S118" s="38" t="s">
        <v>120</v>
      </c>
      <c r="T118" s="38" t="s">
        <v>120</v>
      </c>
      <c r="U118" s="38" t="s">
        <v>120</v>
      </c>
      <c r="V118" s="38" t="s">
        <v>120</v>
      </c>
      <c r="W118" s="38" t="s">
        <v>120</v>
      </c>
      <c r="X118" s="38" t="s">
        <v>259</v>
      </c>
    </row>
    <row r="119" spans="1:24" x14ac:dyDescent="0.45">
      <c r="A119" s="38" t="s">
        <v>376</v>
      </c>
      <c r="B119" s="38">
        <v>118</v>
      </c>
      <c r="C119" s="38" t="s">
        <v>258</v>
      </c>
      <c r="D119" s="38">
        <v>118</v>
      </c>
      <c r="E119" s="38">
        <v>124</v>
      </c>
      <c r="F119" s="38">
        <v>119</v>
      </c>
      <c r="G119" s="38">
        <v>120</v>
      </c>
      <c r="H119" s="38">
        <v>1520.3427119999999</v>
      </c>
      <c r="I119" s="38">
        <f t="shared" si="1"/>
        <v>1.5203427119999999</v>
      </c>
      <c r="J119" s="38">
        <v>2533</v>
      </c>
      <c r="K119" s="38">
        <v>2532</v>
      </c>
      <c r="L119" s="38">
        <v>2690</v>
      </c>
      <c r="M119" s="38">
        <v>8.5509999999999996E-3</v>
      </c>
      <c r="N119" s="38">
        <v>7.8349000000000002E-2</v>
      </c>
      <c r="O119" s="38">
        <v>176</v>
      </c>
      <c r="P119" s="38">
        <v>163</v>
      </c>
      <c r="Q119" s="38">
        <v>1520.3427119999999</v>
      </c>
      <c r="R119" s="38" t="s">
        <v>120</v>
      </c>
      <c r="S119" s="38" t="s">
        <v>120</v>
      </c>
      <c r="T119" s="38" t="s">
        <v>120</v>
      </c>
      <c r="U119" s="38" t="s">
        <v>120</v>
      </c>
      <c r="V119" s="38" t="s">
        <v>120</v>
      </c>
      <c r="W119" s="38" t="s">
        <v>120</v>
      </c>
      <c r="X119" s="38" t="s">
        <v>259</v>
      </c>
    </row>
    <row r="120" spans="1:24" x14ac:dyDescent="0.45">
      <c r="A120" s="38" t="s">
        <v>377</v>
      </c>
      <c r="B120" s="38">
        <v>121</v>
      </c>
      <c r="C120" s="38" t="s">
        <v>258</v>
      </c>
      <c r="D120" s="38">
        <v>121</v>
      </c>
      <c r="E120" s="38">
        <v>125</v>
      </c>
      <c r="F120" s="38">
        <v>122</v>
      </c>
      <c r="G120" s="38">
        <v>124</v>
      </c>
      <c r="H120" s="38">
        <v>2578.5980319999999</v>
      </c>
      <c r="I120" s="38">
        <f t="shared" si="1"/>
        <v>2.5785980319999999</v>
      </c>
      <c r="J120" s="38">
        <v>2536</v>
      </c>
      <c r="K120" s="38">
        <v>2538</v>
      </c>
      <c r="L120" s="38">
        <v>2691</v>
      </c>
      <c r="M120" s="38">
        <v>6.2049999999999996E-3</v>
      </c>
      <c r="N120" s="38">
        <v>8.2754999999999995E-2</v>
      </c>
      <c r="O120" s="38">
        <v>118</v>
      </c>
      <c r="P120" s="38">
        <v>102</v>
      </c>
      <c r="Q120" s="38">
        <v>2578.5980319999999</v>
      </c>
      <c r="R120" s="38" t="s">
        <v>120</v>
      </c>
      <c r="S120" s="38" t="s">
        <v>120</v>
      </c>
      <c r="T120" s="38" t="s">
        <v>120</v>
      </c>
      <c r="U120" s="38" t="s">
        <v>120</v>
      </c>
      <c r="V120" s="38" t="s">
        <v>120</v>
      </c>
      <c r="W120" s="38" t="s">
        <v>120</v>
      </c>
      <c r="X120" s="38" t="s">
        <v>259</v>
      </c>
    </row>
    <row r="121" spans="1:24" x14ac:dyDescent="0.45">
      <c r="A121" s="38" t="s">
        <v>378</v>
      </c>
      <c r="B121" s="38">
        <v>117</v>
      </c>
      <c r="C121" s="38" t="s">
        <v>258</v>
      </c>
      <c r="D121" s="38">
        <v>117</v>
      </c>
      <c r="E121" s="38">
        <v>126</v>
      </c>
      <c r="F121" s="38">
        <v>120</v>
      </c>
      <c r="G121" s="38">
        <v>118</v>
      </c>
      <c r="H121" s="38">
        <v>37.5</v>
      </c>
      <c r="I121" s="38">
        <f t="shared" si="1"/>
        <v>3.7499999999999999E-2</v>
      </c>
      <c r="J121" s="38">
        <v>2532</v>
      </c>
      <c r="K121" s="38">
        <v>2534</v>
      </c>
      <c r="L121" s="38">
        <v>2692</v>
      </c>
      <c r="M121" s="38">
        <v>1E-3</v>
      </c>
      <c r="N121" s="38">
        <v>5.7148999999999998E-2</v>
      </c>
      <c r="O121" s="38">
        <v>163</v>
      </c>
      <c r="P121" s="38">
        <v>164</v>
      </c>
      <c r="Q121" s="38">
        <v>37.5</v>
      </c>
      <c r="R121" s="38" t="s">
        <v>120</v>
      </c>
      <c r="S121" s="38" t="s">
        <v>120</v>
      </c>
      <c r="T121" s="38" t="s">
        <v>120</v>
      </c>
      <c r="U121" s="38" t="s">
        <v>120</v>
      </c>
      <c r="V121" s="38" t="s">
        <v>120</v>
      </c>
      <c r="W121" s="38" t="s">
        <v>120</v>
      </c>
      <c r="X121" s="38" t="s">
        <v>259</v>
      </c>
    </row>
    <row r="122" spans="1:24" x14ac:dyDescent="0.45">
      <c r="A122" s="38" t="s">
        <v>379</v>
      </c>
      <c r="B122" s="38">
        <v>120</v>
      </c>
      <c r="C122" s="38" t="s">
        <v>258</v>
      </c>
      <c r="D122" s="38">
        <v>120</v>
      </c>
      <c r="E122" s="38">
        <v>127</v>
      </c>
      <c r="F122" s="38">
        <v>123</v>
      </c>
      <c r="G122" s="38">
        <v>120</v>
      </c>
      <c r="H122" s="38">
        <v>587.5</v>
      </c>
      <c r="I122" s="38">
        <f t="shared" si="1"/>
        <v>0.58750000000000002</v>
      </c>
      <c r="J122" s="38">
        <v>2535</v>
      </c>
      <c r="K122" s="38">
        <v>2532</v>
      </c>
      <c r="L122" s="38">
        <v>2693</v>
      </c>
      <c r="M122" s="38">
        <v>6.8089999999999999E-3</v>
      </c>
      <c r="N122" s="38">
        <v>7.3532E-2</v>
      </c>
      <c r="O122" s="38">
        <v>167</v>
      </c>
      <c r="P122" s="38">
        <v>163</v>
      </c>
      <c r="Q122" s="38">
        <v>587.5</v>
      </c>
      <c r="R122" s="38" t="s">
        <v>120</v>
      </c>
      <c r="S122" s="38" t="s">
        <v>120</v>
      </c>
      <c r="T122" s="38" t="s">
        <v>120</v>
      </c>
      <c r="U122" s="38" t="s">
        <v>120</v>
      </c>
      <c r="V122" s="38" t="s">
        <v>120</v>
      </c>
      <c r="W122" s="38" t="s">
        <v>120</v>
      </c>
      <c r="X122" s="38" t="s">
        <v>259</v>
      </c>
    </row>
    <row r="123" spans="1:24" x14ac:dyDescent="0.45">
      <c r="A123" s="38" t="s">
        <v>380</v>
      </c>
      <c r="B123" s="38">
        <v>130</v>
      </c>
      <c r="C123" s="38" t="s">
        <v>258</v>
      </c>
      <c r="D123" s="38">
        <v>130</v>
      </c>
      <c r="E123" s="38">
        <v>128</v>
      </c>
      <c r="F123" s="38">
        <v>131</v>
      </c>
      <c r="G123" s="38">
        <v>123</v>
      </c>
      <c r="H123" s="38">
        <v>3521.7830090000002</v>
      </c>
      <c r="I123" s="38">
        <f t="shared" si="1"/>
        <v>3.5217830090000004</v>
      </c>
      <c r="J123" s="38">
        <v>2545</v>
      </c>
      <c r="K123" s="38">
        <v>2535</v>
      </c>
      <c r="L123" s="38">
        <v>2694</v>
      </c>
      <c r="M123" s="38">
        <v>6.8149999999999999E-3</v>
      </c>
      <c r="N123" s="38">
        <v>7.3888999999999996E-2</v>
      </c>
      <c r="O123" s="38">
        <v>191</v>
      </c>
      <c r="P123" s="38">
        <v>167</v>
      </c>
      <c r="Q123" s="38">
        <v>3521.7830090000002</v>
      </c>
      <c r="R123" s="38" t="s">
        <v>120</v>
      </c>
      <c r="S123" s="38" t="s">
        <v>120</v>
      </c>
      <c r="T123" s="38" t="s">
        <v>120</v>
      </c>
      <c r="U123" s="38" t="s">
        <v>120</v>
      </c>
      <c r="V123" s="38" t="s">
        <v>120</v>
      </c>
      <c r="W123" s="38" t="s">
        <v>120</v>
      </c>
      <c r="X123" s="38" t="s">
        <v>259</v>
      </c>
    </row>
    <row r="124" spans="1:24" x14ac:dyDescent="0.45">
      <c r="A124" s="38" t="s">
        <v>381</v>
      </c>
      <c r="B124" s="38">
        <v>124</v>
      </c>
      <c r="C124" s="38" t="s">
        <v>258</v>
      </c>
      <c r="D124" s="38">
        <v>124</v>
      </c>
      <c r="E124" s="38">
        <v>129</v>
      </c>
      <c r="F124" s="38">
        <v>127</v>
      </c>
      <c r="G124" s="38">
        <v>124</v>
      </c>
      <c r="H124" s="38">
        <v>647.48737300000005</v>
      </c>
      <c r="I124" s="38">
        <f t="shared" si="1"/>
        <v>0.64748737300000003</v>
      </c>
      <c r="J124" s="38">
        <v>2539</v>
      </c>
      <c r="K124" s="38">
        <v>2538</v>
      </c>
      <c r="L124" s="38">
        <v>2695</v>
      </c>
      <c r="M124" s="38">
        <v>4.633E-3</v>
      </c>
      <c r="N124" s="38">
        <v>0.104222</v>
      </c>
      <c r="O124" s="38">
        <v>105</v>
      </c>
      <c r="P124" s="38">
        <v>102</v>
      </c>
      <c r="Q124" s="38">
        <v>647.48737300000005</v>
      </c>
      <c r="R124" s="38" t="s">
        <v>120</v>
      </c>
      <c r="S124" s="38" t="s">
        <v>120</v>
      </c>
      <c r="T124" s="38" t="s">
        <v>120</v>
      </c>
      <c r="U124" s="38" t="s">
        <v>120</v>
      </c>
      <c r="V124" s="38" t="s">
        <v>120</v>
      </c>
      <c r="W124" s="38" t="s">
        <v>120</v>
      </c>
      <c r="X124" s="38" t="s">
        <v>259</v>
      </c>
    </row>
    <row r="125" spans="1:24" x14ac:dyDescent="0.45">
      <c r="A125" s="38" t="s">
        <v>382</v>
      </c>
      <c r="B125" s="38">
        <v>131</v>
      </c>
      <c r="C125" s="38" t="s">
        <v>258</v>
      </c>
      <c r="D125" s="38">
        <v>131</v>
      </c>
      <c r="E125" s="38">
        <v>130</v>
      </c>
      <c r="F125" s="38">
        <v>132</v>
      </c>
      <c r="G125" s="38">
        <v>121</v>
      </c>
      <c r="H125" s="38">
        <v>5749.4480519999997</v>
      </c>
      <c r="I125" s="38">
        <f t="shared" si="1"/>
        <v>5.749448052</v>
      </c>
      <c r="J125" s="38">
        <v>2546</v>
      </c>
      <c r="K125" s="38">
        <v>2747</v>
      </c>
      <c r="L125" s="38">
        <v>2696</v>
      </c>
      <c r="M125" s="38">
        <v>7.8270000000000006E-3</v>
      </c>
      <c r="N125" s="38">
        <v>0.21657499999999999</v>
      </c>
      <c r="O125" s="38">
        <v>184</v>
      </c>
      <c r="P125" s="38">
        <v>139</v>
      </c>
      <c r="Q125" s="38">
        <v>5749.4480519999997</v>
      </c>
      <c r="R125" s="38" t="s">
        <v>120</v>
      </c>
      <c r="S125" s="38" t="s">
        <v>120</v>
      </c>
      <c r="T125" s="38" t="s">
        <v>120</v>
      </c>
      <c r="U125" s="38" t="s">
        <v>120</v>
      </c>
      <c r="V125" s="38" t="s">
        <v>120</v>
      </c>
      <c r="W125" s="38" t="s">
        <v>120</v>
      </c>
      <c r="X125" s="38" t="s">
        <v>259</v>
      </c>
    </row>
    <row r="126" spans="1:24" x14ac:dyDescent="0.45">
      <c r="A126" s="38" t="s">
        <v>383</v>
      </c>
      <c r="B126" s="38">
        <v>128</v>
      </c>
      <c r="C126" s="38" t="s">
        <v>258</v>
      </c>
      <c r="D126" s="38">
        <v>128</v>
      </c>
      <c r="E126" s="38">
        <v>131</v>
      </c>
      <c r="F126" s="38">
        <v>126</v>
      </c>
      <c r="G126" s="38">
        <v>129</v>
      </c>
      <c r="H126" s="38">
        <v>2524.752884</v>
      </c>
      <c r="I126" s="38">
        <f t="shared" si="1"/>
        <v>2.5247528840000002</v>
      </c>
      <c r="J126" s="38">
        <v>2543</v>
      </c>
      <c r="K126" s="38">
        <v>2542</v>
      </c>
      <c r="L126" s="38">
        <v>2697</v>
      </c>
      <c r="M126" s="38">
        <v>0.114467</v>
      </c>
      <c r="N126" s="38">
        <v>0.27445399999999998</v>
      </c>
      <c r="O126" s="38">
        <v>1260</v>
      </c>
      <c r="P126" s="38">
        <v>971</v>
      </c>
      <c r="Q126" s="38">
        <v>2524.752884</v>
      </c>
      <c r="R126" s="38" t="s">
        <v>120</v>
      </c>
      <c r="S126" s="38" t="s">
        <v>120</v>
      </c>
      <c r="T126" s="38" t="s">
        <v>120</v>
      </c>
      <c r="U126" s="38" t="s">
        <v>120</v>
      </c>
      <c r="V126" s="38" t="s">
        <v>120</v>
      </c>
      <c r="W126" s="38" t="s">
        <v>120</v>
      </c>
      <c r="X126" s="38" t="s">
        <v>259</v>
      </c>
    </row>
    <row r="127" spans="1:24" x14ac:dyDescent="0.45">
      <c r="A127" s="38" t="s">
        <v>384</v>
      </c>
      <c r="B127" s="38">
        <v>126</v>
      </c>
      <c r="C127" s="38" t="s">
        <v>258</v>
      </c>
      <c r="D127" s="38">
        <v>126</v>
      </c>
      <c r="E127" s="38">
        <v>132</v>
      </c>
      <c r="F127" s="38">
        <v>128</v>
      </c>
      <c r="G127" s="38">
        <v>127</v>
      </c>
      <c r="H127" s="38">
        <v>1690.837841</v>
      </c>
      <c r="I127" s="38">
        <f t="shared" si="1"/>
        <v>1.690837841</v>
      </c>
      <c r="J127" s="38">
        <v>2541</v>
      </c>
      <c r="K127" s="38">
        <v>2539</v>
      </c>
      <c r="L127" s="38">
        <v>2698</v>
      </c>
      <c r="M127" s="38">
        <v>2.366E-3</v>
      </c>
      <c r="N127" s="38">
        <v>8.2597000000000004E-2</v>
      </c>
      <c r="O127" s="38">
        <v>109</v>
      </c>
      <c r="P127" s="38">
        <v>105</v>
      </c>
      <c r="Q127" s="38">
        <v>1690.837841</v>
      </c>
      <c r="R127" s="38" t="s">
        <v>120</v>
      </c>
      <c r="S127" s="38" t="s">
        <v>120</v>
      </c>
      <c r="T127" s="38" t="s">
        <v>120</v>
      </c>
      <c r="U127" s="38" t="s">
        <v>120</v>
      </c>
      <c r="V127" s="38" t="s">
        <v>120</v>
      </c>
      <c r="W127" s="38" t="s">
        <v>120</v>
      </c>
      <c r="X127" s="38" t="s">
        <v>259</v>
      </c>
    </row>
    <row r="128" spans="1:24" x14ac:dyDescent="0.45">
      <c r="A128" s="38" t="s">
        <v>385</v>
      </c>
      <c r="B128" s="38">
        <v>135</v>
      </c>
      <c r="C128" s="38" t="s">
        <v>258</v>
      </c>
      <c r="D128" s="38">
        <v>135</v>
      </c>
      <c r="E128" s="38">
        <v>133</v>
      </c>
      <c r="F128" s="38">
        <v>136</v>
      </c>
      <c r="G128" s="38">
        <v>123</v>
      </c>
      <c r="H128" s="38">
        <v>7603.7373729999999</v>
      </c>
      <c r="I128" s="38">
        <f t="shared" si="1"/>
        <v>7.6037373729999995</v>
      </c>
      <c r="J128" s="38">
        <v>2550</v>
      </c>
      <c r="K128" s="38">
        <v>2535</v>
      </c>
      <c r="L128" s="38">
        <v>2699</v>
      </c>
      <c r="M128" s="38">
        <v>2.9721999999999998E-2</v>
      </c>
      <c r="N128" s="38">
        <v>0.131491</v>
      </c>
      <c r="O128" s="38">
        <v>393</v>
      </c>
      <c r="P128" s="38">
        <v>167</v>
      </c>
      <c r="Q128" s="38">
        <v>7603.7373729999999</v>
      </c>
      <c r="R128" s="38" t="s">
        <v>120</v>
      </c>
      <c r="S128" s="38" t="s">
        <v>120</v>
      </c>
      <c r="T128" s="38" t="s">
        <v>120</v>
      </c>
      <c r="U128" s="38" t="s">
        <v>120</v>
      </c>
      <c r="V128" s="38" t="s">
        <v>120</v>
      </c>
      <c r="W128" s="38" t="s">
        <v>120</v>
      </c>
      <c r="X128" s="38" t="s">
        <v>259</v>
      </c>
    </row>
    <row r="129" spans="1:24" x14ac:dyDescent="0.45">
      <c r="A129" s="38" t="s">
        <v>386</v>
      </c>
      <c r="B129" s="38">
        <v>136</v>
      </c>
      <c r="C129" s="38" t="s">
        <v>258</v>
      </c>
      <c r="D129" s="38">
        <v>136</v>
      </c>
      <c r="E129" s="38">
        <v>134</v>
      </c>
      <c r="F129" s="38">
        <v>137</v>
      </c>
      <c r="G129" s="38">
        <v>119</v>
      </c>
      <c r="H129" s="38">
        <v>12160.171356000001</v>
      </c>
      <c r="I129" s="38">
        <f t="shared" si="1"/>
        <v>12.160171356000001</v>
      </c>
      <c r="J129" s="38">
        <v>2551</v>
      </c>
      <c r="K129" s="38">
        <v>2533</v>
      </c>
      <c r="L129" s="38">
        <v>2700</v>
      </c>
      <c r="M129" s="38">
        <v>7.1956000000000006E-2</v>
      </c>
      <c r="N129" s="38">
        <v>0.20739099999999999</v>
      </c>
      <c r="O129" s="38">
        <v>1051</v>
      </c>
      <c r="P129" s="38">
        <v>176</v>
      </c>
      <c r="Q129" s="38">
        <v>12160.171356000001</v>
      </c>
      <c r="R129" s="38" t="s">
        <v>120</v>
      </c>
      <c r="S129" s="38" t="s">
        <v>120</v>
      </c>
      <c r="T129" s="38" t="s">
        <v>120</v>
      </c>
      <c r="U129" s="38" t="s">
        <v>120</v>
      </c>
      <c r="V129" s="38" t="s">
        <v>120</v>
      </c>
      <c r="W129" s="38" t="s">
        <v>120</v>
      </c>
      <c r="X129" s="38" t="s">
        <v>259</v>
      </c>
    </row>
    <row r="130" spans="1:24" x14ac:dyDescent="0.45">
      <c r="A130" s="38" t="s">
        <v>387</v>
      </c>
      <c r="B130" s="38">
        <v>134</v>
      </c>
      <c r="C130" s="38" t="s">
        <v>258</v>
      </c>
      <c r="D130" s="38">
        <v>134</v>
      </c>
      <c r="E130" s="38">
        <v>135</v>
      </c>
      <c r="F130" s="38">
        <v>135</v>
      </c>
      <c r="G130" s="38">
        <v>129</v>
      </c>
      <c r="H130" s="38">
        <v>1998.11553</v>
      </c>
      <c r="I130" s="38">
        <f t="shared" si="1"/>
        <v>1.99811553</v>
      </c>
      <c r="J130" s="38">
        <v>2549</v>
      </c>
      <c r="K130" s="38">
        <v>2542</v>
      </c>
      <c r="L130" s="38">
        <v>2701</v>
      </c>
      <c r="M130" s="38">
        <v>5.4551000000000002E-2</v>
      </c>
      <c r="N130" s="38">
        <v>0.34764099999999998</v>
      </c>
      <c r="O130" s="38">
        <v>1080</v>
      </c>
      <c r="P130" s="38">
        <v>971</v>
      </c>
      <c r="Q130" s="38">
        <v>1998.11553</v>
      </c>
      <c r="R130" s="38" t="s">
        <v>120</v>
      </c>
      <c r="S130" s="38" t="s">
        <v>120</v>
      </c>
      <c r="T130" s="38" t="s">
        <v>120</v>
      </c>
      <c r="U130" s="38" t="s">
        <v>120</v>
      </c>
      <c r="V130" s="38" t="s">
        <v>120</v>
      </c>
      <c r="W130" s="38" t="s">
        <v>120</v>
      </c>
      <c r="X130" s="38" t="s">
        <v>259</v>
      </c>
    </row>
    <row r="131" spans="1:24" x14ac:dyDescent="0.45">
      <c r="A131" s="38" t="s">
        <v>388</v>
      </c>
      <c r="B131" s="38">
        <v>133</v>
      </c>
      <c r="C131" s="38" t="s">
        <v>258</v>
      </c>
      <c r="D131" s="38">
        <v>133</v>
      </c>
      <c r="E131" s="38">
        <v>138</v>
      </c>
      <c r="F131" s="38">
        <v>134</v>
      </c>
      <c r="G131" s="38">
        <v>133</v>
      </c>
      <c r="H131" s="38">
        <v>1774.5242599999999</v>
      </c>
      <c r="I131" s="38">
        <f t="shared" ref="I131:I160" si="2">H131/1000</f>
        <v>1.77452426</v>
      </c>
      <c r="J131" s="38">
        <v>2548</v>
      </c>
      <c r="K131" s="38">
        <v>2752</v>
      </c>
      <c r="L131" s="38">
        <v>2704</v>
      </c>
      <c r="M131" s="38">
        <v>2.4232E-2</v>
      </c>
      <c r="N131" s="38">
        <v>8.2991999999999996E-2</v>
      </c>
      <c r="O131" s="38">
        <v>159</v>
      </c>
      <c r="P131" s="38">
        <v>116</v>
      </c>
      <c r="Q131" s="38">
        <v>1774.5242599999999</v>
      </c>
      <c r="R131" s="38" t="s">
        <v>120</v>
      </c>
      <c r="S131" s="38" t="s">
        <v>120</v>
      </c>
      <c r="T131" s="38" t="s">
        <v>120</v>
      </c>
      <c r="U131" s="38" t="s">
        <v>120</v>
      </c>
      <c r="V131" s="38" t="s">
        <v>120</v>
      </c>
      <c r="W131" s="38" t="s">
        <v>120</v>
      </c>
      <c r="X131" s="38" t="s">
        <v>259</v>
      </c>
    </row>
    <row r="132" spans="1:24" x14ac:dyDescent="0.45">
      <c r="A132" s="38" t="s">
        <v>389</v>
      </c>
      <c r="B132" s="38">
        <v>137</v>
      </c>
      <c r="C132" s="38" t="s">
        <v>258</v>
      </c>
      <c r="D132" s="38">
        <v>137</v>
      </c>
      <c r="E132" s="38">
        <v>139</v>
      </c>
      <c r="F132" s="38">
        <v>138</v>
      </c>
      <c r="G132" s="38">
        <v>133</v>
      </c>
      <c r="H132" s="38">
        <v>5219.2703819999997</v>
      </c>
      <c r="I132" s="38">
        <f t="shared" si="2"/>
        <v>5.2192703819999995</v>
      </c>
      <c r="J132" s="38">
        <v>2552</v>
      </c>
      <c r="K132" s="38">
        <v>2752</v>
      </c>
      <c r="L132" s="38">
        <v>2705</v>
      </c>
      <c r="M132" s="38">
        <v>7.0889999999999998E-3</v>
      </c>
      <c r="N132" s="38">
        <v>9.9461999999999995E-2</v>
      </c>
      <c r="O132" s="38">
        <v>153</v>
      </c>
      <c r="P132" s="38">
        <v>116</v>
      </c>
      <c r="Q132" s="38">
        <v>5219.2703819999997</v>
      </c>
      <c r="R132" s="38" t="s">
        <v>120</v>
      </c>
      <c r="S132" s="38" t="s">
        <v>120</v>
      </c>
      <c r="T132" s="38" t="s">
        <v>120</v>
      </c>
      <c r="U132" s="38" t="s">
        <v>120</v>
      </c>
      <c r="V132" s="38" t="s">
        <v>120</v>
      </c>
      <c r="W132" s="38" t="s">
        <v>120</v>
      </c>
      <c r="X132" s="38" t="s">
        <v>259</v>
      </c>
    </row>
    <row r="133" spans="1:24" x14ac:dyDescent="0.45">
      <c r="A133" s="38" t="s">
        <v>390</v>
      </c>
      <c r="B133" s="38">
        <v>142</v>
      </c>
      <c r="C133" s="38" t="s">
        <v>258</v>
      </c>
      <c r="D133" s="38">
        <v>142</v>
      </c>
      <c r="E133" s="38">
        <v>140</v>
      </c>
      <c r="F133" s="38">
        <v>140</v>
      </c>
      <c r="G133" s="38">
        <v>145</v>
      </c>
      <c r="H133" s="38">
        <v>10586.790219</v>
      </c>
      <c r="I133" s="38">
        <f t="shared" si="2"/>
        <v>10.586790219000001</v>
      </c>
      <c r="J133" s="38">
        <v>2557</v>
      </c>
      <c r="K133" s="38">
        <v>2561</v>
      </c>
      <c r="L133" s="38">
        <v>2706</v>
      </c>
      <c r="M133" s="38">
        <v>4.0238999999999997E-2</v>
      </c>
      <c r="N133" s="38">
        <v>0.19964199999999999</v>
      </c>
      <c r="O133" s="38">
        <v>646</v>
      </c>
      <c r="P133" s="38">
        <v>220</v>
      </c>
      <c r="Q133" s="38">
        <v>10586.790219</v>
      </c>
      <c r="R133" s="38" t="s">
        <v>120</v>
      </c>
      <c r="S133" s="38" t="s">
        <v>120</v>
      </c>
      <c r="T133" s="38" t="s">
        <v>120</v>
      </c>
      <c r="U133" s="38" t="s">
        <v>120</v>
      </c>
      <c r="V133" s="38" t="s">
        <v>120</v>
      </c>
      <c r="W133" s="38" t="s">
        <v>120</v>
      </c>
      <c r="X133" s="38" t="s">
        <v>259</v>
      </c>
    </row>
    <row r="134" spans="1:24" x14ac:dyDescent="0.45">
      <c r="A134" s="38" t="s">
        <v>391</v>
      </c>
      <c r="B134" s="38">
        <v>139</v>
      </c>
      <c r="C134" s="38" t="s">
        <v>258</v>
      </c>
      <c r="D134" s="38">
        <v>139</v>
      </c>
      <c r="E134" s="38">
        <v>141</v>
      </c>
      <c r="F134" s="38">
        <v>142</v>
      </c>
      <c r="G134" s="38">
        <v>140</v>
      </c>
      <c r="H134" s="38">
        <v>9020.5528460000005</v>
      </c>
      <c r="I134" s="38">
        <f t="shared" si="2"/>
        <v>9.0205528460000011</v>
      </c>
      <c r="J134" s="38">
        <v>2554</v>
      </c>
      <c r="K134" s="38">
        <v>2557</v>
      </c>
      <c r="L134" s="38">
        <v>2707</v>
      </c>
      <c r="M134" s="38">
        <v>8.8797000000000001E-2</v>
      </c>
      <c r="N134" s="38">
        <v>0.34774699999999997</v>
      </c>
      <c r="O134" s="38">
        <v>1447</v>
      </c>
      <c r="P134" s="38">
        <v>646</v>
      </c>
      <c r="Q134" s="38">
        <v>9020.5528460000005</v>
      </c>
      <c r="R134" s="38" t="s">
        <v>120</v>
      </c>
      <c r="S134" s="38" t="s">
        <v>120</v>
      </c>
      <c r="T134" s="38" t="s">
        <v>120</v>
      </c>
      <c r="U134" s="38" t="s">
        <v>120</v>
      </c>
      <c r="V134" s="38" t="s">
        <v>120</v>
      </c>
      <c r="W134" s="38" t="s">
        <v>120</v>
      </c>
      <c r="X134" s="38" t="s">
        <v>259</v>
      </c>
    </row>
    <row r="135" spans="1:24" x14ac:dyDescent="0.45">
      <c r="A135" s="38" t="s">
        <v>392</v>
      </c>
      <c r="B135" s="38">
        <v>144</v>
      </c>
      <c r="C135" s="38" t="s">
        <v>258</v>
      </c>
      <c r="D135" s="38">
        <v>144</v>
      </c>
      <c r="E135" s="38">
        <v>142</v>
      </c>
      <c r="F135" s="38">
        <v>146</v>
      </c>
      <c r="G135" s="38">
        <v>140</v>
      </c>
      <c r="H135" s="38">
        <v>3408.2106779999999</v>
      </c>
      <c r="I135" s="38">
        <f t="shared" si="2"/>
        <v>3.4082106780000001</v>
      </c>
      <c r="J135" s="38">
        <v>2559</v>
      </c>
      <c r="K135" s="38">
        <v>2557</v>
      </c>
      <c r="L135" s="38">
        <v>2708</v>
      </c>
      <c r="M135" s="38">
        <v>6.7191000000000001E-2</v>
      </c>
      <c r="N135" s="38">
        <v>0.30938900000000003</v>
      </c>
      <c r="O135" s="38">
        <v>875</v>
      </c>
      <c r="P135" s="38">
        <v>646</v>
      </c>
      <c r="Q135" s="38">
        <v>3408.2106779999999</v>
      </c>
      <c r="R135" s="38" t="s">
        <v>120</v>
      </c>
      <c r="S135" s="38" t="s">
        <v>120</v>
      </c>
      <c r="T135" s="38" t="s">
        <v>120</v>
      </c>
      <c r="U135" s="38" t="s">
        <v>120</v>
      </c>
      <c r="V135" s="38" t="s">
        <v>120</v>
      </c>
      <c r="W135" s="38" t="s">
        <v>120</v>
      </c>
      <c r="X135" s="38" t="s">
        <v>259</v>
      </c>
    </row>
    <row r="136" spans="1:24" x14ac:dyDescent="0.45">
      <c r="A136" s="38" t="s">
        <v>393</v>
      </c>
      <c r="B136" s="38">
        <v>140</v>
      </c>
      <c r="C136" s="38" t="s">
        <v>258</v>
      </c>
      <c r="D136" s="38">
        <v>140</v>
      </c>
      <c r="E136" s="38">
        <v>143</v>
      </c>
      <c r="F136" s="38">
        <v>141</v>
      </c>
      <c r="G136" s="38">
        <v>143</v>
      </c>
      <c r="H136" s="38">
        <v>496.859217</v>
      </c>
      <c r="I136" s="38">
        <f t="shared" si="2"/>
        <v>0.49685921700000002</v>
      </c>
      <c r="J136" s="38">
        <v>2555</v>
      </c>
      <c r="K136" s="38">
        <v>2558</v>
      </c>
      <c r="L136" s="38">
        <v>2709</v>
      </c>
      <c r="M136" s="38">
        <v>6.6417000000000004E-2</v>
      </c>
      <c r="N136" s="38">
        <v>0.19555700000000001</v>
      </c>
      <c r="O136" s="38">
        <v>332</v>
      </c>
      <c r="P136" s="38">
        <v>299</v>
      </c>
      <c r="Q136" s="38">
        <v>496.859217</v>
      </c>
      <c r="R136" s="38" t="s">
        <v>120</v>
      </c>
      <c r="S136" s="38" t="s">
        <v>120</v>
      </c>
      <c r="T136" s="38" t="s">
        <v>120</v>
      </c>
      <c r="U136" s="38" t="s">
        <v>120</v>
      </c>
      <c r="V136" s="38" t="s">
        <v>120</v>
      </c>
      <c r="W136" s="38" t="s">
        <v>120</v>
      </c>
      <c r="X136" s="38" t="s">
        <v>259</v>
      </c>
    </row>
    <row r="137" spans="1:24" x14ac:dyDescent="0.45">
      <c r="A137" s="38" t="s">
        <v>394</v>
      </c>
      <c r="B137" s="38">
        <v>141</v>
      </c>
      <c r="C137" s="38" t="s">
        <v>258</v>
      </c>
      <c r="D137" s="38">
        <v>141</v>
      </c>
      <c r="E137" s="38">
        <v>144</v>
      </c>
      <c r="F137" s="38">
        <v>144</v>
      </c>
      <c r="G137" s="38">
        <v>143</v>
      </c>
      <c r="H137" s="38">
        <v>1279.105339</v>
      </c>
      <c r="I137" s="38">
        <f t="shared" si="2"/>
        <v>1.279105339</v>
      </c>
      <c r="J137" s="38">
        <v>2556</v>
      </c>
      <c r="K137" s="38">
        <v>2558</v>
      </c>
      <c r="L137" s="38">
        <v>2710</v>
      </c>
      <c r="M137" s="38">
        <v>8.2088999999999995E-2</v>
      </c>
      <c r="N137" s="38">
        <v>0.240867</v>
      </c>
      <c r="O137" s="38">
        <v>404</v>
      </c>
      <c r="P137" s="38">
        <v>299</v>
      </c>
      <c r="Q137" s="38">
        <v>1279.105339</v>
      </c>
      <c r="R137" s="38" t="s">
        <v>120</v>
      </c>
      <c r="S137" s="38" t="s">
        <v>120</v>
      </c>
      <c r="T137" s="38" t="s">
        <v>120</v>
      </c>
      <c r="U137" s="38" t="s">
        <v>120</v>
      </c>
      <c r="V137" s="38" t="s">
        <v>120</v>
      </c>
      <c r="W137" s="38" t="s">
        <v>120</v>
      </c>
      <c r="X137" s="38" t="s">
        <v>259</v>
      </c>
    </row>
    <row r="138" spans="1:24" x14ac:dyDescent="0.45">
      <c r="A138" s="38" t="s">
        <v>395</v>
      </c>
      <c r="B138" s="38">
        <v>143</v>
      </c>
      <c r="C138" s="38" t="s">
        <v>258</v>
      </c>
      <c r="D138" s="38">
        <v>143</v>
      </c>
      <c r="E138" s="38">
        <v>145</v>
      </c>
      <c r="F138" s="38">
        <v>143</v>
      </c>
      <c r="G138" s="38">
        <v>145</v>
      </c>
      <c r="H138" s="38">
        <v>2851.561146</v>
      </c>
      <c r="I138" s="38">
        <f t="shared" si="2"/>
        <v>2.8515611459999999</v>
      </c>
      <c r="J138" s="38">
        <v>2558</v>
      </c>
      <c r="K138" s="38">
        <v>2561</v>
      </c>
      <c r="L138" s="38">
        <v>2711</v>
      </c>
      <c r="M138" s="38">
        <v>2.7703999999999999E-2</v>
      </c>
      <c r="N138" s="38">
        <v>0.145506</v>
      </c>
      <c r="O138" s="38">
        <v>299</v>
      </c>
      <c r="P138" s="38">
        <v>220</v>
      </c>
      <c r="Q138" s="38">
        <v>2851.561146</v>
      </c>
      <c r="R138" s="38" t="s">
        <v>120</v>
      </c>
      <c r="S138" s="38" t="s">
        <v>120</v>
      </c>
      <c r="T138" s="38" t="s">
        <v>120</v>
      </c>
      <c r="U138" s="38" t="s">
        <v>120</v>
      </c>
      <c r="V138" s="38" t="s">
        <v>120</v>
      </c>
      <c r="W138" s="38" t="s">
        <v>120</v>
      </c>
      <c r="X138" s="38" t="s">
        <v>259</v>
      </c>
    </row>
    <row r="139" spans="1:24" x14ac:dyDescent="0.45">
      <c r="A139" s="38" t="s">
        <v>396</v>
      </c>
      <c r="B139" s="38">
        <v>149</v>
      </c>
      <c r="C139" s="38" t="s">
        <v>258</v>
      </c>
      <c r="D139" s="38">
        <v>149</v>
      </c>
      <c r="E139" s="38">
        <v>146</v>
      </c>
      <c r="F139" s="38">
        <v>149</v>
      </c>
      <c r="G139" s="38">
        <v>148</v>
      </c>
      <c r="H139" s="38">
        <v>6254.7781370000002</v>
      </c>
      <c r="I139" s="38">
        <f t="shared" si="2"/>
        <v>6.2547781370000006</v>
      </c>
      <c r="J139" s="38">
        <v>2564</v>
      </c>
      <c r="K139" s="38">
        <v>2562</v>
      </c>
      <c r="L139" s="38">
        <v>2712</v>
      </c>
      <c r="M139" s="38">
        <v>3.1175999999999999E-2</v>
      </c>
      <c r="N139" s="38">
        <v>0.141457</v>
      </c>
      <c r="O139" s="38">
        <v>416</v>
      </c>
      <c r="P139" s="38">
        <v>221</v>
      </c>
      <c r="Q139" s="38">
        <v>6254.7781370000002</v>
      </c>
      <c r="R139" s="38" t="s">
        <v>120</v>
      </c>
      <c r="S139" s="38" t="s">
        <v>120</v>
      </c>
      <c r="T139" s="38" t="s">
        <v>120</v>
      </c>
      <c r="U139" s="38" t="s">
        <v>120</v>
      </c>
      <c r="V139" s="38" t="s">
        <v>120</v>
      </c>
      <c r="W139" s="38" t="s">
        <v>120</v>
      </c>
      <c r="X139" s="38" t="s">
        <v>259</v>
      </c>
    </row>
    <row r="140" spans="1:24" x14ac:dyDescent="0.45">
      <c r="A140" s="38" t="s">
        <v>397</v>
      </c>
      <c r="B140" s="38">
        <v>146</v>
      </c>
      <c r="C140" s="38" t="s">
        <v>258</v>
      </c>
      <c r="D140" s="38">
        <v>146</v>
      </c>
      <c r="E140" s="38">
        <v>147</v>
      </c>
      <c r="F140" s="38">
        <v>145</v>
      </c>
      <c r="G140" s="38">
        <v>148</v>
      </c>
      <c r="H140" s="38">
        <v>292.30970400000001</v>
      </c>
      <c r="I140" s="38">
        <f t="shared" si="2"/>
        <v>0.292309704</v>
      </c>
      <c r="J140" s="38">
        <v>2561</v>
      </c>
      <c r="K140" s="38">
        <v>2562</v>
      </c>
      <c r="L140" s="38">
        <v>2713</v>
      </c>
      <c r="M140" s="38">
        <v>2.0525999999999999E-2</v>
      </c>
      <c r="N140" s="38">
        <v>0.106575</v>
      </c>
      <c r="O140" s="38">
        <v>220</v>
      </c>
      <c r="P140" s="38">
        <v>214</v>
      </c>
      <c r="Q140" s="38">
        <v>292.30970400000001</v>
      </c>
      <c r="R140" s="38" t="s">
        <v>120</v>
      </c>
      <c r="S140" s="38" t="s">
        <v>120</v>
      </c>
      <c r="T140" s="38" t="s">
        <v>120</v>
      </c>
      <c r="U140" s="38" t="s">
        <v>120</v>
      </c>
      <c r="V140" s="38" t="s">
        <v>120</v>
      </c>
      <c r="W140" s="38" t="s">
        <v>120</v>
      </c>
      <c r="X140" s="38" t="s">
        <v>259</v>
      </c>
    </row>
    <row r="141" spans="1:24" x14ac:dyDescent="0.45">
      <c r="A141" s="38" t="s">
        <v>398</v>
      </c>
      <c r="B141" s="38">
        <v>148</v>
      </c>
      <c r="C141" s="38" t="s">
        <v>258</v>
      </c>
      <c r="D141" s="38">
        <v>148</v>
      </c>
      <c r="E141" s="38">
        <v>148</v>
      </c>
      <c r="F141" s="38">
        <v>150</v>
      </c>
      <c r="G141" s="38">
        <v>146</v>
      </c>
      <c r="H141" s="38">
        <v>6951.9106199999997</v>
      </c>
      <c r="I141" s="38">
        <f t="shared" si="2"/>
        <v>6.9519106199999996</v>
      </c>
      <c r="J141" s="38">
        <v>2563</v>
      </c>
      <c r="K141" s="38">
        <v>2559</v>
      </c>
      <c r="L141" s="38">
        <v>2714</v>
      </c>
      <c r="M141" s="38">
        <v>0.13550200000000001</v>
      </c>
      <c r="N141" s="38">
        <v>0.44707599999999997</v>
      </c>
      <c r="O141" s="38">
        <v>1817</v>
      </c>
      <c r="P141" s="38">
        <v>875</v>
      </c>
      <c r="Q141" s="38">
        <v>6951.9106199999997</v>
      </c>
      <c r="R141" s="38" t="s">
        <v>120</v>
      </c>
      <c r="S141" s="38" t="s">
        <v>120</v>
      </c>
      <c r="T141" s="38" t="s">
        <v>120</v>
      </c>
      <c r="U141" s="38" t="s">
        <v>120</v>
      </c>
      <c r="V141" s="38" t="s">
        <v>120</v>
      </c>
      <c r="W141" s="38" t="s">
        <v>120</v>
      </c>
      <c r="X141" s="38" t="s">
        <v>259</v>
      </c>
    </row>
    <row r="142" spans="1:24" x14ac:dyDescent="0.45">
      <c r="A142" s="38" t="s">
        <v>399</v>
      </c>
      <c r="B142" s="38">
        <v>150</v>
      </c>
      <c r="C142" s="38" t="s">
        <v>258</v>
      </c>
      <c r="D142" s="38">
        <v>150</v>
      </c>
      <c r="E142" s="38">
        <v>149</v>
      </c>
      <c r="F142" s="38">
        <v>151</v>
      </c>
      <c r="G142" s="38">
        <v>146</v>
      </c>
      <c r="H142" s="38">
        <v>4610.6286049999999</v>
      </c>
      <c r="I142" s="38">
        <f t="shared" si="2"/>
        <v>4.6106286049999996</v>
      </c>
      <c r="J142" s="38">
        <v>2565</v>
      </c>
      <c r="K142" s="38">
        <v>2559</v>
      </c>
      <c r="L142" s="38">
        <v>2715</v>
      </c>
      <c r="M142" s="38">
        <v>0.144015</v>
      </c>
      <c r="N142" s="38">
        <v>0.48547800000000002</v>
      </c>
      <c r="O142" s="38">
        <v>1539</v>
      </c>
      <c r="P142" s="38">
        <v>875</v>
      </c>
      <c r="Q142" s="38">
        <v>4610.6286049999999</v>
      </c>
      <c r="R142" s="38" t="s">
        <v>120</v>
      </c>
      <c r="S142" s="38" t="s">
        <v>120</v>
      </c>
      <c r="T142" s="38" t="s">
        <v>120</v>
      </c>
      <c r="U142" s="38" t="s">
        <v>120</v>
      </c>
      <c r="V142" s="38" t="s">
        <v>120</v>
      </c>
      <c r="W142" s="38" t="s">
        <v>120</v>
      </c>
      <c r="X142" s="38" t="s">
        <v>259</v>
      </c>
    </row>
    <row r="143" spans="1:24" x14ac:dyDescent="0.45">
      <c r="A143" s="38" t="s">
        <v>400</v>
      </c>
      <c r="B143" s="38">
        <v>147</v>
      </c>
      <c r="C143" s="38" t="s">
        <v>258</v>
      </c>
      <c r="D143" s="38">
        <v>147</v>
      </c>
      <c r="E143" s="38">
        <v>150</v>
      </c>
      <c r="F143" s="38">
        <v>148</v>
      </c>
      <c r="G143" s="38">
        <v>147</v>
      </c>
      <c r="H143" s="38">
        <v>1486.2436869999999</v>
      </c>
      <c r="I143" s="38">
        <f t="shared" si="2"/>
        <v>1.486243687</v>
      </c>
      <c r="J143" s="38">
        <v>2562</v>
      </c>
      <c r="K143" s="38">
        <v>2763</v>
      </c>
      <c r="L143" s="38">
        <v>2716</v>
      </c>
      <c r="M143" s="38">
        <v>1.2784E-2</v>
      </c>
      <c r="N143" s="38">
        <v>8.1402000000000002E-2</v>
      </c>
      <c r="O143" s="38">
        <v>221</v>
      </c>
      <c r="P143" s="38">
        <v>202</v>
      </c>
      <c r="Q143" s="38">
        <v>1486.2436869999999</v>
      </c>
      <c r="R143" s="38" t="s">
        <v>120</v>
      </c>
      <c r="S143" s="38" t="s">
        <v>120</v>
      </c>
      <c r="T143" s="38" t="s">
        <v>120</v>
      </c>
      <c r="U143" s="38" t="s">
        <v>120</v>
      </c>
      <c r="V143" s="38" t="s">
        <v>120</v>
      </c>
      <c r="W143" s="38" t="s">
        <v>120</v>
      </c>
      <c r="X143" s="38" t="s">
        <v>259</v>
      </c>
    </row>
    <row r="144" spans="1:24" x14ac:dyDescent="0.45">
      <c r="A144" s="38" t="s">
        <v>401</v>
      </c>
      <c r="B144" s="38">
        <v>151</v>
      </c>
      <c r="C144" s="38" t="s">
        <v>258</v>
      </c>
      <c r="D144" s="38">
        <v>151</v>
      </c>
      <c r="E144" s="38">
        <v>151</v>
      </c>
      <c r="F144" s="38">
        <v>152</v>
      </c>
      <c r="G144" s="38">
        <v>147</v>
      </c>
      <c r="H144" s="38">
        <v>10865.653858</v>
      </c>
      <c r="I144" s="38">
        <f t="shared" si="2"/>
        <v>10.865653858</v>
      </c>
      <c r="J144" s="38">
        <v>2566</v>
      </c>
      <c r="K144" s="38">
        <v>2763</v>
      </c>
      <c r="L144" s="38">
        <v>2717</v>
      </c>
      <c r="M144" s="38">
        <v>5.2734999999999997E-2</v>
      </c>
      <c r="N144" s="38">
        <v>0.20780299999999999</v>
      </c>
      <c r="O144" s="38">
        <v>775</v>
      </c>
      <c r="P144" s="38">
        <v>202</v>
      </c>
      <c r="Q144" s="38">
        <v>10865.653858</v>
      </c>
      <c r="R144" s="38" t="s">
        <v>120</v>
      </c>
      <c r="S144" s="38" t="s">
        <v>120</v>
      </c>
      <c r="T144" s="38" t="s">
        <v>120</v>
      </c>
      <c r="U144" s="38" t="s">
        <v>120</v>
      </c>
      <c r="V144" s="38" t="s">
        <v>120</v>
      </c>
      <c r="W144" s="38" t="s">
        <v>120</v>
      </c>
      <c r="X144" s="38" t="s">
        <v>259</v>
      </c>
    </row>
    <row r="145" spans="1:24" x14ac:dyDescent="0.45">
      <c r="A145" s="38" t="s">
        <v>402</v>
      </c>
      <c r="B145" s="38">
        <v>153</v>
      </c>
      <c r="C145" s="38" t="s">
        <v>258</v>
      </c>
      <c r="D145" s="38">
        <v>78</v>
      </c>
      <c r="E145" s="38">
        <v>77</v>
      </c>
      <c r="F145" s="38">
        <v>153</v>
      </c>
      <c r="G145" s="38">
        <v>79</v>
      </c>
      <c r="H145" s="38">
        <v>4947.3611080000001</v>
      </c>
      <c r="I145" s="38">
        <f t="shared" si="2"/>
        <v>4.947361108</v>
      </c>
      <c r="J145" s="38">
        <v>2493</v>
      </c>
      <c r="K145" s="38">
        <v>2498</v>
      </c>
      <c r="L145" s="38">
        <v>2719</v>
      </c>
      <c r="M145" s="38">
        <v>6.0599999999999998E-4</v>
      </c>
      <c r="N145" s="38">
        <v>8.4225999999999995E-2</v>
      </c>
      <c r="O145" s="38">
        <v>53</v>
      </c>
      <c r="P145" s="38">
        <v>50</v>
      </c>
      <c r="Q145" s="38">
        <v>4947.3611080000001</v>
      </c>
      <c r="R145" s="38" t="s">
        <v>120</v>
      </c>
      <c r="S145" s="38" t="s">
        <v>120</v>
      </c>
      <c r="T145" s="38" t="s">
        <v>120</v>
      </c>
      <c r="U145" s="38" t="s">
        <v>120</v>
      </c>
      <c r="V145" s="38" t="s">
        <v>120</v>
      </c>
      <c r="W145" s="38" t="s">
        <v>120</v>
      </c>
      <c r="X145" s="38" t="s">
        <v>259</v>
      </c>
    </row>
    <row r="146" spans="1:24" x14ac:dyDescent="0.45">
      <c r="A146" s="38" t="s">
        <v>403</v>
      </c>
      <c r="B146" s="38">
        <v>152</v>
      </c>
      <c r="C146" s="38" t="s">
        <v>258</v>
      </c>
      <c r="D146" s="38">
        <v>78</v>
      </c>
      <c r="E146" s="38">
        <v>77</v>
      </c>
      <c r="F146" s="38">
        <v>73</v>
      </c>
      <c r="G146" s="38">
        <v>153</v>
      </c>
      <c r="H146" s="38">
        <v>3895.5844120000002</v>
      </c>
      <c r="I146" s="38">
        <f t="shared" si="2"/>
        <v>3.8955844120000003</v>
      </c>
      <c r="J146" s="38">
        <v>2721</v>
      </c>
      <c r="K146" s="38">
        <v>2493</v>
      </c>
      <c r="L146" s="38">
        <v>2720</v>
      </c>
      <c r="M146" s="38">
        <v>2.5700000000000001E-4</v>
      </c>
      <c r="N146" s="38">
        <v>9.2657000000000003E-2</v>
      </c>
      <c r="O146" s="38">
        <v>54</v>
      </c>
      <c r="P146" s="38">
        <v>53</v>
      </c>
      <c r="Q146" s="38">
        <v>3895.5844120000002</v>
      </c>
      <c r="R146" s="38" t="s">
        <v>120</v>
      </c>
      <c r="S146" s="38" t="s">
        <v>120</v>
      </c>
      <c r="T146" s="38" t="s">
        <v>120</v>
      </c>
      <c r="U146" s="38" t="s">
        <v>120</v>
      </c>
      <c r="V146" s="38" t="s">
        <v>120</v>
      </c>
      <c r="W146" s="38" t="s">
        <v>120</v>
      </c>
      <c r="X146" s="38" t="s">
        <v>259</v>
      </c>
    </row>
    <row r="147" spans="1:24" x14ac:dyDescent="0.45">
      <c r="A147" s="38" t="s">
        <v>404</v>
      </c>
      <c r="B147" s="38">
        <v>154</v>
      </c>
      <c r="C147" s="38" t="s">
        <v>258</v>
      </c>
      <c r="D147" s="38">
        <v>64</v>
      </c>
      <c r="E147" s="38">
        <v>74</v>
      </c>
      <c r="F147" s="38">
        <v>154</v>
      </c>
      <c r="G147" s="38">
        <v>51</v>
      </c>
      <c r="H147" s="38">
        <v>1421.751442</v>
      </c>
      <c r="I147" s="38">
        <f t="shared" si="2"/>
        <v>1.4217514419999999</v>
      </c>
      <c r="J147" s="38">
        <v>2479</v>
      </c>
      <c r="K147" s="38">
        <v>2463</v>
      </c>
      <c r="L147" s="38">
        <v>2724</v>
      </c>
      <c r="M147" s="38">
        <v>4.2199999999999998E-3</v>
      </c>
      <c r="N147" s="38">
        <v>9.3252000000000002E-2</v>
      </c>
      <c r="O147" s="38">
        <v>111</v>
      </c>
      <c r="P147" s="38">
        <v>105</v>
      </c>
      <c r="Q147" s="38">
        <v>1421.751442</v>
      </c>
      <c r="R147" s="38" t="s">
        <v>120</v>
      </c>
      <c r="S147" s="38" t="s">
        <v>120</v>
      </c>
      <c r="T147" s="38" t="s">
        <v>120</v>
      </c>
      <c r="U147" s="38" t="s">
        <v>120</v>
      </c>
      <c r="V147" s="38" t="s">
        <v>120</v>
      </c>
      <c r="W147" s="38" t="s">
        <v>120</v>
      </c>
      <c r="X147" s="38" t="s">
        <v>259</v>
      </c>
    </row>
    <row r="148" spans="1:24" x14ac:dyDescent="0.45">
      <c r="A148" s="38" t="s">
        <v>405</v>
      </c>
      <c r="B148" s="38">
        <v>155</v>
      </c>
      <c r="C148" s="38" t="s">
        <v>258</v>
      </c>
      <c r="D148" s="38">
        <v>64</v>
      </c>
      <c r="E148" s="38">
        <v>74</v>
      </c>
      <c r="F148" s="38">
        <v>68</v>
      </c>
      <c r="G148" s="38">
        <v>154</v>
      </c>
      <c r="H148" s="38">
        <v>5429.5310220000001</v>
      </c>
      <c r="I148" s="38">
        <f t="shared" si="2"/>
        <v>5.4295310219999999</v>
      </c>
      <c r="J148" s="38">
        <v>2727</v>
      </c>
      <c r="K148" s="38">
        <v>2479</v>
      </c>
      <c r="L148" s="38">
        <v>2725</v>
      </c>
      <c r="M148" s="38">
        <v>3.4989999999999999E-3</v>
      </c>
      <c r="N148" s="38">
        <v>9.0984999999999996E-2</v>
      </c>
      <c r="O148" s="38">
        <v>130</v>
      </c>
      <c r="P148" s="38">
        <v>111</v>
      </c>
      <c r="Q148" s="38">
        <v>5429.5310220000001</v>
      </c>
      <c r="R148" s="38" t="s">
        <v>120</v>
      </c>
      <c r="S148" s="38" t="s">
        <v>120</v>
      </c>
      <c r="T148" s="38" t="s">
        <v>120</v>
      </c>
      <c r="U148" s="38" t="s">
        <v>120</v>
      </c>
      <c r="V148" s="38" t="s">
        <v>120</v>
      </c>
      <c r="W148" s="38" t="s">
        <v>120</v>
      </c>
      <c r="X148" s="38" t="s">
        <v>259</v>
      </c>
    </row>
    <row r="149" spans="1:24" x14ac:dyDescent="0.45">
      <c r="A149" s="38" t="s">
        <v>406</v>
      </c>
      <c r="B149" s="38">
        <v>157</v>
      </c>
      <c r="C149" s="38" t="s">
        <v>258</v>
      </c>
      <c r="D149" s="38">
        <v>94</v>
      </c>
      <c r="E149" s="38">
        <v>95</v>
      </c>
      <c r="F149" s="38">
        <v>155</v>
      </c>
      <c r="G149" s="38">
        <v>85</v>
      </c>
      <c r="H149" s="38">
        <v>11510.560056</v>
      </c>
      <c r="I149" s="38">
        <f t="shared" si="2"/>
        <v>11.510560056000001</v>
      </c>
      <c r="J149" s="38">
        <v>2509</v>
      </c>
      <c r="K149" s="38">
        <v>2504</v>
      </c>
      <c r="L149" s="38">
        <v>2729</v>
      </c>
      <c r="M149" s="38">
        <v>3.0409999999999999E-3</v>
      </c>
      <c r="N149" s="38">
        <v>7.3366000000000001E-2</v>
      </c>
      <c r="O149" s="38">
        <v>115</v>
      </c>
      <c r="P149" s="38">
        <v>80</v>
      </c>
      <c r="Q149" s="38">
        <v>11510.560056</v>
      </c>
      <c r="R149" s="38" t="s">
        <v>120</v>
      </c>
      <c r="S149" s="38" t="s">
        <v>120</v>
      </c>
      <c r="T149" s="38" t="s">
        <v>120</v>
      </c>
      <c r="U149" s="38" t="s">
        <v>120</v>
      </c>
      <c r="V149" s="38" t="s">
        <v>120</v>
      </c>
      <c r="W149" s="38" t="s">
        <v>120</v>
      </c>
      <c r="X149" s="38" t="s">
        <v>259</v>
      </c>
    </row>
    <row r="150" spans="1:24" x14ac:dyDescent="0.45">
      <c r="A150" s="38" t="s">
        <v>407</v>
      </c>
      <c r="B150" s="38">
        <v>156</v>
      </c>
      <c r="C150" s="38" t="s">
        <v>258</v>
      </c>
      <c r="D150" s="38">
        <v>94</v>
      </c>
      <c r="E150" s="38">
        <v>95</v>
      </c>
      <c r="F150" s="38">
        <v>94</v>
      </c>
      <c r="G150" s="38">
        <v>155</v>
      </c>
      <c r="H150" s="38">
        <v>3109.0358930000002</v>
      </c>
      <c r="I150" s="38">
        <f t="shared" si="2"/>
        <v>3.1090358930000002</v>
      </c>
      <c r="J150" s="38">
        <v>2731</v>
      </c>
      <c r="K150" s="38">
        <v>2509</v>
      </c>
      <c r="L150" s="38">
        <v>2730</v>
      </c>
      <c r="M150" s="38">
        <v>7.0759999999999998E-3</v>
      </c>
      <c r="N150" s="38">
        <v>7.3002999999999998E-2</v>
      </c>
      <c r="O150" s="38">
        <v>137</v>
      </c>
      <c r="P150" s="38">
        <v>115</v>
      </c>
      <c r="Q150" s="38">
        <v>3109.0358930000002</v>
      </c>
      <c r="R150" s="38" t="s">
        <v>120</v>
      </c>
      <c r="S150" s="38" t="s">
        <v>120</v>
      </c>
      <c r="T150" s="38" t="s">
        <v>120</v>
      </c>
      <c r="U150" s="38" t="s">
        <v>120</v>
      </c>
      <c r="V150" s="38" t="s">
        <v>120</v>
      </c>
      <c r="W150" s="38" t="s">
        <v>120</v>
      </c>
      <c r="X150" s="38" t="s">
        <v>259</v>
      </c>
    </row>
    <row r="151" spans="1:24" x14ac:dyDescent="0.45">
      <c r="A151" s="38" t="s">
        <v>408</v>
      </c>
      <c r="B151" s="38">
        <v>159</v>
      </c>
      <c r="C151" s="38" t="s">
        <v>258</v>
      </c>
      <c r="D151" s="38">
        <v>103</v>
      </c>
      <c r="E151" s="38">
        <v>107</v>
      </c>
      <c r="F151" s="38">
        <v>156</v>
      </c>
      <c r="G151" s="38">
        <v>108</v>
      </c>
      <c r="H151" s="38">
        <v>1291.5737730000001</v>
      </c>
      <c r="I151" s="38">
        <f t="shared" si="2"/>
        <v>1.2915737730000001</v>
      </c>
      <c r="J151" s="38">
        <v>2518</v>
      </c>
      <c r="K151" s="38">
        <v>2523</v>
      </c>
      <c r="L151" s="38">
        <v>2734</v>
      </c>
      <c r="M151" s="38">
        <v>1E-3</v>
      </c>
      <c r="N151" s="38">
        <v>6.2644000000000005E-2</v>
      </c>
      <c r="O151" s="38">
        <v>115</v>
      </c>
      <c r="P151" s="38">
        <v>117</v>
      </c>
      <c r="Q151" s="38">
        <v>1291.5737730000001</v>
      </c>
      <c r="R151" s="38" t="s">
        <v>120</v>
      </c>
      <c r="S151" s="38" t="s">
        <v>120</v>
      </c>
      <c r="T151" s="38" t="s">
        <v>120</v>
      </c>
      <c r="U151" s="38" t="s">
        <v>120</v>
      </c>
      <c r="V151" s="38" t="s">
        <v>120</v>
      </c>
      <c r="W151" s="38" t="s">
        <v>120</v>
      </c>
      <c r="X151" s="38" t="s">
        <v>259</v>
      </c>
    </row>
    <row r="152" spans="1:24" x14ac:dyDescent="0.45">
      <c r="A152" s="38" t="s">
        <v>409</v>
      </c>
      <c r="B152" s="38">
        <v>158</v>
      </c>
      <c r="C152" s="38" t="s">
        <v>258</v>
      </c>
      <c r="D152" s="38">
        <v>103</v>
      </c>
      <c r="E152" s="38">
        <v>107</v>
      </c>
      <c r="F152" s="38">
        <v>105</v>
      </c>
      <c r="G152" s="38">
        <v>156</v>
      </c>
      <c r="H152" s="38">
        <v>1150.7043650000001</v>
      </c>
      <c r="I152" s="38">
        <f t="shared" si="2"/>
        <v>1.150704365</v>
      </c>
      <c r="J152" s="38">
        <v>2736</v>
      </c>
      <c r="K152" s="38">
        <v>2518</v>
      </c>
      <c r="L152" s="38">
        <v>2735</v>
      </c>
      <c r="M152" s="38">
        <v>2.6069999999999999E-3</v>
      </c>
      <c r="N152" s="38">
        <v>8.6064000000000002E-2</v>
      </c>
      <c r="O152" s="38">
        <v>118</v>
      </c>
      <c r="P152" s="38">
        <v>115</v>
      </c>
      <c r="Q152" s="38">
        <v>1150.7043650000001</v>
      </c>
      <c r="R152" s="38" t="s">
        <v>120</v>
      </c>
      <c r="S152" s="38" t="s">
        <v>120</v>
      </c>
      <c r="T152" s="38" t="s">
        <v>120</v>
      </c>
      <c r="U152" s="38" t="s">
        <v>120</v>
      </c>
      <c r="V152" s="38" t="s">
        <v>120</v>
      </c>
      <c r="W152" s="38" t="s">
        <v>120</v>
      </c>
      <c r="X152" s="38" t="s">
        <v>259</v>
      </c>
    </row>
    <row r="153" spans="1:24" x14ac:dyDescent="0.45">
      <c r="A153" s="38" t="s">
        <v>410</v>
      </c>
      <c r="B153" s="38">
        <v>160</v>
      </c>
      <c r="C153" s="38" t="s">
        <v>258</v>
      </c>
      <c r="D153" s="38">
        <v>110</v>
      </c>
      <c r="E153" s="38">
        <v>114</v>
      </c>
      <c r="F153" s="38">
        <v>157</v>
      </c>
      <c r="G153" s="38">
        <v>108</v>
      </c>
      <c r="H153" s="38">
        <v>1354.594155</v>
      </c>
      <c r="I153" s="38">
        <f t="shared" si="2"/>
        <v>1.354594155</v>
      </c>
      <c r="J153" s="38">
        <v>2525</v>
      </c>
      <c r="K153" s="38">
        <v>2523</v>
      </c>
      <c r="L153" s="38">
        <v>2739</v>
      </c>
      <c r="M153" s="38">
        <v>1E-3</v>
      </c>
      <c r="N153" s="38">
        <v>9.3229999999999993E-2</v>
      </c>
      <c r="O153" s="38">
        <v>113</v>
      </c>
      <c r="P153" s="38">
        <v>117</v>
      </c>
      <c r="Q153" s="38">
        <v>1354.594155</v>
      </c>
      <c r="R153" s="38" t="s">
        <v>120</v>
      </c>
      <c r="S153" s="38" t="s">
        <v>120</v>
      </c>
      <c r="T153" s="38" t="s">
        <v>120</v>
      </c>
      <c r="U153" s="38" t="s">
        <v>120</v>
      </c>
      <c r="V153" s="38" t="s">
        <v>120</v>
      </c>
      <c r="W153" s="38" t="s">
        <v>120</v>
      </c>
      <c r="X153" s="38" t="s">
        <v>259</v>
      </c>
    </row>
    <row r="154" spans="1:24" x14ac:dyDescent="0.45">
      <c r="A154" s="38" t="s">
        <v>411</v>
      </c>
      <c r="B154" s="38">
        <v>161</v>
      </c>
      <c r="C154" s="38" t="s">
        <v>258</v>
      </c>
      <c r="D154" s="38">
        <v>110</v>
      </c>
      <c r="E154" s="38">
        <v>114</v>
      </c>
      <c r="F154" s="38">
        <v>112</v>
      </c>
      <c r="G154" s="38">
        <v>157</v>
      </c>
      <c r="H154" s="38">
        <v>3906.1868669999999</v>
      </c>
      <c r="I154" s="38">
        <f t="shared" si="2"/>
        <v>3.9061868669999997</v>
      </c>
      <c r="J154" s="38">
        <v>2742</v>
      </c>
      <c r="K154" s="38">
        <v>2525</v>
      </c>
      <c r="L154" s="38">
        <v>2740</v>
      </c>
      <c r="M154" s="38">
        <v>4.8640000000000003E-3</v>
      </c>
      <c r="N154" s="38">
        <v>7.4922000000000002E-2</v>
      </c>
      <c r="O154" s="38">
        <v>132</v>
      </c>
      <c r="P154" s="38">
        <v>113</v>
      </c>
      <c r="Q154" s="38">
        <v>3906.1868669999999</v>
      </c>
      <c r="R154" s="38" t="s">
        <v>120</v>
      </c>
      <c r="S154" s="38" t="s">
        <v>120</v>
      </c>
      <c r="T154" s="38" t="s">
        <v>120</v>
      </c>
      <c r="U154" s="38" t="s">
        <v>120</v>
      </c>
      <c r="V154" s="38" t="s">
        <v>120</v>
      </c>
      <c r="W154" s="38" t="s">
        <v>120</v>
      </c>
      <c r="X154" s="38" t="s">
        <v>259</v>
      </c>
    </row>
    <row r="155" spans="1:24" x14ac:dyDescent="0.45">
      <c r="A155" s="38" t="s">
        <v>412</v>
      </c>
      <c r="B155" s="38">
        <v>162</v>
      </c>
      <c r="C155" s="38" t="s">
        <v>258</v>
      </c>
      <c r="D155" s="38">
        <v>125</v>
      </c>
      <c r="E155" s="38">
        <v>120</v>
      </c>
      <c r="F155" s="38">
        <v>158</v>
      </c>
      <c r="G155" s="38">
        <v>127</v>
      </c>
      <c r="H155" s="38">
        <v>3999.7213179999999</v>
      </c>
      <c r="I155" s="38">
        <f t="shared" si="2"/>
        <v>3.9997213179999997</v>
      </c>
      <c r="J155" s="38">
        <v>2540</v>
      </c>
      <c r="K155" s="38">
        <v>2539</v>
      </c>
      <c r="L155" s="38">
        <v>2744</v>
      </c>
      <c r="M155" s="38">
        <v>2.2499999999999998E-3</v>
      </c>
      <c r="N155" s="38">
        <v>8.0012E-2</v>
      </c>
      <c r="O155" s="38">
        <v>114</v>
      </c>
      <c r="P155" s="38">
        <v>105</v>
      </c>
      <c r="Q155" s="38">
        <v>3999.7213179999999</v>
      </c>
      <c r="R155" s="38" t="s">
        <v>120</v>
      </c>
      <c r="S155" s="38" t="s">
        <v>120</v>
      </c>
      <c r="T155" s="38" t="s">
        <v>120</v>
      </c>
      <c r="U155" s="38" t="s">
        <v>120</v>
      </c>
      <c r="V155" s="38" t="s">
        <v>120</v>
      </c>
      <c r="W155" s="38" t="s">
        <v>120</v>
      </c>
      <c r="X155" s="38" t="s">
        <v>259</v>
      </c>
    </row>
    <row r="156" spans="1:24" x14ac:dyDescent="0.45">
      <c r="A156" s="38" t="s">
        <v>413</v>
      </c>
      <c r="B156" s="38">
        <v>163</v>
      </c>
      <c r="C156" s="38" t="s">
        <v>258</v>
      </c>
      <c r="D156" s="38">
        <v>125</v>
      </c>
      <c r="E156" s="38">
        <v>120</v>
      </c>
      <c r="F156" s="38">
        <v>121</v>
      </c>
      <c r="G156" s="38">
        <v>158</v>
      </c>
      <c r="H156" s="38">
        <v>6895.7999620000001</v>
      </c>
      <c r="I156" s="38">
        <f t="shared" si="2"/>
        <v>6.8957999619999999</v>
      </c>
      <c r="J156" s="38">
        <v>2747</v>
      </c>
      <c r="K156" s="38">
        <v>2540</v>
      </c>
      <c r="L156" s="38">
        <v>2745</v>
      </c>
      <c r="M156" s="38">
        <v>3.6250000000000002E-3</v>
      </c>
      <c r="N156" s="38">
        <v>9.6289E-2</v>
      </c>
      <c r="O156" s="38">
        <v>139</v>
      </c>
      <c r="P156" s="38">
        <v>114</v>
      </c>
      <c r="Q156" s="38">
        <v>6895.7999620000001</v>
      </c>
      <c r="R156" s="38" t="s">
        <v>120</v>
      </c>
      <c r="S156" s="38" t="s">
        <v>120</v>
      </c>
      <c r="T156" s="38" t="s">
        <v>120</v>
      </c>
      <c r="U156" s="38" t="s">
        <v>120</v>
      </c>
      <c r="V156" s="38" t="s">
        <v>120</v>
      </c>
      <c r="W156" s="38" t="s">
        <v>120</v>
      </c>
      <c r="X156" s="38" t="s">
        <v>259</v>
      </c>
    </row>
    <row r="157" spans="1:24" x14ac:dyDescent="0.45">
      <c r="A157" s="38" t="s">
        <v>414</v>
      </c>
      <c r="B157" s="38">
        <v>164</v>
      </c>
      <c r="C157" s="38" t="s">
        <v>258</v>
      </c>
      <c r="D157" s="38">
        <v>132</v>
      </c>
      <c r="E157" s="38">
        <v>137</v>
      </c>
      <c r="F157" s="38">
        <v>159</v>
      </c>
      <c r="G157" s="38">
        <v>128</v>
      </c>
      <c r="H157" s="38">
        <v>1254.0737730000001</v>
      </c>
      <c r="I157" s="38">
        <f t="shared" si="2"/>
        <v>1.254073773</v>
      </c>
      <c r="J157" s="38">
        <v>2547</v>
      </c>
      <c r="K157" s="38">
        <v>2541</v>
      </c>
      <c r="L157" s="38">
        <v>2749</v>
      </c>
      <c r="M157" s="38">
        <v>4.7840000000000001E-3</v>
      </c>
      <c r="N157" s="38">
        <v>9.5158000000000006E-2</v>
      </c>
      <c r="O157" s="38">
        <v>115</v>
      </c>
      <c r="P157" s="38">
        <v>109</v>
      </c>
      <c r="Q157" s="38">
        <v>1254.0737730000001</v>
      </c>
      <c r="R157" s="38" t="s">
        <v>120</v>
      </c>
      <c r="S157" s="38" t="s">
        <v>120</v>
      </c>
      <c r="T157" s="38" t="s">
        <v>120</v>
      </c>
      <c r="U157" s="38" t="s">
        <v>120</v>
      </c>
      <c r="V157" s="38" t="s">
        <v>120</v>
      </c>
      <c r="W157" s="38" t="s">
        <v>120</v>
      </c>
      <c r="X157" s="38" t="s">
        <v>259</v>
      </c>
    </row>
    <row r="158" spans="1:24" x14ac:dyDescent="0.45">
      <c r="A158" s="38" t="s">
        <v>415</v>
      </c>
      <c r="B158" s="38">
        <v>165</v>
      </c>
      <c r="C158" s="38" t="s">
        <v>258</v>
      </c>
      <c r="D158" s="38">
        <v>132</v>
      </c>
      <c r="E158" s="38">
        <v>137</v>
      </c>
      <c r="F158" s="38">
        <v>133</v>
      </c>
      <c r="G158" s="38">
        <v>159</v>
      </c>
      <c r="H158" s="38">
        <v>1287.132034</v>
      </c>
      <c r="I158" s="38">
        <f t="shared" si="2"/>
        <v>1.2871320339999999</v>
      </c>
      <c r="J158" s="38">
        <v>2752</v>
      </c>
      <c r="K158" s="38">
        <v>2547</v>
      </c>
      <c r="L158" s="38">
        <v>2750</v>
      </c>
      <c r="M158" s="38">
        <v>7.7700000000000002E-4</v>
      </c>
      <c r="N158" s="38">
        <v>0.111077</v>
      </c>
      <c r="O158" s="38">
        <v>116</v>
      </c>
      <c r="P158" s="38">
        <v>115</v>
      </c>
      <c r="Q158" s="38">
        <v>1287.132034</v>
      </c>
      <c r="R158" s="38" t="s">
        <v>120</v>
      </c>
      <c r="S158" s="38" t="s">
        <v>120</v>
      </c>
      <c r="T158" s="38" t="s">
        <v>120</v>
      </c>
      <c r="U158" s="38" t="s">
        <v>120</v>
      </c>
      <c r="V158" s="38" t="s">
        <v>120</v>
      </c>
      <c r="W158" s="38" t="s">
        <v>120</v>
      </c>
      <c r="X158" s="38" t="s">
        <v>259</v>
      </c>
    </row>
    <row r="159" spans="1:24" x14ac:dyDescent="0.45">
      <c r="A159" s="38" t="s">
        <v>416</v>
      </c>
      <c r="B159" s="38">
        <v>169</v>
      </c>
      <c r="C159" s="38" t="s">
        <v>258</v>
      </c>
      <c r="D159" s="38">
        <v>145</v>
      </c>
      <c r="E159" s="38">
        <v>136</v>
      </c>
      <c r="F159" s="38">
        <v>160</v>
      </c>
      <c r="G159" s="38">
        <v>128</v>
      </c>
      <c r="H159" s="38">
        <v>1408.363094</v>
      </c>
      <c r="I159" s="38">
        <f t="shared" si="2"/>
        <v>1.408363094</v>
      </c>
      <c r="J159" s="38">
        <v>2560</v>
      </c>
      <c r="K159" s="38">
        <v>2541</v>
      </c>
      <c r="L159" s="38">
        <v>2760</v>
      </c>
      <c r="M159" s="38">
        <v>2.1299999999999999E-3</v>
      </c>
      <c r="N159" s="38">
        <v>8.5833999999999994E-2</v>
      </c>
      <c r="O159" s="38">
        <v>112</v>
      </c>
      <c r="P159" s="38">
        <v>109</v>
      </c>
      <c r="Q159" s="38">
        <v>1408.363094</v>
      </c>
      <c r="R159" s="38" t="s">
        <v>120</v>
      </c>
      <c r="S159" s="38" t="s">
        <v>120</v>
      </c>
      <c r="T159" s="38" t="s">
        <v>120</v>
      </c>
      <c r="U159" s="38" t="s">
        <v>120</v>
      </c>
      <c r="V159" s="38" t="s">
        <v>120</v>
      </c>
      <c r="W159" s="38" t="s">
        <v>120</v>
      </c>
      <c r="X159" s="38" t="s">
        <v>259</v>
      </c>
    </row>
    <row r="160" spans="1:24" x14ac:dyDescent="0.45">
      <c r="A160" s="38" t="s">
        <v>417</v>
      </c>
      <c r="B160" s="38">
        <v>170</v>
      </c>
      <c r="C160" s="38" t="s">
        <v>258</v>
      </c>
      <c r="D160" s="38">
        <v>145</v>
      </c>
      <c r="E160" s="38">
        <v>136</v>
      </c>
      <c r="F160" s="38">
        <v>147</v>
      </c>
      <c r="G160" s="38">
        <v>160</v>
      </c>
      <c r="H160" s="38">
        <v>9542.3097039999993</v>
      </c>
      <c r="I160" s="38">
        <f t="shared" si="2"/>
        <v>9.5423097039999991</v>
      </c>
      <c r="J160" s="38">
        <v>2763</v>
      </c>
      <c r="K160" s="38">
        <v>2560</v>
      </c>
      <c r="L160" s="38">
        <v>2761</v>
      </c>
      <c r="M160" s="38">
        <v>9.4319999999999994E-3</v>
      </c>
      <c r="N160" s="38">
        <v>9.1278999999999999E-2</v>
      </c>
      <c r="O160" s="38">
        <v>202</v>
      </c>
      <c r="P160" s="38">
        <v>112</v>
      </c>
      <c r="Q160" s="38">
        <v>9542.3097039999993</v>
      </c>
      <c r="R160" s="38" t="s">
        <v>120</v>
      </c>
      <c r="S160" s="38" t="s">
        <v>120</v>
      </c>
      <c r="T160" s="38" t="s">
        <v>120</v>
      </c>
      <c r="U160" s="38" t="s">
        <v>120</v>
      </c>
      <c r="V160" s="38" t="s">
        <v>120</v>
      </c>
      <c r="W160" s="38" t="s">
        <v>120</v>
      </c>
      <c r="X160" s="38" t="s">
        <v>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B4BA-31D4-4232-8944-7B54ED3D7720}">
  <dimension ref="A1:W160"/>
  <sheetViews>
    <sheetView showGridLines="0" zoomScale="115" zoomScaleNormal="115" workbookViewId="0">
      <pane ySplit="1" topLeftCell="A2" activePane="bottomLeft" state="frozen"/>
      <selection pane="bottomLeft" activeCell="A2" sqref="A2"/>
    </sheetView>
  </sheetViews>
  <sheetFormatPr defaultColWidth="11.3984375" defaultRowHeight="15.4" x14ac:dyDescent="0.45"/>
  <cols>
    <col min="1" max="1" width="10.1328125" style="38" bestFit="1" customWidth="1"/>
    <col min="2" max="2" width="7.59765625" style="38" bestFit="1" customWidth="1"/>
    <col min="3" max="3" width="12" style="38" bestFit="1" customWidth="1"/>
    <col min="4" max="4" width="6.86328125" style="38" bestFit="1" customWidth="1"/>
    <col min="5" max="5" width="9.73046875" style="38" bestFit="1" customWidth="1"/>
    <col min="6" max="7" width="6.3984375" style="38" bestFit="1" customWidth="1"/>
    <col min="8" max="8" width="9.73046875" style="38" bestFit="1" customWidth="1"/>
    <col min="9" max="9" width="6" style="38" bestFit="1" customWidth="1"/>
    <col min="10" max="10" width="6.265625" style="38" bestFit="1" customWidth="1"/>
    <col min="11" max="11" width="8.3984375" style="38" bestFit="1" customWidth="1"/>
    <col min="12" max="13" width="12" style="38" bestFit="1" customWidth="1"/>
    <col min="14" max="14" width="9.59765625" style="38" bestFit="1" customWidth="1"/>
    <col min="15" max="15" width="12.73046875" style="38" bestFit="1" customWidth="1"/>
    <col min="16" max="16" width="9.86328125" style="38" bestFit="1" customWidth="1"/>
    <col min="17" max="17" width="9.73046875" style="38" bestFit="1" customWidth="1"/>
    <col min="18" max="18" width="12.86328125" style="38" bestFit="1" customWidth="1"/>
    <col min="19" max="19" width="10" style="38" bestFit="1" customWidth="1"/>
    <col min="20" max="20" width="8.73046875" style="38" bestFit="1" customWidth="1"/>
    <col min="21" max="21" width="11.3984375" style="38"/>
    <col min="22" max="22" width="6.86328125" style="38" bestFit="1" customWidth="1"/>
    <col min="23" max="23" width="3.3984375" style="38" bestFit="1" customWidth="1"/>
    <col min="24" max="16384" width="11.3984375" style="38"/>
  </cols>
  <sheetData>
    <row r="1" spans="1:23" x14ac:dyDescent="0.45">
      <c r="A1" s="38" t="s">
        <v>71</v>
      </c>
      <c r="B1" s="38" t="s">
        <v>72</v>
      </c>
      <c r="C1" s="38" t="s">
        <v>74</v>
      </c>
      <c r="D1" s="38" t="s">
        <v>77</v>
      </c>
      <c r="E1" s="38" t="s">
        <v>246</v>
      </c>
      <c r="F1" s="38" t="s">
        <v>248</v>
      </c>
      <c r="G1" s="38" t="s">
        <v>249</v>
      </c>
      <c r="H1" s="38" t="s">
        <v>419</v>
      </c>
      <c r="I1" s="38" t="s">
        <v>420</v>
      </c>
      <c r="J1" s="38" t="s">
        <v>421</v>
      </c>
      <c r="K1" s="38" t="s">
        <v>422</v>
      </c>
      <c r="L1" s="38" t="s">
        <v>423</v>
      </c>
      <c r="M1" s="38" t="s">
        <v>424</v>
      </c>
      <c r="N1" s="38" t="s">
        <v>425</v>
      </c>
      <c r="O1" s="38" t="s">
        <v>426</v>
      </c>
      <c r="P1" s="38" t="s">
        <v>427</v>
      </c>
      <c r="Q1" s="38" t="s">
        <v>428</v>
      </c>
      <c r="R1" s="38" t="s">
        <v>429</v>
      </c>
      <c r="S1" s="38" t="s">
        <v>430</v>
      </c>
      <c r="T1" s="38" t="s">
        <v>431</v>
      </c>
      <c r="V1" s="38" t="s">
        <v>77</v>
      </c>
      <c r="W1" s="38" t="s">
        <v>463</v>
      </c>
    </row>
    <row r="2" spans="1:23" x14ac:dyDescent="0.45">
      <c r="A2" s="38">
        <v>1</v>
      </c>
      <c r="B2" s="38" t="s">
        <v>258</v>
      </c>
      <c r="C2" s="38">
        <v>7671.8091590000004</v>
      </c>
      <c r="D2" s="38">
        <v>2567</v>
      </c>
      <c r="E2" s="38">
        <v>0.17896699999999999</v>
      </c>
      <c r="F2" s="38">
        <v>2850</v>
      </c>
      <c r="G2" s="38">
        <v>1477</v>
      </c>
      <c r="H2" s="38">
        <v>0.18839500000000001</v>
      </c>
      <c r="I2" s="38">
        <v>1588</v>
      </c>
      <c r="J2" s="38">
        <v>2672</v>
      </c>
      <c r="K2" s="38" t="s">
        <v>120</v>
      </c>
      <c r="L2" s="38">
        <v>137824.612999</v>
      </c>
      <c r="M2" s="38">
        <v>7671.8091590000004</v>
      </c>
      <c r="N2" s="38" t="s">
        <v>120</v>
      </c>
      <c r="O2" s="38" t="s">
        <v>120</v>
      </c>
      <c r="P2" s="38" t="s">
        <v>120</v>
      </c>
      <c r="Q2" s="38" t="s">
        <v>120</v>
      </c>
      <c r="R2" s="38" t="s">
        <v>120</v>
      </c>
      <c r="S2" s="38" t="s">
        <v>120</v>
      </c>
      <c r="T2" s="38">
        <v>2765</v>
      </c>
      <c r="V2" s="81">
        <v>2567</v>
      </c>
      <c r="W2" s="38">
        <f>IF(V2=D2,1,0)</f>
        <v>1</v>
      </c>
    </row>
    <row r="3" spans="1:23" x14ac:dyDescent="0.45">
      <c r="A3" s="38">
        <v>2</v>
      </c>
      <c r="B3" s="38" t="s">
        <v>258</v>
      </c>
      <c r="C3" s="38">
        <v>7877.5834189999996</v>
      </c>
      <c r="D3" s="38">
        <v>2568</v>
      </c>
      <c r="E3" s="38">
        <v>0.163248</v>
      </c>
      <c r="F3" s="38">
        <v>2766</v>
      </c>
      <c r="G3" s="38">
        <v>1480</v>
      </c>
      <c r="H3" s="38">
        <v>0.17721200000000001</v>
      </c>
      <c r="I3" s="38">
        <v>1553</v>
      </c>
      <c r="J3" s="38">
        <v>2600</v>
      </c>
      <c r="K3" s="38" t="s">
        <v>120</v>
      </c>
      <c r="L3" s="38">
        <v>138032.976093</v>
      </c>
      <c r="M3" s="38">
        <v>7877.5834189999996</v>
      </c>
      <c r="N3" s="38" t="s">
        <v>120</v>
      </c>
      <c r="O3" s="38" t="s">
        <v>120</v>
      </c>
      <c r="P3" s="38" t="s">
        <v>120</v>
      </c>
      <c r="Q3" s="38" t="s">
        <v>120</v>
      </c>
      <c r="R3" s="38" t="s">
        <v>120</v>
      </c>
      <c r="S3" s="38" t="s">
        <v>120</v>
      </c>
      <c r="T3" s="38">
        <v>2766</v>
      </c>
      <c r="V3" s="81">
        <v>2568</v>
      </c>
      <c r="W3" s="38">
        <f t="shared" ref="W3:W66" si="0">IF(V3=D3,1,0)</f>
        <v>1</v>
      </c>
    </row>
    <row r="4" spans="1:23" x14ac:dyDescent="0.45">
      <c r="A4" s="38">
        <v>3</v>
      </c>
      <c r="B4" s="38" t="s">
        <v>258</v>
      </c>
      <c r="C4" s="38">
        <v>6490.0834189999996</v>
      </c>
      <c r="D4" s="38">
        <v>2569</v>
      </c>
      <c r="E4" s="38">
        <v>0.12865799999999999</v>
      </c>
      <c r="F4" s="38">
        <v>2064</v>
      </c>
      <c r="G4" s="38">
        <v>1229</v>
      </c>
      <c r="H4" s="38">
        <v>0.108473</v>
      </c>
      <c r="I4" s="38">
        <v>1269</v>
      </c>
      <c r="J4" s="38">
        <v>1797</v>
      </c>
      <c r="K4" s="38" t="s">
        <v>120</v>
      </c>
      <c r="L4" s="38">
        <v>131331.173247</v>
      </c>
      <c r="M4" s="38">
        <v>6490.0834189999996</v>
      </c>
      <c r="N4" s="38" t="s">
        <v>120</v>
      </c>
      <c r="O4" s="38" t="s">
        <v>120</v>
      </c>
      <c r="P4" s="38" t="s">
        <v>120</v>
      </c>
      <c r="Q4" s="38" t="s">
        <v>120</v>
      </c>
      <c r="R4" s="38" t="s">
        <v>120</v>
      </c>
      <c r="S4" s="38" t="s">
        <v>120</v>
      </c>
      <c r="T4" s="38">
        <v>2767</v>
      </c>
      <c r="V4" s="81">
        <v>2569</v>
      </c>
      <c r="W4" s="38">
        <f t="shared" si="0"/>
        <v>1</v>
      </c>
    </row>
    <row r="5" spans="1:23" x14ac:dyDescent="0.45">
      <c r="A5" s="38">
        <v>5</v>
      </c>
      <c r="B5" s="38" t="s">
        <v>258</v>
      </c>
      <c r="C5" s="38">
        <v>8311.6824450000004</v>
      </c>
      <c r="D5" s="38">
        <v>2570</v>
      </c>
      <c r="E5" s="38">
        <v>0.159053</v>
      </c>
      <c r="F5" s="38">
        <v>2550</v>
      </c>
      <c r="G5" s="38">
        <v>1228</v>
      </c>
      <c r="H5" s="38">
        <v>0.14068600000000001</v>
      </c>
      <c r="I5" s="38">
        <v>1314</v>
      </c>
      <c r="J5" s="38">
        <v>2191</v>
      </c>
      <c r="K5" s="38" t="s">
        <v>120</v>
      </c>
      <c r="L5" s="38">
        <v>133152.77227300001</v>
      </c>
      <c r="M5" s="38">
        <v>8311.6824450000004</v>
      </c>
      <c r="N5" s="38" t="s">
        <v>120</v>
      </c>
      <c r="O5" s="38" t="s">
        <v>120</v>
      </c>
      <c r="P5" s="38" t="s">
        <v>120</v>
      </c>
      <c r="Q5" s="38" t="s">
        <v>120</v>
      </c>
      <c r="R5" s="38" t="s">
        <v>120</v>
      </c>
      <c r="S5" s="38" t="s">
        <v>120</v>
      </c>
      <c r="T5" s="38">
        <v>2769</v>
      </c>
      <c r="V5" s="81">
        <v>2570</v>
      </c>
      <c r="W5" s="38">
        <f t="shared" si="0"/>
        <v>1</v>
      </c>
    </row>
    <row r="6" spans="1:23" x14ac:dyDescent="0.45">
      <c r="A6" s="38">
        <v>6</v>
      </c>
      <c r="B6" s="38" t="s">
        <v>258</v>
      </c>
      <c r="C6" s="38">
        <v>6664.5630369999999</v>
      </c>
      <c r="D6" s="38">
        <v>2571</v>
      </c>
      <c r="E6" s="38">
        <v>0.175705</v>
      </c>
      <c r="F6" s="38">
        <v>2511</v>
      </c>
      <c r="G6" s="38">
        <v>1340</v>
      </c>
      <c r="H6" s="38">
        <v>0.12884100000000001</v>
      </c>
      <c r="I6" s="38">
        <v>1386</v>
      </c>
      <c r="J6" s="38">
        <v>2030</v>
      </c>
      <c r="K6" s="38" t="s">
        <v>120</v>
      </c>
      <c r="L6" s="38">
        <v>134459.51108900001</v>
      </c>
      <c r="M6" s="38">
        <v>6664.5630369999999</v>
      </c>
      <c r="N6" s="38" t="s">
        <v>120</v>
      </c>
      <c r="O6" s="38" t="s">
        <v>120</v>
      </c>
      <c r="P6" s="38" t="s">
        <v>120</v>
      </c>
      <c r="Q6" s="38" t="s">
        <v>120</v>
      </c>
      <c r="R6" s="38" t="s">
        <v>120</v>
      </c>
      <c r="S6" s="38" t="s">
        <v>120</v>
      </c>
      <c r="T6" s="38">
        <v>2770</v>
      </c>
      <c r="V6" s="81">
        <v>2571</v>
      </c>
      <c r="W6" s="38">
        <f t="shared" si="0"/>
        <v>1</v>
      </c>
    </row>
    <row r="7" spans="1:23" x14ac:dyDescent="0.45">
      <c r="A7" s="38">
        <v>7</v>
      </c>
      <c r="B7" s="38" t="s">
        <v>258</v>
      </c>
      <c r="C7" s="38">
        <v>4513.890238</v>
      </c>
      <c r="D7" s="38">
        <v>2572</v>
      </c>
      <c r="E7" s="38">
        <v>0.202265</v>
      </c>
      <c r="F7" s="38">
        <v>2102</v>
      </c>
      <c r="G7" s="38">
        <v>1189</v>
      </c>
      <c r="H7" s="38">
        <v>0.16777800000000001</v>
      </c>
      <c r="I7" s="38">
        <v>1273</v>
      </c>
      <c r="J7" s="38">
        <v>1841</v>
      </c>
      <c r="K7" s="38" t="s">
        <v>120</v>
      </c>
      <c r="L7" s="38">
        <v>128056.083964</v>
      </c>
      <c r="M7" s="38">
        <v>4513.890238</v>
      </c>
      <c r="N7" s="38" t="s">
        <v>120</v>
      </c>
      <c r="O7" s="38" t="s">
        <v>120</v>
      </c>
      <c r="P7" s="38" t="s">
        <v>120</v>
      </c>
      <c r="Q7" s="38" t="s">
        <v>120</v>
      </c>
      <c r="R7" s="38" t="s">
        <v>120</v>
      </c>
      <c r="S7" s="38" t="s">
        <v>120</v>
      </c>
      <c r="T7" s="38">
        <v>2771</v>
      </c>
      <c r="V7" s="81">
        <v>2572</v>
      </c>
      <c r="W7" s="38">
        <f t="shared" si="0"/>
        <v>1</v>
      </c>
    </row>
    <row r="8" spans="1:23" x14ac:dyDescent="0.45">
      <c r="A8" s="38">
        <v>10</v>
      </c>
      <c r="B8" s="38" t="s">
        <v>258</v>
      </c>
      <c r="C8" s="38">
        <v>1808.699494</v>
      </c>
      <c r="D8" s="38">
        <v>2573</v>
      </c>
      <c r="E8" s="38">
        <v>0.20677799999999999</v>
      </c>
      <c r="F8" s="38">
        <v>1563</v>
      </c>
      <c r="G8" s="38">
        <v>1189</v>
      </c>
      <c r="H8" s="38">
        <v>0.168077</v>
      </c>
      <c r="I8" s="38">
        <v>1187</v>
      </c>
      <c r="J8" s="38">
        <v>1415</v>
      </c>
      <c r="K8" s="38" t="s">
        <v>120</v>
      </c>
      <c r="L8" s="38">
        <v>125348.304384</v>
      </c>
      <c r="M8" s="38">
        <v>1808.699494</v>
      </c>
      <c r="N8" s="38" t="s">
        <v>120</v>
      </c>
      <c r="O8" s="38" t="s">
        <v>120</v>
      </c>
      <c r="P8" s="38" t="s">
        <v>120</v>
      </c>
      <c r="Q8" s="38" t="s">
        <v>120</v>
      </c>
      <c r="R8" s="38" t="s">
        <v>120</v>
      </c>
      <c r="S8" s="38" t="s">
        <v>120</v>
      </c>
      <c r="T8" s="38">
        <v>2774</v>
      </c>
      <c r="V8" s="81">
        <v>2573</v>
      </c>
      <c r="W8" s="38">
        <f t="shared" si="0"/>
        <v>1</v>
      </c>
    </row>
    <row r="9" spans="1:23" x14ac:dyDescent="0.45">
      <c r="A9" s="38">
        <v>8</v>
      </c>
      <c r="B9" s="38" t="s">
        <v>258</v>
      </c>
      <c r="C9" s="38">
        <v>6953.5479750000004</v>
      </c>
      <c r="D9" s="38">
        <v>2574</v>
      </c>
      <c r="E9" s="38">
        <v>0.161356</v>
      </c>
      <c r="F9" s="38">
        <v>2139</v>
      </c>
      <c r="G9" s="38">
        <v>1017</v>
      </c>
      <c r="H9" s="38">
        <v>0.12828000000000001</v>
      </c>
      <c r="I9" s="38">
        <v>1063</v>
      </c>
      <c r="J9" s="38">
        <v>1732</v>
      </c>
      <c r="K9" s="38" t="s">
        <v>120</v>
      </c>
      <c r="L9" s="38">
        <v>126240.76650500001</v>
      </c>
      <c r="M9" s="38">
        <v>6953.5479750000004</v>
      </c>
      <c r="N9" s="38" t="s">
        <v>120</v>
      </c>
      <c r="O9" s="38" t="s">
        <v>120</v>
      </c>
      <c r="P9" s="38" t="s">
        <v>120</v>
      </c>
      <c r="Q9" s="38" t="s">
        <v>120</v>
      </c>
      <c r="R9" s="38" t="s">
        <v>120</v>
      </c>
      <c r="S9" s="38" t="s">
        <v>120</v>
      </c>
      <c r="T9" s="38">
        <v>2772</v>
      </c>
      <c r="V9" s="81">
        <v>2574</v>
      </c>
      <c r="W9" s="38">
        <f t="shared" si="0"/>
        <v>1</v>
      </c>
    </row>
    <row r="10" spans="1:23" x14ac:dyDescent="0.45">
      <c r="A10" s="38">
        <v>15</v>
      </c>
      <c r="B10" s="38" t="s">
        <v>258</v>
      </c>
      <c r="C10" s="38">
        <v>8220.1217469999992</v>
      </c>
      <c r="D10" s="38">
        <v>2575</v>
      </c>
      <c r="E10" s="38">
        <v>0.128465</v>
      </c>
      <c r="F10" s="38">
        <v>2397</v>
      </c>
      <c r="G10" s="38">
        <v>1341</v>
      </c>
      <c r="H10" s="38">
        <v>9.7159999999999996E-2</v>
      </c>
      <c r="I10" s="38">
        <v>1380</v>
      </c>
      <c r="J10" s="38">
        <v>1979</v>
      </c>
      <c r="K10" s="38" t="s">
        <v>120</v>
      </c>
      <c r="L10" s="38">
        <v>136012.48096399999</v>
      </c>
      <c r="M10" s="38">
        <v>8220.1217469999992</v>
      </c>
      <c r="N10" s="38" t="s">
        <v>120</v>
      </c>
      <c r="O10" s="38" t="s">
        <v>120</v>
      </c>
      <c r="P10" s="38" t="s">
        <v>120</v>
      </c>
      <c r="Q10" s="38" t="s">
        <v>120</v>
      </c>
      <c r="R10" s="38" t="s">
        <v>120</v>
      </c>
      <c r="S10" s="38" t="s">
        <v>120</v>
      </c>
      <c r="T10" s="38">
        <v>2779</v>
      </c>
      <c r="V10" s="81">
        <v>2575</v>
      </c>
      <c r="W10" s="38">
        <f t="shared" si="0"/>
        <v>1</v>
      </c>
    </row>
    <row r="11" spans="1:23" x14ac:dyDescent="0.45">
      <c r="A11" s="38">
        <v>9</v>
      </c>
      <c r="B11" s="38" t="s">
        <v>258</v>
      </c>
      <c r="C11" s="38">
        <v>6060.2737150000003</v>
      </c>
      <c r="D11" s="38">
        <v>2576</v>
      </c>
      <c r="E11" s="38">
        <v>0.221937</v>
      </c>
      <c r="F11" s="38">
        <v>2248</v>
      </c>
      <c r="G11" s="38">
        <v>903</v>
      </c>
      <c r="H11" s="38">
        <v>0.18129000000000001</v>
      </c>
      <c r="I11" s="38">
        <v>1054</v>
      </c>
      <c r="J11" s="38">
        <v>1878</v>
      </c>
      <c r="K11" s="38" t="s">
        <v>120</v>
      </c>
      <c r="L11" s="38">
        <v>121301.984041</v>
      </c>
      <c r="M11" s="38">
        <v>6060.2737150000003</v>
      </c>
      <c r="N11" s="38" t="s">
        <v>120</v>
      </c>
      <c r="O11" s="38" t="s">
        <v>120</v>
      </c>
      <c r="P11" s="38" t="s">
        <v>120</v>
      </c>
      <c r="Q11" s="38" t="s">
        <v>120</v>
      </c>
      <c r="R11" s="38" t="s">
        <v>120</v>
      </c>
      <c r="S11" s="38" t="s">
        <v>120</v>
      </c>
      <c r="T11" s="38">
        <v>2773</v>
      </c>
      <c r="V11" s="81">
        <v>2576</v>
      </c>
      <c r="W11" s="38">
        <f t="shared" si="0"/>
        <v>1</v>
      </c>
    </row>
    <row r="12" spans="1:23" x14ac:dyDescent="0.45">
      <c r="A12" s="38">
        <v>11</v>
      </c>
      <c r="B12" s="38" t="s">
        <v>258</v>
      </c>
      <c r="C12" s="38">
        <v>4208.1921869999996</v>
      </c>
      <c r="D12" s="38">
        <v>2577</v>
      </c>
      <c r="E12" s="38">
        <v>0.24903800000000001</v>
      </c>
      <c r="F12" s="38">
        <v>2281</v>
      </c>
      <c r="G12" s="38">
        <v>1233</v>
      </c>
      <c r="H12" s="38">
        <v>0.26329599999999997</v>
      </c>
      <c r="I12" s="38">
        <v>1252</v>
      </c>
      <c r="J12" s="38">
        <v>2083</v>
      </c>
      <c r="K12" s="38" t="s">
        <v>120</v>
      </c>
      <c r="L12" s="38">
        <v>129896.76938899999</v>
      </c>
      <c r="M12" s="38">
        <v>4208.1921869999996</v>
      </c>
      <c r="N12" s="38" t="s">
        <v>120</v>
      </c>
      <c r="O12" s="38" t="s">
        <v>120</v>
      </c>
      <c r="P12" s="38" t="s">
        <v>120</v>
      </c>
      <c r="Q12" s="38" t="s">
        <v>120</v>
      </c>
      <c r="R12" s="38" t="s">
        <v>120</v>
      </c>
      <c r="S12" s="38" t="s">
        <v>120</v>
      </c>
      <c r="T12" s="38">
        <v>2775</v>
      </c>
      <c r="V12" s="81">
        <v>2577</v>
      </c>
      <c r="W12" s="38">
        <f t="shared" si="0"/>
        <v>1</v>
      </c>
    </row>
    <row r="13" spans="1:23" x14ac:dyDescent="0.45">
      <c r="A13" s="38">
        <v>23</v>
      </c>
      <c r="B13" s="38" t="s">
        <v>258</v>
      </c>
      <c r="C13" s="38">
        <v>6866.7839059999997</v>
      </c>
      <c r="D13" s="38">
        <v>2578</v>
      </c>
      <c r="E13" s="38">
        <v>0.15349299999999999</v>
      </c>
      <c r="F13" s="38">
        <v>2282</v>
      </c>
      <c r="G13" s="38">
        <v>1228</v>
      </c>
      <c r="H13" s="38">
        <v>9.8251000000000005E-2</v>
      </c>
      <c r="I13" s="38">
        <v>1351</v>
      </c>
      <c r="J13" s="38">
        <v>1857</v>
      </c>
      <c r="K13" s="38" t="s">
        <v>120</v>
      </c>
      <c r="L13" s="38">
        <v>132552.77227300001</v>
      </c>
      <c r="M13" s="38">
        <v>6866.7839059999997</v>
      </c>
      <c r="N13" s="38" t="s">
        <v>120</v>
      </c>
      <c r="O13" s="38" t="s">
        <v>120</v>
      </c>
      <c r="P13" s="38" t="s">
        <v>120</v>
      </c>
      <c r="Q13" s="38" t="s">
        <v>120</v>
      </c>
      <c r="R13" s="38" t="s">
        <v>120</v>
      </c>
      <c r="S13" s="38" t="s">
        <v>120</v>
      </c>
      <c r="T13" s="38">
        <v>2787</v>
      </c>
      <c r="V13" s="81">
        <v>2578</v>
      </c>
      <c r="W13" s="38">
        <f t="shared" si="0"/>
        <v>1</v>
      </c>
    </row>
    <row r="14" spans="1:23" x14ac:dyDescent="0.45">
      <c r="A14" s="38">
        <v>13</v>
      </c>
      <c r="B14" s="38" t="s">
        <v>258</v>
      </c>
      <c r="C14" s="38">
        <v>7361.5300280000001</v>
      </c>
      <c r="D14" s="38">
        <v>2579</v>
      </c>
      <c r="E14" s="38">
        <v>0.14154700000000001</v>
      </c>
      <c r="F14" s="38">
        <v>2061</v>
      </c>
      <c r="G14" s="38">
        <v>1019</v>
      </c>
      <c r="H14" s="38">
        <v>9.7987000000000005E-2</v>
      </c>
      <c r="I14" s="38">
        <v>1043</v>
      </c>
      <c r="J14" s="38">
        <v>1584</v>
      </c>
      <c r="K14" s="38" t="s">
        <v>120</v>
      </c>
      <c r="L14" s="38">
        <v>126651.33739299999</v>
      </c>
      <c r="M14" s="38">
        <v>7361.5300280000001</v>
      </c>
      <c r="N14" s="38" t="s">
        <v>120</v>
      </c>
      <c r="O14" s="38" t="s">
        <v>120</v>
      </c>
      <c r="P14" s="38" t="s">
        <v>120</v>
      </c>
      <c r="Q14" s="38" t="s">
        <v>120</v>
      </c>
      <c r="R14" s="38" t="s">
        <v>120</v>
      </c>
      <c r="S14" s="38" t="s">
        <v>120</v>
      </c>
      <c r="T14" s="38">
        <v>2777</v>
      </c>
      <c r="V14" s="81">
        <v>2579</v>
      </c>
      <c r="W14" s="38">
        <f t="shared" si="0"/>
        <v>1</v>
      </c>
    </row>
    <row r="15" spans="1:23" x14ac:dyDescent="0.45">
      <c r="A15" s="38">
        <v>17</v>
      </c>
      <c r="B15" s="38" t="s">
        <v>258</v>
      </c>
      <c r="C15" s="38">
        <v>4493.1795599999996</v>
      </c>
      <c r="D15" s="38">
        <v>2580</v>
      </c>
      <c r="E15" s="38">
        <v>8.2347000000000004E-2</v>
      </c>
      <c r="F15" s="38">
        <v>1270</v>
      </c>
      <c r="G15" s="38">
        <v>900</v>
      </c>
      <c r="H15" s="38">
        <v>1.7211000000000001E-2</v>
      </c>
      <c r="I15" s="38">
        <v>950</v>
      </c>
      <c r="J15" s="38">
        <v>1008</v>
      </c>
      <c r="K15" s="38" t="s">
        <v>120</v>
      </c>
      <c r="L15" s="38">
        <v>119734.889886</v>
      </c>
      <c r="M15" s="38">
        <v>4493.1795599999996</v>
      </c>
      <c r="N15" s="38" t="s">
        <v>120</v>
      </c>
      <c r="O15" s="38" t="s">
        <v>120</v>
      </c>
      <c r="P15" s="38" t="s">
        <v>120</v>
      </c>
      <c r="Q15" s="38" t="s">
        <v>120</v>
      </c>
      <c r="R15" s="38" t="s">
        <v>120</v>
      </c>
      <c r="S15" s="38" t="s">
        <v>120</v>
      </c>
      <c r="T15" s="38">
        <v>2781</v>
      </c>
      <c r="V15" s="81">
        <v>2580</v>
      </c>
      <c r="W15" s="38">
        <f t="shared" si="0"/>
        <v>1</v>
      </c>
    </row>
    <row r="16" spans="1:23" x14ac:dyDescent="0.45">
      <c r="A16" s="38">
        <v>12</v>
      </c>
      <c r="B16" s="38" t="s">
        <v>258</v>
      </c>
      <c r="C16" s="38">
        <v>6961.6824450000004</v>
      </c>
      <c r="D16" s="38">
        <v>2581</v>
      </c>
      <c r="E16" s="38">
        <v>0.18573100000000001</v>
      </c>
      <c r="F16" s="38">
        <v>2080</v>
      </c>
      <c r="G16" s="38">
        <v>787</v>
      </c>
      <c r="H16" s="38">
        <v>0.20933599999999999</v>
      </c>
      <c r="I16" s="38">
        <v>799</v>
      </c>
      <c r="J16" s="38">
        <v>1892</v>
      </c>
      <c r="K16" s="38" t="s">
        <v>120</v>
      </c>
      <c r="L16" s="38">
        <v>118285.105436</v>
      </c>
      <c r="M16" s="38">
        <v>6961.6824450000004</v>
      </c>
      <c r="N16" s="38" t="s">
        <v>120</v>
      </c>
      <c r="O16" s="38" t="s">
        <v>120</v>
      </c>
      <c r="P16" s="38" t="s">
        <v>120</v>
      </c>
      <c r="Q16" s="38" t="s">
        <v>120</v>
      </c>
      <c r="R16" s="38" t="s">
        <v>120</v>
      </c>
      <c r="S16" s="38" t="s">
        <v>120</v>
      </c>
      <c r="T16" s="38">
        <v>2776</v>
      </c>
      <c r="V16" s="81">
        <v>2581</v>
      </c>
      <c r="W16" s="38">
        <f t="shared" si="0"/>
        <v>1</v>
      </c>
    </row>
    <row r="17" spans="1:23" x14ac:dyDescent="0.45">
      <c r="A17" s="38">
        <v>14</v>
      </c>
      <c r="B17" s="38" t="s">
        <v>258</v>
      </c>
      <c r="C17" s="38">
        <v>4653.8266569999996</v>
      </c>
      <c r="D17" s="38">
        <v>2582</v>
      </c>
      <c r="E17" s="38">
        <v>0.25377</v>
      </c>
      <c r="F17" s="38">
        <v>1970</v>
      </c>
      <c r="G17" s="38">
        <v>789</v>
      </c>
      <c r="H17" s="38">
        <v>0.24954399999999999</v>
      </c>
      <c r="I17" s="38">
        <v>991</v>
      </c>
      <c r="J17" s="38">
        <v>1862</v>
      </c>
      <c r="K17" s="38" t="s">
        <v>120</v>
      </c>
      <c r="L17" s="38">
        <v>115974.66081299999</v>
      </c>
      <c r="M17" s="38">
        <v>4653.8266569999996</v>
      </c>
      <c r="N17" s="38" t="s">
        <v>120</v>
      </c>
      <c r="O17" s="38" t="s">
        <v>120</v>
      </c>
      <c r="P17" s="38" t="s">
        <v>120</v>
      </c>
      <c r="Q17" s="38" t="s">
        <v>120</v>
      </c>
      <c r="R17" s="38" t="s">
        <v>120</v>
      </c>
      <c r="S17" s="38" t="s">
        <v>120</v>
      </c>
      <c r="T17" s="38">
        <v>2778</v>
      </c>
      <c r="V17" s="81">
        <v>2582</v>
      </c>
      <c r="W17" s="38">
        <f t="shared" si="0"/>
        <v>1</v>
      </c>
    </row>
    <row r="18" spans="1:23" x14ac:dyDescent="0.45">
      <c r="A18" s="38">
        <v>20</v>
      </c>
      <c r="B18" s="38" t="s">
        <v>258</v>
      </c>
      <c r="C18" s="38">
        <v>2105.222311</v>
      </c>
      <c r="D18" s="38">
        <v>2583</v>
      </c>
      <c r="E18" s="38">
        <v>0.26125500000000001</v>
      </c>
      <c r="F18" s="38">
        <v>1281</v>
      </c>
      <c r="G18" s="38">
        <v>731</v>
      </c>
      <c r="H18" s="38">
        <v>0.30210599999999999</v>
      </c>
      <c r="I18" s="38">
        <v>743</v>
      </c>
      <c r="J18" s="38">
        <v>1220</v>
      </c>
      <c r="K18" s="38" t="s">
        <v>120</v>
      </c>
      <c r="L18" s="38">
        <v>111937.439495</v>
      </c>
      <c r="M18" s="38">
        <v>2105.222311</v>
      </c>
      <c r="N18" s="38" t="s">
        <v>120</v>
      </c>
      <c r="O18" s="38" t="s">
        <v>120</v>
      </c>
      <c r="P18" s="38" t="s">
        <v>120</v>
      </c>
      <c r="Q18" s="38" t="s">
        <v>120</v>
      </c>
      <c r="R18" s="38" t="s">
        <v>120</v>
      </c>
      <c r="S18" s="38" t="s">
        <v>120</v>
      </c>
      <c r="T18" s="38">
        <v>2784</v>
      </c>
      <c r="V18" s="81">
        <v>2583</v>
      </c>
      <c r="W18" s="38">
        <f t="shared" si="0"/>
        <v>1</v>
      </c>
    </row>
    <row r="19" spans="1:23" x14ac:dyDescent="0.45">
      <c r="A19" s="38">
        <v>18</v>
      </c>
      <c r="B19" s="38" t="s">
        <v>258</v>
      </c>
      <c r="C19" s="38">
        <v>6732.0882899999997</v>
      </c>
      <c r="D19" s="38">
        <v>2584</v>
      </c>
      <c r="E19" s="38">
        <v>0.17305200000000001</v>
      </c>
      <c r="F19" s="38">
        <v>1631</v>
      </c>
      <c r="G19" s="38">
        <v>466</v>
      </c>
      <c r="H19" s="38">
        <v>0.16359499999999999</v>
      </c>
      <c r="I19" s="38">
        <v>562</v>
      </c>
      <c r="J19" s="38">
        <v>1388</v>
      </c>
      <c r="K19" s="38" t="s">
        <v>120</v>
      </c>
      <c r="L19" s="38">
        <v>107593.999744</v>
      </c>
      <c r="M19" s="38">
        <v>6732.0882899999997</v>
      </c>
      <c r="N19" s="38" t="s">
        <v>120</v>
      </c>
      <c r="O19" s="38" t="s">
        <v>120</v>
      </c>
      <c r="P19" s="38" t="s">
        <v>120</v>
      </c>
      <c r="Q19" s="38" t="s">
        <v>120</v>
      </c>
      <c r="R19" s="38" t="s">
        <v>120</v>
      </c>
      <c r="S19" s="38" t="s">
        <v>120</v>
      </c>
      <c r="T19" s="38">
        <v>2782</v>
      </c>
      <c r="V19" s="81">
        <v>2584</v>
      </c>
      <c r="W19" s="38">
        <f t="shared" si="0"/>
        <v>1</v>
      </c>
    </row>
    <row r="20" spans="1:23" x14ac:dyDescent="0.45">
      <c r="A20" s="38">
        <v>24</v>
      </c>
      <c r="B20" s="38" t="s">
        <v>258</v>
      </c>
      <c r="C20" s="38">
        <v>8204.9567040000002</v>
      </c>
      <c r="D20" s="38">
        <v>2585</v>
      </c>
      <c r="E20" s="38">
        <v>0.138819</v>
      </c>
      <c r="F20" s="38">
        <v>1717</v>
      </c>
      <c r="G20" s="38">
        <v>578</v>
      </c>
      <c r="H20" s="38">
        <v>0.113265</v>
      </c>
      <c r="I20" s="38">
        <v>592</v>
      </c>
      <c r="J20" s="38">
        <v>1289</v>
      </c>
      <c r="K20" s="38" t="s">
        <v>120</v>
      </c>
      <c r="L20" s="38">
        <v>113126.13267599999</v>
      </c>
      <c r="M20" s="38">
        <v>8204.9567040000002</v>
      </c>
      <c r="N20" s="38" t="s">
        <v>120</v>
      </c>
      <c r="O20" s="38" t="s">
        <v>120</v>
      </c>
      <c r="P20" s="38" t="s">
        <v>120</v>
      </c>
      <c r="Q20" s="38" t="s">
        <v>120</v>
      </c>
      <c r="R20" s="38" t="s">
        <v>120</v>
      </c>
      <c r="S20" s="38" t="s">
        <v>120</v>
      </c>
      <c r="T20" s="38">
        <v>2788</v>
      </c>
      <c r="V20" s="81">
        <v>2585</v>
      </c>
      <c r="W20" s="38">
        <f t="shared" si="0"/>
        <v>1</v>
      </c>
    </row>
    <row r="21" spans="1:23" x14ac:dyDescent="0.45">
      <c r="A21" s="38">
        <v>16</v>
      </c>
      <c r="B21" s="38" t="s">
        <v>258</v>
      </c>
      <c r="C21" s="38">
        <v>5494.067908</v>
      </c>
      <c r="D21" s="38">
        <v>2586</v>
      </c>
      <c r="E21" s="38">
        <v>0.214777</v>
      </c>
      <c r="F21" s="38">
        <v>1759</v>
      </c>
      <c r="G21" s="38">
        <v>579</v>
      </c>
      <c r="H21" s="38">
        <v>0.23855999999999999</v>
      </c>
      <c r="I21" s="38">
        <v>680</v>
      </c>
      <c r="J21" s="38">
        <v>1663</v>
      </c>
      <c r="K21" s="38" t="s">
        <v>120</v>
      </c>
      <c r="L21" s="38">
        <v>110417.832714</v>
      </c>
      <c r="M21" s="38">
        <v>5494.067908</v>
      </c>
      <c r="N21" s="38" t="s">
        <v>120</v>
      </c>
      <c r="O21" s="38" t="s">
        <v>120</v>
      </c>
      <c r="P21" s="38" t="s">
        <v>120</v>
      </c>
      <c r="Q21" s="38" t="s">
        <v>120</v>
      </c>
      <c r="R21" s="38" t="s">
        <v>120</v>
      </c>
      <c r="S21" s="38" t="s">
        <v>120</v>
      </c>
      <c r="T21" s="38">
        <v>2780</v>
      </c>
      <c r="V21" s="81">
        <v>2586</v>
      </c>
      <c r="W21" s="38">
        <f t="shared" si="0"/>
        <v>1</v>
      </c>
    </row>
    <row r="22" spans="1:23" x14ac:dyDescent="0.45">
      <c r="A22" s="38">
        <v>27</v>
      </c>
      <c r="B22" s="38" t="s">
        <v>258</v>
      </c>
      <c r="C22" s="38">
        <v>6173.2178889999996</v>
      </c>
      <c r="D22" s="38">
        <v>2587</v>
      </c>
      <c r="E22" s="38">
        <v>0.155834</v>
      </c>
      <c r="F22" s="38">
        <v>1424</v>
      </c>
      <c r="G22" s="38">
        <v>462</v>
      </c>
      <c r="H22" s="38">
        <v>0.15723799999999999</v>
      </c>
      <c r="I22" s="38">
        <v>503</v>
      </c>
      <c r="J22" s="38">
        <v>1231</v>
      </c>
      <c r="K22" s="38" t="s">
        <v>120</v>
      </c>
      <c r="L22" s="38">
        <v>107032.54050800001</v>
      </c>
      <c r="M22" s="38">
        <v>6173.2178889999996</v>
      </c>
      <c r="N22" s="38" t="s">
        <v>120</v>
      </c>
      <c r="O22" s="38" t="s">
        <v>120</v>
      </c>
      <c r="P22" s="38" t="s">
        <v>120</v>
      </c>
      <c r="Q22" s="38" t="s">
        <v>120</v>
      </c>
      <c r="R22" s="38" t="s">
        <v>120</v>
      </c>
      <c r="S22" s="38" t="s">
        <v>120</v>
      </c>
      <c r="T22" s="38">
        <v>2791</v>
      </c>
      <c r="V22" s="81">
        <v>2587</v>
      </c>
      <c r="W22" s="38">
        <f t="shared" si="0"/>
        <v>1</v>
      </c>
    </row>
    <row r="23" spans="1:23" x14ac:dyDescent="0.45">
      <c r="A23" s="38">
        <v>19</v>
      </c>
      <c r="B23" s="38" t="s">
        <v>258</v>
      </c>
      <c r="C23" s="38">
        <v>5880.9081850000002</v>
      </c>
      <c r="D23" s="38">
        <v>2588</v>
      </c>
      <c r="E23" s="38">
        <v>0.103215</v>
      </c>
      <c r="F23" s="38">
        <v>1961</v>
      </c>
      <c r="G23" s="38">
        <v>1354</v>
      </c>
      <c r="H23" s="38">
        <v>7.7538999999999997E-2</v>
      </c>
      <c r="I23" s="38">
        <v>1497</v>
      </c>
      <c r="J23" s="38">
        <v>1839</v>
      </c>
      <c r="K23" s="38" t="s">
        <v>120</v>
      </c>
      <c r="L23" s="38">
        <v>122950.14421300001</v>
      </c>
      <c r="M23" s="38">
        <v>5880.9081850000002</v>
      </c>
      <c r="N23" s="38" t="s">
        <v>120</v>
      </c>
      <c r="O23" s="38" t="s">
        <v>120</v>
      </c>
      <c r="P23" s="38" t="s">
        <v>120</v>
      </c>
      <c r="Q23" s="38" t="s">
        <v>120</v>
      </c>
      <c r="R23" s="38" t="s">
        <v>120</v>
      </c>
      <c r="S23" s="38" t="s">
        <v>120</v>
      </c>
      <c r="T23" s="38">
        <v>2783</v>
      </c>
      <c r="V23" s="81">
        <v>2588</v>
      </c>
      <c r="W23" s="38">
        <f t="shared" si="0"/>
        <v>1</v>
      </c>
    </row>
    <row r="24" spans="1:23" x14ac:dyDescent="0.45">
      <c r="A24" s="38">
        <v>25</v>
      </c>
      <c r="B24" s="38" t="s">
        <v>258</v>
      </c>
      <c r="C24" s="38">
        <v>7542.7484619999996</v>
      </c>
      <c r="D24" s="38">
        <v>2589</v>
      </c>
      <c r="E24" s="38">
        <v>0.125418</v>
      </c>
      <c r="F24" s="38">
        <v>2300</v>
      </c>
      <c r="G24" s="38">
        <v>1354</v>
      </c>
      <c r="H24" s="38">
        <v>8.7148000000000003E-2</v>
      </c>
      <c r="I24" s="38">
        <v>1404</v>
      </c>
      <c r="J24" s="38">
        <v>1897</v>
      </c>
      <c r="K24" s="38" t="s">
        <v>120</v>
      </c>
      <c r="L24" s="38">
        <v>124614.573324</v>
      </c>
      <c r="M24" s="38">
        <v>7542.7484619999996</v>
      </c>
      <c r="N24" s="38" t="s">
        <v>120</v>
      </c>
      <c r="O24" s="38" t="s">
        <v>120</v>
      </c>
      <c r="P24" s="38" t="s">
        <v>120</v>
      </c>
      <c r="Q24" s="38" t="s">
        <v>120</v>
      </c>
      <c r="R24" s="38" t="s">
        <v>120</v>
      </c>
      <c r="S24" s="38" t="s">
        <v>120</v>
      </c>
      <c r="T24" s="38">
        <v>2789</v>
      </c>
      <c r="V24" s="81">
        <v>2589</v>
      </c>
      <c r="W24" s="38">
        <f t="shared" si="0"/>
        <v>1</v>
      </c>
    </row>
    <row r="25" spans="1:23" x14ac:dyDescent="0.45">
      <c r="A25" s="38">
        <v>30</v>
      </c>
      <c r="B25" s="38" t="s">
        <v>258</v>
      </c>
      <c r="C25" s="38">
        <v>2960.6286049999999</v>
      </c>
      <c r="D25" s="38">
        <v>2590</v>
      </c>
      <c r="E25" s="38">
        <v>0.237787</v>
      </c>
      <c r="F25" s="38">
        <v>1081</v>
      </c>
      <c r="G25" s="38">
        <v>377</v>
      </c>
      <c r="H25" s="38">
        <v>0.16708200000000001</v>
      </c>
      <c r="I25" s="38">
        <v>412</v>
      </c>
      <c r="J25" s="38">
        <v>783</v>
      </c>
      <c r="K25" s="38" t="s">
        <v>120</v>
      </c>
      <c r="L25" s="38">
        <v>101455.369697</v>
      </c>
      <c r="M25" s="38">
        <v>2960.6286049999999</v>
      </c>
      <c r="N25" s="38" t="s">
        <v>120</v>
      </c>
      <c r="O25" s="38" t="s">
        <v>120</v>
      </c>
      <c r="P25" s="38" t="s">
        <v>120</v>
      </c>
      <c r="Q25" s="38" t="s">
        <v>120</v>
      </c>
      <c r="R25" s="38" t="s">
        <v>120</v>
      </c>
      <c r="S25" s="38" t="s">
        <v>120</v>
      </c>
      <c r="T25" s="38">
        <v>2794</v>
      </c>
      <c r="V25" s="81">
        <v>2590</v>
      </c>
      <c r="W25" s="38">
        <f t="shared" si="0"/>
        <v>1</v>
      </c>
    </row>
    <row r="26" spans="1:23" x14ac:dyDescent="0.45">
      <c r="A26" s="38">
        <v>21</v>
      </c>
      <c r="B26" s="38" t="s">
        <v>258</v>
      </c>
      <c r="C26" s="38">
        <v>9618.8023009999997</v>
      </c>
      <c r="D26" s="38">
        <v>2591</v>
      </c>
      <c r="E26" s="38">
        <v>0.119246</v>
      </c>
      <c r="F26" s="38">
        <v>1877</v>
      </c>
      <c r="G26" s="38">
        <v>730</v>
      </c>
      <c r="H26" s="38">
        <v>0.12156699999999999</v>
      </c>
      <c r="I26" s="38">
        <v>859</v>
      </c>
      <c r="J26" s="38">
        <v>1736</v>
      </c>
      <c r="K26" s="38" t="s">
        <v>120</v>
      </c>
      <c r="L26" s="38">
        <v>119448.43064999999</v>
      </c>
      <c r="M26" s="38">
        <v>9618.8023009999997</v>
      </c>
      <c r="N26" s="38" t="s">
        <v>120</v>
      </c>
      <c r="O26" s="38" t="s">
        <v>120</v>
      </c>
      <c r="P26" s="38" t="s">
        <v>120</v>
      </c>
      <c r="Q26" s="38" t="s">
        <v>120</v>
      </c>
      <c r="R26" s="38" t="s">
        <v>120</v>
      </c>
      <c r="S26" s="38" t="s">
        <v>120</v>
      </c>
      <c r="T26" s="38">
        <v>2785</v>
      </c>
      <c r="V26" s="81">
        <v>2591</v>
      </c>
      <c r="W26" s="38">
        <f t="shared" si="0"/>
        <v>1</v>
      </c>
    </row>
    <row r="27" spans="1:23" x14ac:dyDescent="0.45">
      <c r="A27" s="38">
        <v>22</v>
      </c>
      <c r="B27" s="38" t="s">
        <v>258</v>
      </c>
      <c r="C27" s="38">
        <v>4252.1261699999995</v>
      </c>
      <c r="D27" s="38">
        <v>2592</v>
      </c>
      <c r="E27" s="38">
        <v>0.192139</v>
      </c>
      <c r="F27" s="38">
        <v>1196</v>
      </c>
      <c r="G27" s="38">
        <v>379</v>
      </c>
      <c r="H27" s="38">
        <v>0.18092900000000001</v>
      </c>
      <c r="I27" s="38">
        <v>439</v>
      </c>
      <c r="J27" s="38">
        <v>1016</v>
      </c>
      <c r="K27" s="38" t="s">
        <v>120</v>
      </c>
      <c r="L27" s="38">
        <v>102749.45609599999</v>
      </c>
      <c r="M27" s="38">
        <v>4252.1261699999995</v>
      </c>
      <c r="N27" s="38" t="s">
        <v>120</v>
      </c>
      <c r="O27" s="38" t="s">
        <v>120</v>
      </c>
      <c r="P27" s="38" t="s">
        <v>120</v>
      </c>
      <c r="Q27" s="38" t="s">
        <v>120</v>
      </c>
      <c r="R27" s="38" t="s">
        <v>120</v>
      </c>
      <c r="S27" s="38" t="s">
        <v>120</v>
      </c>
      <c r="T27" s="38">
        <v>2786</v>
      </c>
      <c r="V27" s="81">
        <v>2592</v>
      </c>
      <c r="W27" s="38">
        <f t="shared" si="0"/>
        <v>1</v>
      </c>
    </row>
    <row r="28" spans="1:23" x14ac:dyDescent="0.45">
      <c r="A28" s="38">
        <v>32</v>
      </c>
      <c r="B28" s="38" t="s">
        <v>258</v>
      </c>
      <c r="C28" s="38">
        <v>6208.129054</v>
      </c>
      <c r="D28" s="38">
        <v>2593</v>
      </c>
      <c r="E28" s="38">
        <v>0.12983</v>
      </c>
      <c r="F28" s="38">
        <v>1099</v>
      </c>
      <c r="G28" s="38">
        <v>293</v>
      </c>
      <c r="H28" s="38">
        <v>0.14432700000000001</v>
      </c>
      <c r="I28" s="38">
        <v>313</v>
      </c>
      <c r="J28" s="38">
        <v>985</v>
      </c>
      <c r="K28" s="38" t="s">
        <v>120</v>
      </c>
      <c r="L28" s="38">
        <v>100104.328933</v>
      </c>
      <c r="M28" s="38">
        <v>6208.129054</v>
      </c>
      <c r="N28" s="38" t="s">
        <v>120</v>
      </c>
      <c r="O28" s="38" t="s">
        <v>120</v>
      </c>
      <c r="P28" s="38" t="s">
        <v>120</v>
      </c>
      <c r="Q28" s="38" t="s">
        <v>120</v>
      </c>
      <c r="R28" s="38" t="s">
        <v>120</v>
      </c>
      <c r="S28" s="38" t="s">
        <v>120</v>
      </c>
      <c r="T28" s="38">
        <v>2796</v>
      </c>
      <c r="V28" s="81">
        <v>2593</v>
      </c>
      <c r="W28" s="38">
        <f t="shared" si="0"/>
        <v>1</v>
      </c>
    </row>
    <row r="29" spans="1:23" x14ac:dyDescent="0.45">
      <c r="A29" s="38">
        <v>29</v>
      </c>
      <c r="B29" s="38" t="s">
        <v>258</v>
      </c>
      <c r="C29" s="38">
        <v>7056.2130180000004</v>
      </c>
      <c r="D29" s="38">
        <v>2594</v>
      </c>
      <c r="E29" s="38">
        <v>0.117627</v>
      </c>
      <c r="F29" s="38">
        <v>1697</v>
      </c>
      <c r="G29" s="38">
        <v>867</v>
      </c>
      <c r="H29" s="38">
        <v>0.119989</v>
      </c>
      <c r="I29" s="38">
        <v>973</v>
      </c>
      <c r="J29" s="38">
        <v>1608</v>
      </c>
      <c r="K29" s="38" t="s">
        <v>120</v>
      </c>
      <c r="L29" s="38">
        <v>110016.728817</v>
      </c>
      <c r="M29" s="38">
        <v>7056.2130180000004</v>
      </c>
      <c r="N29" s="38" t="s">
        <v>120</v>
      </c>
      <c r="O29" s="38" t="s">
        <v>120</v>
      </c>
      <c r="P29" s="38" t="s">
        <v>120</v>
      </c>
      <c r="Q29" s="38" t="s">
        <v>120</v>
      </c>
      <c r="R29" s="38" t="s">
        <v>120</v>
      </c>
      <c r="S29" s="38" t="s">
        <v>120</v>
      </c>
      <c r="T29" s="38">
        <v>2793</v>
      </c>
      <c r="V29" s="81">
        <v>2594</v>
      </c>
      <c r="W29" s="38">
        <f t="shared" si="0"/>
        <v>1</v>
      </c>
    </row>
    <row r="30" spans="1:23" x14ac:dyDescent="0.45">
      <c r="A30" s="38">
        <v>26</v>
      </c>
      <c r="B30" s="38" t="s">
        <v>258</v>
      </c>
      <c r="C30" s="38">
        <v>6674.6266180000002</v>
      </c>
      <c r="D30" s="38">
        <v>2595</v>
      </c>
      <c r="E30" s="38">
        <v>0.13678699999999999</v>
      </c>
      <c r="F30" s="38">
        <v>1551</v>
      </c>
      <c r="G30" s="38">
        <v>638</v>
      </c>
      <c r="H30" s="38">
        <v>0.13064400000000001</v>
      </c>
      <c r="I30" s="38">
        <v>754</v>
      </c>
      <c r="J30" s="38">
        <v>1408</v>
      </c>
      <c r="K30" s="38" t="s">
        <v>120</v>
      </c>
      <c r="L30" s="38">
        <v>105632.38809199999</v>
      </c>
      <c r="M30" s="38">
        <v>6674.6266180000002</v>
      </c>
      <c r="N30" s="38" t="s">
        <v>120</v>
      </c>
      <c r="O30" s="38" t="s">
        <v>120</v>
      </c>
      <c r="P30" s="38" t="s">
        <v>120</v>
      </c>
      <c r="Q30" s="38" t="s">
        <v>120</v>
      </c>
      <c r="R30" s="38" t="s">
        <v>120</v>
      </c>
      <c r="S30" s="38" t="s">
        <v>120</v>
      </c>
      <c r="T30" s="38">
        <v>2790</v>
      </c>
      <c r="V30" s="81">
        <v>2595</v>
      </c>
      <c r="W30" s="38">
        <f t="shared" si="0"/>
        <v>1</v>
      </c>
    </row>
    <row r="31" spans="1:23" x14ac:dyDescent="0.45">
      <c r="A31" s="38">
        <v>37</v>
      </c>
      <c r="B31" s="38" t="s">
        <v>258</v>
      </c>
      <c r="C31" s="38">
        <v>5313.0780990000003</v>
      </c>
      <c r="D31" s="38">
        <v>2596</v>
      </c>
      <c r="E31" s="38">
        <v>0.21701200000000001</v>
      </c>
      <c r="F31" s="38">
        <v>2469</v>
      </c>
      <c r="G31" s="38">
        <v>1316</v>
      </c>
      <c r="H31" s="38">
        <v>0.202017</v>
      </c>
      <c r="I31" s="38">
        <v>1357</v>
      </c>
      <c r="J31" s="38">
        <v>2162</v>
      </c>
      <c r="K31" s="38" t="s">
        <v>120</v>
      </c>
      <c r="L31" s="38">
        <v>118137.83361099999</v>
      </c>
      <c r="M31" s="38">
        <v>5313.0780990000003</v>
      </c>
      <c r="N31" s="38" t="s">
        <v>120</v>
      </c>
      <c r="O31" s="38" t="s">
        <v>120</v>
      </c>
      <c r="P31" s="38" t="s">
        <v>120</v>
      </c>
      <c r="Q31" s="38" t="s">
        <v>120</v>
      </c>
      <c r="R31" s="38" t="s">
        <v>120</v>
      </c>
      <c r="S31" s="38" t="s">
        <v>120</v>
      </c>
      <c r="T31" s="38">
        <v>2801</v>
      </c>
      <c r="V31" s="81">
        <v>2596</v>
      </c>
      <c r="W31" s="38">
        <f t="shared" si="0"/>
        <v>1</v>
      </c>
    </row>
    <row r="32" spans="1:23" x14ac:dyDescent="0.45">
      <c r="A32" s="38">
        <v>38</v>
      </c>
      <c r="B32" s="38" t="s">
        <v>258</v>
      </c>
      <c r="C32" s="38">
        <v>4956.0475260000003</v>
      </c>
      <c r="D32" s="38">
        <v>2597</v>
      </c>
      <c r="E32" s="38">
        <v>0.237488</v>
      </c>
      <c r="F32" s="38">
        <v>2495</v>
      </c>
      <c r="G32" s="38">
        <v>1318</v>
      </c>
      <c r="H32" s="38">
        <v>0.20661599999999999</v>
      </c>
      <c r="I32" s="38">
        <v>1357</v>
      </c>
      <c r="J32" s="38">
        <v>2125</v>
      </c>
      <c r="K32" s="38" t="s">
        <v>120</v>
      </c>
      <c r="L32" s="38">
        <v>117783.391873</v>
      </c>
      <c r="M32" s="38">
        <v>4956.0475260000003</v>
      </c>
      <c r="N32" s="38" t="s">
        <v>120</v>
      </c>
      <c r="O32" s="38" t="s">
        <v>120</v>
      </c>
      <c r="P32" s="38" t="s">
        <v>120</v>
      </c>
      <c r="Q32" s="38" t="s">
        <v>120</v>
      </c>
      <c r="R32" s="38" t="s">
        <v>120</v>
      </c>
      <c r="S32" s="38" t="s">
        <v>120</v>
      </c>
      <c r="T32" s="38">
        <v>2802</v>
      </c>
      <c r="V32" s="81">
        <v>2597</v>
      </c>
      <c r="W32" s="38">
        <f t="shared" si="0"/>
        <v>1</v>
      </c>
    </row>
    <row r="33" spans="1:23" x14ac:dyDescent="0.45">
      <c r="A33" s="38">
        <v>41</v>
      </c>
      <c r="B33" s="38" t="s">
        <v>258</v>
      </c>
      <c r="C33" s="38">
        <v>3476.2378220000001</v>
      </c>
      <c r="D33" s="38">
        <v>2598</v>
      </c>
      <c r="E33" s="38">
        <v>0.262928</v>
      </c>
      <c r="F33" s="38">
        <v>2161</v>
      </c>
      <c r="G33" s="38">
        <v>1247</v>
      </c>
      <c r="H33" s="38">
        <v>0.239339</v>
      </c>
      <c r="I33" s="38">
        <v>1254</v>
      </c>
      <c r="J33" s="38">
        <v>1878</v>
      </c>
      <c r="K33" s="38" t="s">
        <v>120</v>
      </c>
      <c r="L33" s="38">
        <v>115053.79771899999</v>
      </c>
      <c r="M33" s="38">
        <v>3476.2378220000001</v>
      </c>
      <c r="N33" s="38" t="s">
        <v>120</v>
      </c>
      <c r="O33" s="38" t="s">
        <v>120</v>
      </c>
      <c r="P33" s="38" t="s">
        <v>120</v>
      </c>
      <c r="Q33" s="38" t="s">
        <v>120</v>
      </c>
      <c r="R33" s="38" t="s">
        <v>120</v>
      </c>
      <c r="S33" s="38" t="s">
        <v>120</v>
      </c>
      <c r="T33" s="38">
        <v>2805</v>
      </c>
      <c r="V33" s="81">
        <v>2598</v>
      </c>
      <c r="W33" s="38">
        <f t="shared" si="0"/>
        <v>1</v>
      </c>
    </row>
    <row r="34" spans="1:23" x14ac:dyDescent="0.45">
      <c r="A34" s="38">
        <v>28</v>
      </c>
      <c r="B34" s="38" t="s">
        <v>258</v>
      </c>
      <c r="C34" s="38">
        <v>6495.1848799999998</v>
      </c>
      <c r="D34" s="38">
        <v>2599</v>
      </c>
      <c r="E34" s="38">
        <v>0.15534600000000001</v>
      </c>
      <c r="F34" s="38">
        <v>1448</v>
      </c>
      <c r="G34" s="38">
        <v>439</v>
      </c>
      <c r="H34" s="38">
        <v>0.12378400000000001</v>
      </c>
      <c r="I34" s="38">
        <v>675</v>
      </c>
      <c r="J34" s="38">
        <v>1278</v>
      </c>
      <c r="K34" s="38" t="s">
        <v>120</v>
      </c>
      <c r="L34" s="38">
        <v>103076.232791</v>
      </c>
      <c r="M34" s="38">
        <v>6495.1848799999998</v>
      </c>
      <c r="N34" s="38" t="s">
        <v>120</v>
      </c>
      <c r="O34" s="38" t="s">
        <v>120</v>
      </c>
      <c r="P34" s="38" t="s">
        <v>120</v>
      </c>
      <c r="Q34" s="38" t="s">
        <v>120</v>
      </c>
      <c r="R34" s="38" t="s">
        <v>120</v>
      </c>
      <c r="S34" s="38" t="s">
        <v>120</v>
      </c>
      <c r="T34" s="38">
        <v>2792</v>
      </c>
      <c r="V34" s="81">
        <v>2599</v>
      </c>
      <c r="W34" s="38">
        <f t="shared" si="0"/>
        <v>1</v>
      </c>
    </row>
    <row r="35" spans="1:23" x14ac:dyDescent="0.45">
      <c r="A35" s="38">
        <v>35</v>
      </c>
      <c r="B35" s="38" t="s">
        <v>258</v>
      </c>
      <c r="C35" s="38">
        <v>4321.1363609999999</v>
      </c>
      <c r="D35" s="38">
        <v>2600</v>
      </c>
      <c r="E35" s="38">
        <v>0.14857200000000001</v>
      </c>
      <c r="F35" s="38">
        <v>936</v>
      </c>
      <c r="G35" s="38">
        <v>294</v>
      </c>
      <c r="H35" s="38">
        <v>0.12681799999999999</v>
      </c>
      <c r="I35" s="38">
        <v>379</v>
      </c>
      <c r="J35" s="38">
        <v>790</v>
      </c>
      <c r="K35" s="38" t="s">
        <v>120</v>
      </c>
      <c r="L35" s="38">
        <v>98214.747405000002</v>
      </c>
      <c r="M35" s="38">
        <v>4321.1363609999999</v>
      </c>
      <c r="N35" s="38" t="s">
        <v>120</v>
      </c>
      <c r="O35" s="38" t="s">
        <v>120</v>
      </c>
      <c r="P35" s="38" t="s">
        <v>120</v>
      </c>
      <c r="Q35" s="38" t="s">
        <v>120</v>
      </c>
      <c r="R35" s="38" t="s">
        <v>120</v>
      </c>
      <c r="S35" s="38" t="s">
        <v>120</v>
      </c>
      <c r="T35" s="38">
        <v>2799</v>
      </c>
      <c r="V35" s="81">
        <v>2600</v>
      </c>
      <c r="W35" s="38">
        <f t="shared" si="0"/>
        <v>1</v>
      </c>
    </row>
    <row r="36" spans="1:23" x14ac:dyDescent="0.45">
      <c r="A36" s="38">
        <v>31</v>
      </c>
      <c r="B36" s="38" t="s">
        <v>258</v>
      </c>
      <c r="C36" s="38">
        <v>4953.2431420000003</v>
      </c>
      <c r="D36" s="38">
        <v>2601</v>
      </c>
      <c r="E36" s="38">
        <v>0.122142</v>
      </c>
      <c r="F36" s="38">
        <v>1723</v>
      </c>
      <c r="G36" s="38">
        <v>1118</v>
      </c>
      <c r="H36" s="38">
        <v>0.11225</v>
      </c>
      <c r="I36" s="38">
        <v>1212</v>
      </c>
      <c r="J36" s="38">
        <v>1629</v>
      </c>
      <c r="K36" s="38" t="s">
        <v>120</v>
      </c>
      <c r="L36" s="38">
        <v>113595.955006</v>
      </c>
      <c r="M36" s="38">
        <v>4953.2431420000003</v>
      </c>
      <c r="N36" s="38" t="s">
        <v>120</v>
      </c>
      <c r="O36" s="38" t="s">
        <v>120</v>
      </c>
      <c r="P36" s="38" t="s">
        <v>120</v>
      </c>
      <c r="Q36" s="38" t="s">
        <v>120</v>
      </c>
      <c r="R36" s="38" t="s">
        <v>120</v>
      </c>
      <c r="S36" s="38" t="s">
        <v>120</v>
      </c>
      <c r="T36" s="38">
        <v>2795</v>
      </c>
      <c r="V36" s="81">
        <v>2601</v>
      </c>
      <c r="W36" s="38">
        <f t="shared" si="0"/>
        <v>1</v>
      </c>
    </row>
    <row r="37" spans="1:23" x14ac:dyDescent="0.45">
      <c r="A37" s="38">
        <v>44</v>
      </c>
      <c r="B37" s="38" t="s">
        <v>258</v>
      </c>
      <c r="C37" s="38">
        <v>6324.9183759999996</v>
      </c>
      <c r="D37" s="38">
        <v>2602</v>
      </c>
      <c r="E37" s="38">
        <v>0.15557499999999999</v>
      </c>
      <c r="F37" s="38">
        <v>2100</v>
      </c>
      <c r="G37" s="38">
        <v>1116</v>
      </c>
      <c r="H37" s="38">
        <v>0.127749</v>
      </c>
      <c r="I37" s="38">
        <v>1142</v>
      </c>
      <c r="J37" s="38">
        <v>1748</v>
      </c>
      <c r="K37" s="38" t="s">
        <v>120</v>
      </c>
      <c r="L37" s="38">
        <v>114970.219075</v>
      </c>
      <c r="M37" s="38">
        <v>6324.9183759999996</v>
      </c>
      <c r="N37" s="38" t="s">
        <v>120</v>
      </c>
      <c r="O37" s="38" t="s">
        <v>120</v>
      </c>
      <c r="P37" s="38" t="s">
        <v>120</v>
      </c>
      <c r="Q37" s="38" t="s">
        <v>120</v>
      </c>
      <c r="R37" s="38" t="s">
        <v>120</v>
      </c>
      <c r="S37" s="38" t="s">
        <v>120</v>
      </c>
      <c r="T37" s="38">
        <v>2808</v>
      </c>
      <c r="V37" s="81">
        <v>2602</v>
      </c>
      <c r="W37" s="38">
        <f t="shared" si="0"/>
        <v>1</v>
      </c>
    </row>
    <row r="38" spans="1:23" x14ac:dyDescent="0.45">
      <c r="A38" s="38">
        <v>39</v>
      </c>
      <c r="B38" s="38" t="s">
        <v>258</v>
      </c>
      <c r="C38" s="38">
        <v>12648.396456</v>
      </c>
      <c r="D38" s="38">
        <v>2603</v>
      </c>
      <c r="E38" s="38">
        <v>5.2180999999999998E-2</v>
      </c>
      <c r="F38" s="38">
        <v>816</v>
      </c>
      <c r="G38" s="38">
        <v>156</v>
      </c>
      <c r="H38" s="38">
        <v>4.2166000000000002E-2</v>
      </c>
      <c r="I38" s="38">
        <v>177</v>
      </c>
      <c r="J38" s="38">
        <v>577</v>
      </c>
      <c r="K38" s="38" t="s">
        <v>120</v>
      </c>
      <c r="L38" s="38">
        <v>96934.264901999995</v>
      </c>
      <c r="M38" s="38">
        <v>12648.396456</v>
      </c>
      <c r="N38" s="38" t="s">
        <v>120</v>
      </c>
      <c r="O38" s="38" t="s">
        <v>120</v>
      </c>
      <c r="P38" s="38" t="s">
        <v>120</v>
      </c>
      <c r="Q38" s="38" t="s">
        <v>120</v>
      </c>
      <c r="R38" s="38" t="s">
        <v>120</v>
      </c>
      <c r="S38" s="38" t="s">
        <v>120</v>
      </c>
      <c r="T38" s="38">
        <v>2803</v>
      </c>
      <c r="V38" s="81">
        <v>2603</v>
      </c>
      <c r="W38" s="38">
        <f t="shared" si="0"/>
        <v>1</v>
      </c>
    </row>
    <row r="39" spans="1:23" x14ac:dyDescent="0.45">
      <c r="A39" s="38">
        <v>34</v>
      </c>
      <c r="B39" s="38" t="s">
        <v>258</v>
      </c>
      <c r="C39" s="38">
        <v>5130.464011</v>
      </c>
      <c r="D39" s="38">
        <v>2604</v>
      </c>
      <c r="E39" s="38">
        <v>0.176787</v>
      </c>
      <c r="F39" s="38">
        <v>1346</v>
      </c>
      <c r="G39" s="38">
        <v>439</v>
      </c>
      <c r="H39" s="38">
        <v>0.17932100000000001</v>
      </c>
      <c r="I39" s="38">
        <v>486</v>
      </c>
      <c r="J39" s="38">
        <v>1176</v>
      </c>
      <c r="K39" s="38" t="s">
        <v>120</v>
      </c>
      <c r="L39" s="38">
        <v>101714.10075699999</v>
      </c>
      <c r="M39" s="38">
        <v>5130.464011</v>
      </c>
      <c r="N39" s="38" t="s">
        <v>120</v>
      </c>
      <c r="O39" s="38" t="s">
        <v>120</v>
      </c>
      <c r="P39" s="38" t="s">
        <v>120</v>
      </c>
      <c r="Q39" s="38" t="s">
        <v>120</v>
      </c>
      <c r="R39" s="38" t="s">
        <v>120</v>
      </c>
      <c r="S39" s="38" t="s">
        <v>120</v>
      </c>
      <c r="T39" s="38">
        <v>2798</v>
      </c>
      <c r="V39" s="81">
        <v>2604</v>
      </c>
      <c r="W39" s="38">
        <f t="shared" si="0"/>
        <v>1</v>
      </c>
    </row>
    <row r="40" spans="1:23" x14ac:dyDescent="0.45">
      <c r="A40" s="38">
        <v>36</v>
      </c>
      <c r="B40" s="38" t="s">
        <v>258</v>
      </c>
      <c r="C40" s="38">
        <v>5330.3115950000001</v>
      </c>
      <c r="D40" s="38">
        <v>2605</v>
      </c>
      <c r="E40" s="38">
        <v>0.129636</v>
      </c>
      <c r="F40" s="38">
        <v>1329</v>
      </c>
      <c r="G40" s="38">
        <v>638</v>
      </c>
      <c r="H40" s="38">
        <v>0.121069</v>
      </c>
      <c r="I40" s="38">
        <v>670</v>
      </c>
      <c r="J40" s="38">
        <v>1154</v>
      </c>
      <c r="K40" s="38" t="s">
        <v>120</v>
      </c>
      <c r="L40" s="38">
        <v>104290.661903</v>
      </c>
      <c r="M40" s="38">
        <v>5330.3115950000001</v>
      </c>
      <c r="N40" s="38" t="s">
        <v>120</v>
      </c>
      <c r="O40" s="38" t="s">
        <v>120</v>
      </c>
      <c r="P40" s="38" t="s">
        <v>120</v>
      </c>
      <c r="Q40" s="38" t="s">
        <v>120</v>
      </c>
      <c r="R40" s="38" t="s">
        <v>120</v>
      </c>
      <c r="S40" s="38" t="s">
        <v>120</v>
      </c>
      <c r="T40" s="38">
        <v>2800</v>
      </c>
      <c r="V40" s="81">
        <v>2605</v>
      </c>
      <c r="W40" s="38">
        <f t="shared" si="0"/>
        <v>1</v>
      </c>
    </row>
    <row r="41" spans="1:23" x14ac:dyDescent="0.45">
      <c r="A41" s="38">
        <v>46</v>
      </c>
      <c r="B41" s="38" t="s">
        <v>258</v>
      </c>
      <c r="C41" s="38">
        <v>4446.9485000000004</v>
      </c>
      <c r="D41" s="38">
        <v>2606</v>
      </c>
      <c r="E41" s="38">
        <v>0.218802</v>
      </c>
      <c r="F41" s="38">
        <v>2218</v>
      </c>
      <c r="G41" s="38">
        <v>1245</v>
      </c>
      <c r="H41" s="38">
        <v>0.22367400000000001</v>
      </c>
      <c r="I41" s="38">
        <v>1302</v>
      </c>
      <c r="J41" s="38">
        <v>2048</v>
      </c>
      <c r="K41" s="38" t="s">
        <v>120</v>
      </c>
      <c r="L41" s="38">
        <v>116024.508397</v>
      </c>
      <c r="M41" s="38">
        <v>4446.9485000000004</v>
      </c>
      <c r="N41" s="38" t="s">
        <v>120</v>
      </c>
      <c r="O41" s="38" t="s">
        <v>120</v>
      </c>
      <c r="P41" s="38" t="s">
        <v>120</v>
      </c>
      <c r="Q41" s="38" t="s">
        <v>120</v>
      </c>
      <c r="R41" s="38" t="s">
        <v>120</v>
      </c>
      <c r="S41" s="38" t="s">
        <v>120</v>
      </c>
      <c r="T41" s="38">
        <v>2810</v>
      </c>
      <c r="V41" s="81">
        <v>2606</v>
      </c>
      <c r="W41" s="38">
        <f t="shared" si="0"/>
        <v>1</v>
      </c>
    </row>
    <row r="42" spans="1:23" x14ac:dyDescent="0.45">
      <c r="A42" s="38">
        <v>33</v>
      </c>
      <c r="B42" s="38" t="s">
        <v>258</v>
      </c>
      <c r="C42" s="38">
        <v>9115.6038009999993</v>
      </c>
      <c r="D42" s="38">
        <v>2607</v>
      </c>
      <c r="E42" s="38">
        <v>8.7541999999999995E-2</v>
      </c>
      <c r="F42" s="38">
        <v>1665</v>
      </c>
      <c r="G42" s="38">
        <v>867</v>
      </c>
      <c r="H42" s="38">
        <v>8.6444999999999994E-2</v>
      </c>
      <c r="I42" s="38">
        <v>898</v>
      </c>
      <c r="J42" s="38">
        <v>1489</v>
      </c>
      <c r="K42" s="38" t="s">
        <v>120</v>
      </c>
      <c r="L42" s="38">
        <v>112078.70843499999</v>
      </c>
      <c r="M42" s="38">
        <v>9115.6038009999993</v>
      </c>
      <c r="N42" s="38" t="s">
        <v>120</v>
      </c>
      <c r="O42" s="38" t="s">
        <v>120</v>
      </c>
      <c r="P42" s="38" t="s">
        <v>120</v>
      </c>
      <c r="Q42" s="38" t="s">
        <v>120</v>
      </c>
      <c r="R42" s="38" t="s">
        <v>120</v>
      </c>
      <c r="S42" s="38" t="s">
        <v>120</v>
      </c>
      <c r="T42" s="38">
        <v>2797</v>
      </c>
      <c r="V42" s="81">
        <v>2607</v>
      </c>
      <c r="W42" s="38">
        <f t="shared" si="0"/>
        <v>1</v>
      </c>
    </row>
    <row r="43" spans="1:23" x14ac:dyDescent="0.45">
      <c r="A43" s="38">
        <v>48</v>
      </c>
      <c r="B43" s="38" t="s">
        <v>258</v>
      </c>
      <c r="C43" s="38">
        <v>10692.761537</v>
      </c>
      <c r="D43" s="38">
        <v>2608</v>
      </c>
      <c r="E43" s="38">
        <v>0.13841100000000001</v>
      </c>
      <c r="F43" s="38">
        <v>2191</v>
      </c>
      <c r="G43" s="38">
        <v>711</v>
      </c>
      <c r="H43" s="38">
        <v>0.11197600000000001</v>
      </c>
      <c r="I43" s="38">
        <v>777</v>
      </c>
      <c r="J43" s="38">
        <v>1675</v>
      </c>
      <c r="K43" s="38" t="s">
        <v>120</v>
      </c>
      <c r="L43" s="38">
        <v>112062.287079</v>
      </c>
      <c r="M43" s="38">
        <v>10692.761537</v>
      </c>
      <c r="N43" s="38" t="s">
        <v>120</v>
      </c>
      <c r="O43" s="38" t="s">
        <v>120</v>
      </c>
      <c r="P43" s="38" t="s">
        <v>120</v>
      </c>
      <c r="Q43" s="38" t="s">
        <v>120</v>
      </c>
      <c r="R43" s="38" t="s">
        <v>120</v>
      </c>
      <c r="S43" s="38" t="s">
        <v>120</v>
      </c>
      <c r="T43" s="38">
        <v>2812</v>
      </c>
      <c r="V43" s="81">
        <v>2608</v>
      </c>
      <c r="W43" s="38">
        <f t="shared" si="0"/>
        <v>1</v>
      </c>
    </row>
    <row r="44" spans="1:23" x14ac:dyDescent="0.45">
      <c r="A44" s="38">
        <v>40</v>
      </c>
      <c r="B44" s="38" t="s">
        <v>258</v>
      </c>
      <c r="C44" s="38">
        <v>5143.6999420000002</v>
      </c>
      <c r="D44" s="38">
        <v>2609</v>
      </c>
      <c r="E44" s="38">
        <v>0.12384100000000001</v>
      </c>
      <c r="F44" s="38">
        <v>996</v>
      </c>
      <c r="G44" s="38">
        <v>359</v>
      </c>
      <c r="H44" s="38">
        <v>0.104724</v>
      </c>
      <c r="I44" s="38">
        <v>517</v>
      </c>
      <c r="J44" s="38">
        <v>921</v>
      </c>
      <c r="K44" s="38" t="s">
        <v>120</v>
      </c>
      <c r="L44" s="38">
        <v>98998.326048000003</v>
      </c>
      <c r="M44" s="38">
        <v>5143.6999420000002</v>
      </c>
      <c r="N44" s="38" t="s">
        <v>120</v>
      </c>
      <c r="O44" s="38" t="s">
        <v>120</v>
      </c>
      <c r="P44" s="38" t="s">
        <v>120</v>
      </c>
      <c r="Q44" s="38" t="s">
        <v>120</v>
      </c>
      <c r="R44" s="38" t="s">
        <v>120</v>
      </c>
      <c r="S44" s="38" t="s">
        <v>120</v>
      </c>
      <c r="T44" s="38">
        <v>2804</v>
      </c>
      <c r="V44" s="81">
        <v>2609</v>
      </c>
      <c r="W44" s="38">
        <f t="shared" si="0"/>
        <v>1</v>
      </c>
    </row>
    <row r="45" spans="1:23" x14ac:dyDescent="0.45">
      <c r="A45" s="38">
        <v>43</v>
      </c>
      <c r="B45" s="38" t="s">
        <v>258</v>
      </c>
      <c r="C45" s="38">
        <v>6879.1314899999998</v>
      </c>
      <c r="D45" s="38">
        <v>2610</v>
      </c>
      <c r="E45" s="38">
        <v>0.11164200000000001</v>
      </c>
      <c r="F45" s="38">
        <v>1202</v>
      </c>
      <c r="G45" s="38">
        <v>434</v>
      </c>
      <c r="H45" s="38">
        <v>8.8771000000000003E-2</v>
      </c>
      <c r="I45" s="38">
        <v>624</v>
      </c>
      <c r="J45" s="38">
        <v>1082</v>
      </c>
      <c r="K45" s="38" t="s">
        <v>120</v>
      </c>
      <c r="L45" s="38">
        <v>101973.998847</v>
      </c>
      <c r="M45" s="38">
        <v>6879.1314899999998</v>
      </c>
      <c r="N45" s="38" t="s">
        <v>120</v>
      </c>
      <c r="O45" s="38" t="s">
        <v>120</v>
      </c>
      <c r="P45" s="38" t="s">
        <v>120</v>
      </c>
      <c r="Q45" s="38" t="s">
        <v>120</v>
      </c>
      <c r="R45" s="38" t="s">
        <v>120</v>
      </c>
      <c r="S45" s="38" t="s">
        <v>120</v>
      </c>
      <c r="T45" s="38">
        <v>2807</v>
      </c>
      <c r="V45" s="81">
        <v>2610</v>
      </c>
      <c r="W45" s="38">
        <f t="shared" si="0"/>
        <v>1</v>
      </c>
    </row>
    <row r="46" spans="1:23" x14ac:dyDescent="0.45">
      <c r="A46" s="38">
        <v>50</v>
      </c>
      <c r="B46" s="38" t="s">
        <v>258</v>
      </c>
      <c r="C46" s="38">
        <v>18347.534258</v>
      </c>
      <c r="D46" s="38">
        <v>2611</v>
      </c>
      <c r="E46" s="38">
        <v>1.526E-3</v>
      </c>
      <c r="F46" s="38">
        <v>111</v>
      </c>
      <c r="G46" s="38">
        <v>83</v>
      </c>
      <c r="H46" s="38">
        <v>1.3079999999999999E-3</v>
      </c>
      <c r="I46" s="38">
        <v>80</v>
      </c>
      <c r="J46" s="38">
        <v>98</v>
      </c>
      <c r="K46" s="38" t="s">
        <v>120</v>
      </c>
      <c r="L46" s="38">
        <v>73322.916614000002</v>
      </c>
      <c r="M46" s="38">
        <v>18347.534258</v>
      </c>
      <c r="N46" s="38" t="s">
        <v>120</v>
      </c>
      <c r="O46" s="38" t="s">
        <v>120</v>
      </c>
      <c r="P46" s="38" t="s">
        <v>120</v>
      </c>
      <c r="Q46" s="38" t="s">
        <v>120</v>
      </c>
      <c r="R46" s="38" t="s">
        <v>120</v>
      </c>
      <c r="S46" s="38" t="s">
        <v>120</v>
      </c>
      <c r="T46" s="38">
        <v>2814</v>
      </c>
      <c r="V46" s="81">
        <v>2611</v>
      </c>
      <c r="W46" s="38">
        <f t="shared" si="0"/>
        <v>1</v>
      </c>
    </row>
    <row r="47" spans="1:23" x14ac:dyDescent="0.45">
      <c r="A47" s="38">
        <v>52</v>
      </c>
      <c r="B47" s="38" t="s">
        <v>258</v>
      </c>
      <c r="C47" s="38">
        <v>6980.7688440000002</v>
      </c>
      <c r="D47" s="38">
        <v>2612</v>
      </c>
      <c r="E47" s="38">
        <v>6.3746999999999998E-2</v>
      </c>
      <c r="F47" s="38">
        <v>660</v>
      </c>
      <c r="G47" s="38">
        <v>215</v>
      </c>
      <c r="H47" s="38">
        <v>6.4558000000000004E-2</v>
      </c>
      <c r="I47" s="38">
        <v>224</v>
      </c>
      <c r="J47" s="38">
        <v>562</v>
      </c>
      <c r="K47" s="38" t="s">
        <v>120</v>
      </c>
      <c r="L47" s="38">
        <v>95321.460070000001</v>
      </c>
      <c r="M47" s="38">
        <v>6980.7688440000002</v>
      </c>
      <c r="N47" s="38" t="s">
        <v>120</v>
      </c>
      <c r="O47" s="38" t="s">
        <v>120</v>
      </c>
      <c r="P47" s="38" t="s">
        <v>120</v>
      </c>
      <c r="Q47" s="38" t="s">
        <v>120</v>
      </c>
      <c r="R47" s="38" t="s">
        <v>120</v>
      </c>
      <c r="S47" s="38" t="s">
        <v>120</v>
      </c>
      <c r="T47" s="38">
        <v>2816</v>
      </c>
      <c r="V47" s="81">
        <v>2612</v>
      </c>
      <c r="W47" s="38">
        <f t="shared" si="0"/>
        <v>1</v>
      </c>
    </row>
    <row r="48" spans="1:23" x14ac:dyDescent="0.45">
      <c r="A48" s="38">
        <v>45</v>
      </c>
      <c r="B48" s="38" t="s">
        <v>258</v>
      </c>
      <c r="C48" s="38">
        <v>2315.6538580000001</v>
      </c>
      <c r="D48" s="38">
        <v>2613</v>
      </c>
      <c r="E48" s="38">
        <v>0.17532800000000001</v>
      </c>
      <c r="F48" s="38">
        <v>764</v>
      </c>
      <c r="G48" s="38">
        <v>358</v>
      </c>
      <c r="H48" s="38">
        <v>0.18195</v>
      </c>
      <c r="I48" s="38">
        <v>371</v>
      </c>
      <c r="J48" s="38">
        <v>687</v>
      </c>
      <c r="K48" s="38" t="s">
        <v>120</v>
      </c>
      <c r="L48" s="38">
        <v>96167.691130000007</v>
      </c>
      <c r="M48" s="38">
        <v>2315.6538580000001</v>
      </c>
      <c r="N48" s="38" t="s">
        <v>120</v>
      </c>
      <c r="O48" s="38" t="s">
        <v>120</v>
      </c>
      <c r="P48" s="38" t="s">
        <v>120</v>
      </c>
      <c r="Q48" s="38" t="s">
        <v>120</v>
      </c>
      <c r="R48" s="38" t="s">
        <v>120</v>
      </c>
      <c r="S48" s="38" t="s">
        <v>120</v>
      </c>
      <c r="T48" s="38">
        <v>2809</v>
      </c>
      <c r="V48" s="81">
        <v>2613</v>
      </c>
      <c r="W48" s="38">
        <f t="shared" si="0"/>
        <v>1</v>
      </c>
    </row>
    <row r="49" spans="1:23" x14ac:dyDescent="0.45">
      <c r="A49" s="38">
        <v>47</v>
      </c>
      <c r="B49" s="38" t="s">
        <v>258</v>
      </c>
      <c r="C49" s="38">
        <v>7396.7460259999998</v>
      </c>
      <c r="D49" s="38">
        <v>2614</v>
      </c>
      <c r="E49" s="38">
        <v>8.1099999999999998E-4</v>
      </c>
      <c r="F49" s="38">
        <v>82</v>
      </c>
      <c r="G49" s="38">
        <v>76</v>
      </c>
      <c r="H49" s="38">
        <v>1.8000000000000001E-4</v>
      </c>
      <c r="I49" s="38">
        <v>71</v>
      </c>
      <c r="J49" s="38">
        <v>72</v>
      </c>
      <c r="K49" s="38" t="s">
        <v>120</v>
      </c>
      <c r="L49" s="38">
        <v>57711.899308</v>
      </c>
      <c r="M49" s="38">
        <v>7396.7460259999998</v>
      </c>
      <c r="N49" s="38" t="s">
        <v>120</v>
      </c>
      <c r="O49" s="38" t="s">
        <v>120</v>
      </c>
      <c r="P49" s="38" t="s">
        <v>120</v>
      </c>
      <c r="Q49" s="38" t="s">
        <v>120</v>
      </c>
      <c r="R49" s="38" t="s">
        <v>120</v>
      </c>
      <c r="S49" s="38" t="s">
        <v>120</v>
      </c>
      <c r="T49" s="38">
        <v>2811</v>
      </c>
      <c r="V49" s="81">
        <v>2614</v>
      </c>
      <c r="W49" s="38">
        <f t="shared" si="0"/>
        <v>1</v>
      </c>
    </row>
    <row r="50" spans="1:23" x14ac:dyDescent="0.45">
      <c r="A50" s="38">
        <v>42</v>
      </c>
      <c r="B50" s="38" t="s">
        <v>258</v>
      </c>
      <c r="C50" s="38">
        <v>9405.5532939999994</v>
      </c>
      <c r="D50" s="38">
        <v>2615</v>
      </c>
      <c r="E50" s="38">
        <v>8.5800000000000001E-2</v>
      </c>
      <c r="F50" s="38">
        <v>1241</v>
      </c>
      <c r="G50" s="38">
        <v>434</v>
      </c>
      <c r="H50" s="38">
        <v>8.6047999999999999E-2</v>
      </c>
      <c r="I50" s="38">
        <v>497</v>
      </c>
      <c r="J50" s="38">
        <v>1104</v>
      </c>
      <c r="K50" s="38" t="s">
        <v>120</v>
      </c>
      <c r="L50" s="38">
        <v>104503.009486</v>
      </c>
      <c r="M50" s="38">
        <v>9405.5532939999994</v>
      </c>
      <c r="N50" s="38" t="s">
        <v>120</v>
      </c>
      <c r="O50" s="38" t="s">
        <v>120</v>
      </c>
      <c r="P50" s="38" t="s">
        <v>120</v>
      </c>
      <c r="Q50" s="38" t="s">
        <v>120</v>
      </c>
      <c r="R50" s="38" t="s">
        <v>120</v>
      </c>
      <c r="S50" s="38" t="s">
        <v>120</v>
      </c>
      <c r="T50" s="38">
        <v>2806</v>
      </c>
      <c r="V50" s="81">
        <v>2615</v>
      </c>
      <c r="W50" s="38">
        <f t="shared" si="0"/>
        <v>1</v>
      </c>
    </row>
    <row r="51" spans="1:23" x14ac:dyDescent="0.45">
      <c r="A51" s="38">
        <v>60</v>
      </c>
      <c r="B51" s="38" t="s">
        <v>258</v>
      </c>
      <c r="C51" s="38">
        <v>15129.107582000001</v>
      </c>
      <c r="D51" s="38">
        <v>2616</v>
      </c>
      <c r="E51" s="38">
        <v>5.0229999999999997E-3</v>
      </c>
      <c r="F51" s="38">
        <v>155</v>
      </c>
      <c r="G51" s="38">
        <v>79</v>
      </c>
      <c r="H51" s="38">
        <v>4.7590000000000002E-3</v>
      </c>
      <c r="I51" s="38">
        <v>71</v>
      </c>
      <c r="J51" s="38">
        <v>125</v>
      </c>
      <c r="K51" s="38" t="s">
        <v>120</v>
      </c>
      <c r="L51" s="38">
        <v>71155.086528</v>
      </c>
      <c r="M51" s="38">
        <v>15129.107582000001</v>
      </c>
      <c r="N51" s="38" t="s">
        <v>120</v>
      </c>
      <c r="O51" s="38" t="s">
        <v>120</v>
      </c>
      <c r="P51" s="38" t="s">
        <v>120</v>
      </c>
      <c r="Q51" s="38" t="s">
        <v>120</v>
      </c>
      <c r="R51" s="38" t="s">
        <v>120</v>
      </c>
      <c r="S51" s="38" t="s">
        <v>120</v>
      </c>
      <c r="T51" s="38">
        <v>2824</v>
      </c>
      <c r="V51" s="81">
        <v>2616</v>
      </c>
      <c r="W51" s="38">
        <f t="shared" si="0"/>
        <v>1</v>
      </c>
    </row>
    <row r="52" spans="1:23" x14ac:dyDescent="0.45">
      <c r="A52" s="38">
        <v>59</v>
      </c>
      <c r="B52" s="38" t="s">
        <v>258</v>
      </c>
      <c r="C52" s="38">
        <v>7052.3547939999999</v>
      </c>
      <c r="D52" s="38">
        <v>2617</v>
      </c>
      <c r="E52" s="38">
        <v>0.198515</v>
      </c>
      <c r="F52" s="38">
        <v>2197</v>
      </c>
      <c r="G52" s="38">
        <v>797</v>
      </c>
      <c r="H52" s="38">
        <v>0.16864299999999999</v>
      </c>
      <c r="I52" s="38">
        <v>842</v>
      </c>
      <c r="J52" s="38">
        <v>1734</v>
      </c>
      <c r="K52" s="38" t="s">
        <v>120</v>
      </c>
      <c r="L52" s="38">
        <v>109970.408474</v>
      </c>
      <c r="M52" s="38">
        <v>7052.3547939999999</v>
      </c>
      <c r="N52" s="38" t="s">
        <v>120</v>
      </c>
      <c r="O52" s="38" t="s">
        <v>120</v>
      </c>
      <c r="P52" s="38" t="s">
        <v>120</v>
      </c>
      <c r="Q52" s="38" t="s">
        <v>120</v>
      </c>
      <c r="R52" s="38" t="s">
        <v>120</v>
      </c>
      <c r="S52" s="38" t="s">
        <v>120</v>
      </c>
      <c r="T52" s="38">
        <v>2823</v>
      </c>
      <c r="V52" s="81">
        <v>2617</v>
      </c>
      <c r="W52" s="38">
        <f t="shared" si="0"/>
        <v>1</v>
      </c>
    </row>
    <row r="53" spans="1:23" x14ac:dyDescent="0.45">
      <c r="A53" s="38">
        <v>56</v>
      </c>
      <c r="B53" s="38" t="s">
        <v>258</v>
      </c>
      <c r="C53" s="38">
        <v>9496.1625110000004</v>
      </c>
      <c r="D53" s="38">
        <v>2618</v>
      </c>
      <c r="E53" s="38">
        <v>7.3700000000000002E-4</v>
      </c>
      <c r="F53" s="38">
        <v>71</v>
      </c>
      <c r="G53" s="38">
        <v>64</v>
      </c>
      <c r="H53" s="38">
        <v>8.4199999999999998E-4</v>
      </c>
      <c r="I53" s="38">
        <v>65</v>
      </c>
      <c r="J53" s="38">
        <v>71</v>
      </c>
      <c r="K53" s="38" t="s">
        <v>120</v>
      </c>
      <c r="L53" s="38">
        <v>48585.743110000003</v>
      </c>
      <c r="M53" s="38">
        <v>9496.1625110000004</v>
      </c>
      <c r="N53" s="38" t="s">
        <v>120</v>
      </c>
      <c r="O53" s="38" t="s">
        <v>120</v>
      </c>
      <c r="P53" s="38" t="s">
        <v>120</v>
      </c>
      <c r="Q53" s="38" t="s">
        <v>120</v>
      </c>
      <c r="R53" s="38" t="s">
        <v>120</v>
      </c>
      <c r="S53" s="38" t="s">
        <v>120</v>
      </c>
      <c r="T53" s="38">
        <v>2820</v>
      </c>
      <c r="V53" s="81">
        <v>2618</v>
      </c>
      <c r="W53" s="38">
        <f t="shared" si="0"/>
        <v>1</v>
      </c>
    </row>
    <row r="54" spans="1:23" x14ac:dyDescent="0.45">
      <c r="A54" s="38">
        <v>58</v>
      </c>
      <c r="B54" s="38" t="s">
        <v>258</v>
      </c>
      <c r="C54" s="38">
        <v>2381.1868669999999</v>
      </c>
      <c r="D54" s="38">
        <v>2619</v>
      </c>
      <c r="E54" s="38">
        <v>0.123888</v>
      </c>
      <c r="F54" s="38">
        <v>1007</v>
      </c>
      <c r="G54" s="38">
        <v>712</v>
      </c>
      <c r="H54" s="38">
        <v>0.14838499999999999</v>
      </c>
      <c r="I54" s="38">
        <v>723</v>
      </c>
      <c r="J54" s="38">
        <v>988</v>
      </c>
      <c r="K54" s="38" t="s">
        <v>120</v>
      </c>
      <c r="L54" s="38">
        <v>103750.712409</v>
      </c>
      <c r="M54" s="38">
        <v>2381.1868669999999</v>
      </c>
      <c r="N54" s="38" t="s">
        <v>120</v>
      </c>
      <c r="O54" s="38" t="s">
        <v>120</v>
      </c>
      <c r="P54" s="38" t="s">
        <v>120</v>
      </c>
      <c r="Q54" s="38" t="s">
        <v>120</v>
      </c>
      <c r="R54" s="38" t="s">
        <v>120</v>
      </c>
      <c r="S54" s="38" t="s">
        <v>120</v>
      </c>
      <c r="T54" s="38">
        <v>2822</v>
      </c>
      <c r="V54" s="81">
        <v>2619</v>
      </c>
      <c r="W54" s="38">
        <f t="shared" si="0"/>
        <v>1</v>
      </c>
    </row>
    <row r="55" spans="1:23" x14ac:dyDescent="0.45">
      <c r="A55" s="38">
        <v>63</v>
      </c>
      <c r="B55" s="38" t="s">
        <v>258</v>
      </c>
      <c r="C55" s="38">
        <v>5862.7101329999996</v>
      </c>
      <c r="D55" s="38">
        <v>2620</v>
      </c>
      <c r="E55" s="38">
        <v>6.6519999999999999E-3</v>
      </c>
      <c r="F55" s="38">
        <v>144</v>
      </c>
      <c r="G55" s="38">
        <v>105</v>
      </c>
      <c r="H55" s="38">
        <v>4.7759999999999999E-3</v>
      </c>
      <c r="I55" s="38">
        <v>107</v>
      </c>
      <c r="J55" s="38">
        <v>128</v>
      </c>
      <c r="K55" s="38" t="s">
        <v>120</v>
      </c>
      <c r="L55" s="38">
        <v>78385.290347999995</v>
      </c>
      <c r="M55" s="38">
        <v>5862.7101329999996</v>
      </c>
      <c r="N55" s="38" t="s">
        <v>120</v>
      </c>
      <c r="O55" s="38" t="s">
        <v>120</v>
      </c>
      <c r="P55" s="38" t="s">
        <v>120</v>
      </c>
      <c r="Q55" s="38" t="s">
        <v>120</v>
      </c>
      <c r="R55" s="38" t="s">
        <v>120</v>
      </c>
      <c r="S55" s="38" t="s">
        <v>120</v>
      </c>
      <c r="T55" s="38">
        <v>2827</v>
      </c>
      <c r="V55" s="81">
        <v>2620</v>
      </c>
      <c r="W55" s="38">
        <f t="shared" si="0"/>
        <v>1</v>
      </c>
    </row>
    <row r="56" spans="1:23" x14ac:dyDescent="0.45">
      <c r="A56" s="38">
        <v>54</v>
      </c>
      <c r="B56" s="38" t="s">
        <v>258</v>
      </c>
      <c r="C56" s="38">
        <v>5472.9892639999998</v>
      </c>
      <c r="D56" s="38">
        <v>2621</v>
      </c>
      <c r="E56" s="38">
        <v>1.83E-4</v>
      </c>
      <c r="F56" s="38">
        <v>77</v>
      </c>
      <c r="G56" s="38">
        <v>76</v>
      </c>
      <c r="H56" s="38">
        <v>-4.8700000000000002E-4</v>
      </c>
      <c r="I56" s="38">
        <v>72</v>
      </c>
      <c r="J56" s="38">
        <v>70</v>
      </c>
      <c r="K56" s="38" t="s">
        <v>120</v>
      </c>
      <c r="L56" s="38">
        <v>55790.731380999998</v>
      </c>
      <c r="M56" s="38">
        <v>5472.9892639999998</v>
      </c>
      <c r="N56" s="38" t="s">
        <v>120</v>
      </c>
      <c r="O56" s="38" t="s">
        <v>120</v>
      </c>
      <c r="P56" s="38" t="s">
        <v>120</v>
      </c>
      <c r="Q56" s="38" t="s">
        <v>120</v>
      </c>
      <c r="R56" s="38" t="s">
        <v>120</v>
      </c>
      <c r="S56" s="38" t="s">
        <v>120</v>
      </c>
      <c r="T56" s="38">
        <v>2818</v>
      </c>
      <c r="V56" s="81">
        <v>2621</v>
      </c>
      <c r="W56" s="38">
        <f t="shared" si="0"/>
        <v>1</v>
      </c>
    </row>
    <row r="57" spans="1:23" x14ac:dyDescent="0.45">
      <c r="A57" s="38">
        <v>55</v>
      </c>
      <c r="B57" s="38" t="s">
        <v>258</v>
      </c>
      <c r="C57" s="38">
        <v>1147.3795990000001</v>
      </c>
      <c r="D57" s="38">
        <v>2622</v>
      </c>
      <c r="E57" s="38">
        <v>-6.1009999999999997E-3</v>
      </c>
      <c r="F57" s="38">
        <v>76</v>
      </c>
      <c r="G57" s="38">
        <v>83</v>
      </c>
      <c r="H57" s="38">
        <v>-5.8100000000000001E-3</v>
      </c>
      <c r="I57" s="38">
        <v>84</v>
      </c>
      <c r="J57" s="38">
        <v>79</v>
      </c>
      <c r="K57" s="38" t="s">
        <v>120</v>
      </c>
      <c r="L57" s="38">
        <v>56125.350788999996</v>
      </c>
      <c r="M57" s="38">
        <v>1147.3795990000001</v>
      </c>
      <c r="N57" s="38" t="s">
        <v>120</v>
      </c>
      <c r="O57" s="38" t="s">
        <v>120</v>
      </c>
      <c r="P57" s="38" t="s">
        <v>120</v>
      </c>
      <c r="Q57" s="38" t="s">
        <v>120</v>
      </c>
      <c r="R57" s="38" t="s">
        <v>120</v>
      </c>
      <c r="S57" s="38" t="s">
        <v>120</v>
      </c>
      <c r="T57" s="38">
        <v>2819</v>
      </c>
      <c r="V57" s="81">
        <v>2622</v>
      </c>
      <c r="W57" s="38">
        <f t="shared" si="0"/>
        <v>1</v>
      </c>
    </row>
    <row r="58" spans="1:23" x14ac:dyDescent="0.45">
      <c r="A58" s="38">
        <v>57</v>
      </c>
      <c r="B58" s="38" t="s">
        <v>258</v>
      </c>
      <c r="C58" s="38">
        <v>1942.7985189999999</v>
      </c>
      <c r="D58" s="38">
        <v>2623</v>
      </c>
      <c r="E58" s="38">
        <v>4.6319999999999998E-3</v>
      </c>
      <c r="F58" s="38">
        <v>79</v>
      </c>
      <c r="G58" s="38">
        <v>70</v>
      </c>
      <c r="H58" s="38">
        <v>-6.8599999999999998E-4</v>
      </c>
      <c r="I58" s="38">
        <v>73</v>
      </c>
      <c r="J58" s="38">
        <v>72</v>
      </c>
      <c r="K58" s="38" t="s">
        <v>120</v>
      </c>
      <c r="L58" s="38">
        <v>50411.936289999998</v>
      </c>
      <c r="M58" s="38">
        <v>1942.7985189999999</v>
      </c>
      <c r="N58" s="38" t="s">
        <v>120</v>
      </c>
      <c r="O58" s="38" t="s">
        <v>120</v>
      </c>
      <c r="P58" s="38" t="s">
        <v>120</v>
      </c>
      <c r="Q58" s="38" t="s">
        <v>120</v>
      </c>
      <c r="R58" s="38" t="s">
        <v>120</v>
      </c>
      <c r="S58" s="38" t="s">
        <v>120</v>
      </c>
      <c r="T58" s="38">
        <v>2821</v>
      </c>
      <c r="V58" s="81">
        <v>2623</v>
      </c>
      <c r="W58" s="38">
        <f t="shared" si="0"/>
        <v>1</v>
      </c>
    </row>
    <row r="59" spans="1:23" x14ac:dyDescent="0.45">
      <c r="A59" s="38">
        <v>69</v>
      </c>
      <c r="B59" s="38" t="s">
        <v>258</v>
      </c>
      <c r="C59" s="38">
        <v>15077.914402</v>
      </c>
      <c r="D59" s="38">
        <v>2624</v>
      </c>
      <c r="E59" s="38">
        <v>1.3259999999999999E-3</v>
      </c>
      <c r="F59" s="38">
        <v>90</v>
      </c>
      <c r="G59" s="38">
        <v>70</v>
      </c>
      <c r="H59" s="38">
        <v>1.0610000000000001E-3</v>
      </c>
      <c r="I59" s="38">
        <v>66</v>
      </c>
      <c r="J59" s="38">
        <v>78</v>
      </c>
      <c r="K59" s="38" t="s">
        <v>120</v>
      </c>
      <c r="L59" s="38">
        <v>63549.641007999999</v>
      </c>
      <c r="M59" s="38">
        <v>15077.914402</v>
      </c>
      <c r="N59" s="38" t="s">
        <v>120</v>
      </c>
      <c r="O59" s="38" t="s">
        <v>120</v>
      </c>
      <c r="P59" s="38" t="s">
        <v>120</v>
      </c>
      <c r="Q59" s="38" t="s">
        <v>120</v>
      </c>
      <c r="R59" s="38" t="s">
        <v>120</v>
      </c>
      <c r="S59" s="38" t="s">
        <v>120</v>
      </c>
      <c r="T59" s="38">
        <v>2833</v>
      </c>
      <c r="V59" s="81">
        <v>2624</v>
      </c>
      <c r="W59" s="38">
        <f t="shared" si="0"/>
        <v>1</v>
      </c>
    </row>
    <row r="60" spans="1:23" x14ac:dyDescent="0.45">
      <c r="A60" s="38">
        <v>53</v>
      </c>
      <c r="B60" s="38" t="s">
        <v>258</v>
      </c>
      <c r="C60" s="38">
        <v>6708.6494359999997</v>
      </c>
      <c r="D60" s="38">
        <v>2625</v>
      </c>
      <c r="E60" s="38">
        <v>1.0430000000000001E-3</v>
      </c>
      <c r="F60" s="38">
        <v>65</v>
      </c>
      <c r="G60" s="38">
        <v>58</v>
      </c>
      <c r="H60" s="38">
        <v>0</v>
      </c>
      <c r="I60" s="38">
        <v>60</v>
      </c>
      <c r="J60" s="38">
        <v>60</v>
      </c>
      <c r="K60" s="38" t="s">
        <v>120</v>
      </c>
      <c r="L60" s="38">
        <v>39227.784963999999</v>
      </c>
      <c r="M60" s="38">
        <v>6708.6494359999997</v>
      </c>
      <c r="N60" s="38" t="s">
        <v>120</v>
      </c>
      <c r="O60" s="38" t="s">
        <v>120</v>
      </c>
      <c r="P60" s="38" t="s">
        <v>120</v>
      </c>
      <c r="Q60" s="38" t="s">
        <v>120</v>
      </c>
      <c r="R60" s="38" t="s">
        <v>120</v>
      </c>
      <c r="S60" s="38" t="s">
        <v>120</v>
      </c>
      <c r="T60" s="38">
        <v>2817</v>
      </c>
      <c r="V60" s="81">
        <v>2625</v>
      </c>
      <c r="W60" s="38">
        <f t="shared" si="0"/>
        <v>1</v>
      </c>
    </row>
    <row r="61" spans="1:23" x14ac:dyDescent="0.45">
      <c r="A61" s="38">
        <v>51</v>
      </c>
      <c r="B61" s="38" t="s">
        <v>258</v>
      </c>
      <c r="C61" s="38">
        <v>5138.0018909999999</v>
      </c>
      <c r="D61" s="38">
        <v>2626</v>
      </c>
      <c r="E61" s="38">
        <v>5.0019000000000001E-2</v>
      </c>
      <c r="F61" s="38">
        <v>413</v>
      </c>
      <c r="G61" s="38">
        <v>156</v>
      </c>
      <c r="H61" s="38">
        <v>2.5172E-2</v>
      </c>
      <c r="I61" s="38">
        <v>171</v>
      </c>
      <c r="J61" s="38">
        <v>268</v>
      </c>
      <c r="K61" s="38" t="s">
        <v>120</v>
      </c>
      <c r="L61" s="38">
        <v>89426.459172000003</v>
      </c>
      <c r="M61" s="38">
        <v>5138.0018909999999</v>
      </c>
      <c r="N61" s="38" t="s">
        <v>120</v>
      </c>
      <c r="O61" s="38" t="s">
        <v>120</v>
      </c>
      <c r="P61" s="38" t="s">
        <v>120</v>
      </c>
      <c r="Q61" s="38" t="s">
        <v>120</v>
      </c>
      <c r="R61" s="38" t="s">
        <v>120</v>
      </c>
      <c r="S61" s="38" t="s">
        <v>120</v>
      </c>
      <c r="T61" s="38">
        <v>2815</v>
      </c>
      <c r="V61" s="81">
        <v>2626</v>
      </c>
      <c r="W61" s="38">
        <f t="shared" si="0"/>
        <v>1</v>
      </c>
    </row>
    <row r="62" spans="1:23" x14ac:dyDescent="0.45">
      <c r="A62" s="38">
        <v>49</v>
      </c>
      <c r="B62" s="38" t="s">
        <v>258</v>
      </c>
      <c r="C62" s="38">
        <v>6310.794097</v>
      </c>
      <c r="D62" s="38">
        <v>2627</v>
      </c>
      <c r="E62" s="38">
        <v>1.1251000000000001E-2</v>
      </c>
      <c r="F62" s="38">
        <v>197</v>
      </c>
      <c r="G62" s="38">
        <v>126</v>
      </c>
      <c r="H62" s="38">
        <v>4.0140000000000002E-3</v>
      </c>
      <c r="I62" s="38">
        <v>137</v>
      </c>
      <c r="J62" s="38">
        <v>156</v>
      </c>
      <c r="K62" s="38" t="s">
        <v>120</v>
      </c>
      <c r="L62" s="38">
        <v>85903.666966000004</v>
      </c>
      <c r="M62" s="38">
        <v>6310.794097</v>
      </c>
      <c r="N62" s="38" t="s">
        <v>120</v>
      </c>
      <c r="O62" s="38" t="s">
        <v>120</v>
      </c>
      <c r="P62" s="38" t="s">
        <v>120</v>
      </c>
      <c r="Q62" s="38" t="s">
        <v>120</v>
      </c>
      <c r="R62" s="38" t="s">
        <v>120</v>
      </c>
      <c r="S62" s="38" t="s">
        <v>120</v>
      </c>
      <c r="T62" s="38">
        <v>2813</v>
      </c>
      <c r="V62" s="81">
        <v>2627</v>
      </c>
      <c r="W62" s="38">
        <f t="shared" si="0"/>
        <v>1</v>
      </c>
    </row>
    <row r="63" spans="1:23" x14ac:dyDescent="0.45">
      <c r="A63" s="38">
        <v>64</v>
      </c>
      <c r="B63" s="38" t="s">
        <v>258</v>
      </c>
      <c r="C63" s="38">
        <v>5504.2076980000002</v>
      </c>
      <c r="D63" s="38">
        <v>2628</v>
      </c>
      <c r="E63" s="38">
        <v>1.817E-3</v>
      </c>
      <c r="F63" s="38">
        <v>74</v>
      </c>
      <c r="G63" s="38">
        <v>64</v>
      </c>
      <c r="H63" s="38">
        <v>-2.42E-4</v>
      </c>
      <c r="I63" s="38">
        <v>64</v>
      </c>
      <c r="J63" s="38">
        <v>63</v>
      </c>
      <c r="K63" s="38" t="s">
        <v>120</v>
      </c>
      <c r="L63" s="38">
        <v>44596.377131000001</v>
      </c>
      <c r="M63" s="38">
        <v>5504.2076980000002</v>
      </c>
      <c r="N63" s="38" t="s">
        <v>120</v>
      </c>
      <c r="O63" s="38" t="s">
        <v>120</v>
      </c>
      <c r="P63" s="38" t="s">
        <v>120</v>
      </c>
      <c r="Q63" s="38" t="s">
        <v>120</v>
      </c>
      <c r="R63" s="38" t="s">
        <v>120</v>
      </c>
      <c r="S63" s="38" t="s">
        <v>120</v>
      </c>
      <c r="T63" s="38">
        <v>2828</v>
      </c>
      <c r="V63" s="81">
        <v>2628</v>
      </c>
      <c r="W63" s="38">
        <f t="shared" si="0"/>
        <v>1</v>
      </c>
    </row>
    <row r="64" spans="1:23" x14ac:dyDescent="0.45">
      <c r="A64" s="38">
        <v>98</v>
      </c>
      <c r="B64" s="38" t="s">
        <v>258</v>
      </c>
      <c r="C64" s="38">
        <v>16639.754679000001</v>
      </c>
      <c r="D64" s="38">
        <v>2629</v>
      </c>
      <c r="E64" s="38">
        <v>8.9123999999999995E-2</v>
      </c>
      <c r="F64" s="38">
        <v>1697</v>
      </c>
      <c r="G64" s="38">
        <v>214</v>
      </c>
      <c r="H64" s="38">
        <v>5.1123000000000002E-2</v>
      </c>
      <c r="I64" s="38">
        <v>257</v>
      </c>
      <c r="J64" s="38">
        <v>895</v>
      </c>
      <c r="K64" s="38" t="s">
        <v>120</v>
      </c>
      <c r="L64" s="38">
        <v>104977.85707</v>
      </c>
      <c r="M64" s="38">
        <v>16639.754679000001</v>
      </c>
      <c r="N64" s="38" t="s">
        <v>120</v>
      </c>
      <c r="O64" s="38" t="s">
        <v>120</v>
      </c>
      <c r="P64" s="38" t="s">
        <v>120</v>
      </c>
      <c r="Q64" s="38" t="s">
        <v>120</v>
      </c>
      <c r="R64" s="38" t="s">
        <v>120</v>
      </c>
      <c r="S64" s="38" t="s">
        <v>120</v>
      </c>
      <c r="T64" s="38">
        <v>2862</v>
      </c>
      <c r="V64" s="81">
        <v>2629</v>
      </c>
      <c r="W64" s="38">
        <f t="shared" si="0"/>
        <v>1</v>
      </c>
    </row>
    <row r="65" spans="1:23" x14ac:dyDescent="0.45">
      <c r="A65" s="38">
        <v>67</v>
      </c>
      <c r="B65" s="38" t="s">
        <v>258</v>
      </c>
      <c r="C65" s="38">
        <v>6529.6518720000004</v>
      </c>
      <c r="D65" s="38">
        <v>2630</v>
      </c>
      <c r="E65" s="38">
        <v>1.5300000000000001E-4</v>
      </c>
      <c r="F65" s="38">
        <v>71</v>
      </c>
      <c r="G65" s="38">
        <v>70</v>
      </c>
      <c r="H65" s="38">
        <v>-2.04E-4</v>
      </c>
      <c r="I65" s="38">
        <v>71</v>
      </c>
      <c r="J65" s="38">
        <v>70</v>
      </c>
      <c r="K65" s="38" t="s">
        <v>120</v>
      </c>
      <c r="L65" s="38">
        <v>51071.923664000002</v>
      </c>
      <c r="M65" s="38">
        <v>6529.6518720000004</v>
      </c>
      <c r="N65" s="38" t="s">
        <v>120</v>
      </c>
      <c r="O65" s="38" t="s">
        <v>120</v>
      </c>
      <c r="P65" s="38" t="s">
        <v>120</v>
      </c>
      <c r="Q65" s="38" t="s">
        <v>120</v>
      </c>
      <c r="R65" s="38" t="s">
        <v>120</v>
      </c>
      <c r="S65" s="38" t="s">
        <v>120</v>
      </c>
      <c r="T65" s="38">
        <v>2831</v>
      </c>
      <c r="V65" s="81">
        <v>2630</v>
      </c>
      <c r="W65" s="38">
        <f t="shared" si="0"/>
        <v>1</v>
      </c>
    </row>
    <row r="66" spans="1:23" x14ac:dyDescent="0.45">
      <c r="A66" s="38">
        <v>61</v>
      </c>
      <c r="B66" s="38" t="s">
        <v>258</v>
      </c>
      <c r="C66" s="38">
        <v>7245.4135050000004</v>
      </c>
      <c r="D66" s="38">
        <v>2631</v>
      </c>
      <c r="E66" s="38">
        <v>0.20330100000000001</v>
      </c>
      <c r="F66" s="38">
        <v>2270</v>
      </c>
      <c r="G66" s="38">
        <v>797</v>
      </c>
      <c r="H66" s="38">
        <v>0.161021</v>
      </c>
      <c r="I66" s="38">
        <v>879</v>
      </c>
      <c r="J66" s="38">
        <v>1754</v>
      </c>
      <c r="K66" s="38" t="s">
        <v>120</v>
      </c>
      <c r="L66" s="38">
        <v>110166.056019</v>
      </c>
      <c r="M66" s="38">
        <v>7245.4135050000004</v>
      </c>
      <c r="N66" s="38" t="s">
        <v>120</v>
      </c>
      <c r="O66" s="38" t="s">
        <v>120</v>
      </c>
      <c r="P66" s="38" t="s">
        <v>120</v>
      </c>
      <c r="Q66" s="38" t="s">
        <v>120</v>
      </c>
      <c r="R66" s="38" t="s">
        <v>120</v>
      </c>
      <c r="S66" s="38" t="s">
        <v>120</v>
      </c>
      <c r="T66" s="38">
        <v>2825</v>
      </c>
      <c r="V66" s="81">
        <v>2631</v>
      </c>
      <c r="W66" s="38">
        <f t="shared" si="0"/>
        <v>1</v>
      </c>
    </row>
    <row r="67" spans="1:23" x14ac:dyDescent="0.45">
      <c r="A67" s="38">
        <v>90</v>
      </c>
      <c r="B67" s="38" t="s">
        <v>258</v>
      </c>
      <c r="C67" s="38">
        <v>21627.585662000001</v>
      </c>
      <c r="D67" s="38">
        <v>2632</v>
      </c>
      <c r="E67" s="38">
        <v>3.699E-3</v>
      </c>
      <c r="F67" s="38">
        <v>159</v>
      </c>
      <c r="G67" s="38">
        <v>79</v>
      </c>
      <c r="H67" s="38">
        <v>2.898E-3</v>
      </c>
      <c r="I67" s="38">
        <v>78</v>
      </c>
      <c r="J67" s="38">
        <v>125</v>
      </c>
      <c r="K67" s="38" t="s">
        <v>120</v>
      </c>
      <c r="L67" s="38">
        <v>77650.975772999998</v>
      </c>
      <c r="M67" s="38">
        <v>21627.585662000001</v>
      </c>
      <c r="N67" s="38" t="s">
        <v>120</v>
      </c>
      <c r="O67" s="38" t="s">
        <v>120</v>
      </c>
      <c r="P67" s="38" t="s">
        <v>120</v>
      </c>
      <c r="Q67" s="38" t="s">
        <v>120</v>
      </c>
      <c r="R67" s="38" t="s">
        <v>120</v>
      </c>
      <c r="S67" s="38" t="s">
        <v>120</v>
      </c>
      <c r="T67" s="38">
        <v>2854</v>
      </c>
      <c r="V67" s="81">
        <v>2632</v>
      </c>
      <c r="W67" s="38">
        <f t="shared" ref="W67:W130" si="1">IF(V67=D67,1,0)</f>
        <v>1</v>
      </c>
    </row>
    <row r="68" spans="1:23" x14ac:dyDescent="0.45">
      <c r="A68" s="38">
        <v>93</v>
      </c>
      <c r="B68" s="38" t="s">
        <v>258</v>
      </c>
      <c r="C68" s="38">
        <v>7503.4717659999997</v>
      </c>
      <c r="D68" s="38">
        <v>2633</v>
      </c>
      <c r="E68" s="38">
        <v>1.0660000000000001E-3</v>
      </c>
      <c r="F68" s="38">
        <v>78</v>
      </c>
      <c r="G68" s="38">
        <v>70</v>
      </c>
      <c r="H68" s="38">
        <v>1.4220000000000001E-3</v>
      </c>
      <c r="I68" s="38">
        <v>62</v>
      </c>
      <c r="J68" s="38">
        <v>70</v>
      </c>
      <c r="K68" s="38" t="s">
        <v>120</v>
      </c>
      <c r="L68" s="38">
        <v>52048.332392999997</v>
      </c>
      <c r="M68" s="38">
        <v>7503.4717659999997</v>
      </c>
      <c r="N68" s="38" t="s">
        <v>120</v>
      </c>
      <c r="O68" s="38" t="s">
        <v>120</v>
      </c>
      <c r="P68" s="38" t="s">
        <v>120</v>
      </c>
      <c r="Q68" s="38" t="s">
        <v>120</v>
      </c>
      <c r="R68" s="38" t="s">
        <v>120</v>
      </c>
      <c r="S68" s="38" t="s">
        <v>120</v>
      </c>
      <c r="T68" s="38">
        <v>2857</v>
      </c>
      <c r="V68" s="81">
        <v>2633</v>
      </c>
      <c r="W68" s="38">
        <f t="shared" si="1"/>
        <v>1</v>
      </c>
    </row>
    <row r="69" spans="1:23" x14ac:dyDescent="0.45">
      <c r="A69" s="38">
        <v>62</v>
      </c>
      <c r="B69" s="38" t="s">
        <v>258</v>
      </c>
      <c r="C69" s="38">
        <v>3505.006762</v>
      </c>
      <c r="D69" s="38">
        <v>2634</v>
      </c>
      <c r="E69" s="38">
        <v>2.2820000000000002E-3</v>
      </c>
      <c r="F69" s="38">
        <v>62</v>
      </c>
      <c r="G69" s="38">
        <v>54</v>
      </c>
      <c r="H69" s="38">
        <v>0</v>
      </c>
      <c r="I69" s="38">
        <v>54</v>
      </c>
      <c r="J69" s="38">
        <v>54</v>
      </c>
      <c r="K69" s="38" t="s">
        <v>120</v>
      </c>
      <c r="L69" s="38">
        <v>32603.342327999999</v>
      </c>
      <c r="M69" s="38">
        <v>3505.006762</v>
      </c>
      <c r="N69" s="38" t="s">
        <v>120</v>
      </c>
      <c r="O69" s="38" t="s">
        <v>120</v>
      </c>
      <c r="P69" s="38" t="s">
        <v>120</v>
      </c>
      <c r="Q69" s="38" t="s">
        <v>120</v>
      </c>
      <c r="R69" s="38" t="s">
        <v>120</v>
      </c>
      <c r="S69" s="38" t="s">
        <v>120</v>
      </c>
      <c r="T69" s="38">
        <v>2826</v>
      </c>
      <c r="V69" s="81">
        <v>2634</v>
      </c>
      <c r="W69" s="38">
        <f t="shared" si="1"/>
        <v>1</v>
      </c>
    </row>
    <row r="70" spans="1:23" x14ac:dyDescent="0.45">
      <c r="A70" s="38">
        <v>66</v>
      </c>
      <c r="B70" s="38" t="s">
        <v>258</v>
      </c>
      <c r="C70" s="38">
        <v>2125.0446419999998</v>
      </c>
      <c r="D70" s="38">
        <v>2635</v>
      </c>
      <c r="E70" s="38">
        <v>2.823E-3</v>
      </c>
      <c r="F70" s="38">
        <v>64</v>
      </c>
      <c r="G70" s="38">
        <v>58</v>
      </c>
      <c r="H70" s="38">
        <v>-7.5290000000000001E-3</v>
      </c>
      <c r="I70" s="38">
        <v>60</v>
      </c>
      <c r="J70" s="38">
        <v>48</v>
      </c>
      <c r="K70" s="38" t="s">
        <v>120</v>
      </c>
      <c r="L70" s="38">
        <v>34644.180168999999</v>
      </c>
      <c r="M70" s="38">
        <v>2125.0446419999998</v>
      </c>
      <c r="N70" s="38" t="s">
        <v>120</v>
      </c>
      <c r="O70" s="38" t="s">
        <v>120</v>
      </c>
      <c r="P70" s="38" t="s">
        <v>120</v>
      </c>
      <c r="Q70" s="38" t="s">
        <v>120</v>
      </c>
      <c r="R70" s="38" t="s">
        <v>120</v>
      </c>
      <c r="S70" s="38" t="s">
        <v>120</v>
      </c>
      <c r="T70" s="38">
        <v>2830</v>
      </c>
      <c r="V70" s="81">
        <v>2635</v>
      </c>
      <c r="W70" s="38">
        <f t="shared" si="1"/>
        <v>1</v>
      </c>
    </row>
    <row r="71" spans="1:23" x14ac:dyDescent="0.45">
      <c r="A71" s="38">
        <v>110</v>
      </c>
      <c r="B71" s="38" t="s">
        <v>258</v>
      </c>
      <c r="C71" s="38">
        <v>12230.274611999999</v>
      </c>
      <c r="D71" s="38">
        <v>2636</v>
      </c>
      <c r="E71" s="38">
        <v>2.2889999999999998E-3</v>
      </c>
      <c r="F71" s="38">
        <v>89</v>
      </c>
      <c r="G71" s="38">
        <v>61</v>
      </c>
      <c r="H71" s="38">
        <v>1.199E-3</v>
      </c>
      <c r="I71" s="38">
        <v>60</v>
      </c>
      <c r="J71" s="38">
        <v>71</v>
      </c>
      <c r="K71" s="38" t="s">
        <v>120</v>
      </c>
      <c r="L71" s="38">
        <v>46123.674208999997</v>
      </c>
      <c r="M71" s="38">
        <v>12230.274611999999</v>
      </c>
      <c r="N71" s="38" t="s">
        <v>120</v>
      </c>
      <c r="O71" s="38" t="s">
        <v>120</v>
      </c>
      <c r="P71" s="38" t="s">
        <v>120</v>
      </c>
      <c r="Q71" s="38" t="s">
        <v>120</v>
      </c>
      <c r="R71" s="38" t="s">
        <v>120</v>
      </c>
      <c r="S71" s="38" t="s">
        <v>120</v>
      </c>
      <c r="T71" s="38">
        <v>2874</v>
      </c>
      <c r="V71" s="81">
        <v>2636</v>
      </c>
      <c r="W71" s="38">
        <f t="shared" si="1"/>
        <v>1</v>
      </c>
    </row>
    <row r="72" spans="1:23" x14ac:dyDescent="0.45">
      <c r="A72" s="38">
        <v>77</v>
      </c>
      <c r="B72" s="38" t="s">
        <v>258</v>
      </c>
      <c r="C72" s="38">
        <v>9839.6523199999992</v>
      </c>
      <c r="D72" s="38">
        <v>2637</v>
      </c>
      <c r="E72" s="38">
        <v>3.6382999999999999E-2</v>
      </c>
      <c r="F72" s="38">
        <v>490</v>
      </c>
      <c r="G72" s="38">
        <v>132</v>
      </c>
      <c r="H72" s="38">
        <v>3.0217999999999998E-2</v>
      </c>
      <c r="I72" s="38">
        <v>144</v>
      </c>
      <c r="J72" s="38">
        <v>367</v>
      </c>
      <c r="K72" s="38" t="s">
        <v>120</v>
      </c>
      <c r="L72" s="38">
        <v>90707.677605999997</v>
      </c>
      <c r="M72" s="38">
        <v>9839.6523199999992</v>
      </c>
      <c r="N72" s="38" t="s">
        <v>120</v>
      </c>
      <c r="O72" s="38" t="s">
        <v>120</v>
      </c>
      <c r="P72" s="38" t="s">
        <v>120</v>
      </c>
      <c r="Q72" s="38" t="s">
        <v>120</v>
      </c>
      <c r="R72" s="38" t="s">
        <v>120</v>
      </c>
      <c r="S72" s="38" t="s">
        <v>120</v>
      </c>
      <c r="T72" s="38">
        <v>2841</v>
      </c>
      <c r="V72" s="81">
        <v>2637</v>
      </c>
      <c r="W72" s="38">
        <f t="shared" si="1"/>
        <v>1</v>
      </c>
    </row>
    <row r="73" spans="1:23" x14ac:dyDescent="0.45">
      <c r="A73" s="38">
        <v>85</v>
      </c>
      <c r="B73" s="38" t="s">
        <v>258</v>
      </c>
      <c r="C73" s="38">
        <v>7078.9921480000003</v>
      </c>
      <c r="D73" s="38">
        <v>2638</v>
      </c>
      <c r="E73" s="38">
        <v>9.8900000000000008E-4</v>
      </c>
      <c r="F73" s="38">
        <v>80</v>
      </c>
      <c r="G73" s="38">
        <v>73</v>
      </c>
      <c r="H73" s="38">
        <v>7.5299999999999998E-4</v>
      </c>
      <c r="I73" s="38">
        <v>74</v>
      </c>
      <c r="J73" s="38">
        <v>78</v>
      </c>
      <c r="K73" s="38" t="s">
        <v>120</v>
      </c>
      <c r="L73" s="38">
        <v>57981.721638000003</v>
      </c>
      <c r="M73" s="38">
        <v>7078.9921480000003</v>
      </c>
      <c r="N73" s="38" t="s">
        <v>120</v>
      </c>
      <c r="O73" s="38" t="s">
        <v>120</v>
      </c>
      <c r="P73" s="38" t="s">
        <v>120</v>
      </c>
      <c r="Q73" s="38" t="s">
        <v>120</v>
      </c>
      <c r="R73" s="38" t="s">
        <v>120</v>
      </c>
      <c r="S73" s="38" t="s">
        <v>120</v>
      </c>
      <c r="T73" s="38">
        <v>2849</v>
      </c>
      <c r="V73" s="81">
        <v>2638</v>
      </c>
      <c r="W73" s="38">
        <f t="shared" si="1"/>
        <v>1</v>
      </c>
    </row>
    <row r="74" spans="1:23" x14ac:dyDescent="0.45">
      <c r="A74" s="38">
        <v>120</v>
      </c>
      <c r="B74" s="38" t="s">
        <v>258</v>
      </c>
      <c r="C74" s="38">
        <v>15606.696416999999</v>
      </c>
      <c r="D74" s="38">
        <v>2639</v>
      </c>
      <c r="E74" s="38">
        <v>1.5380000000000001E-3</v>
      </c>
      <c r="F74" s="38">
        <v>97</v>
      </c>
      <c r="G74" s="38">
        <v>73</v>
      </c>
      <c r="H74" s="38">
        <v>-2.5599999999999999E-4</v>
      </c>
      <c r="I74" s="38">
        <v>80</v>
      </c>
      <c r="J74" s="38">
        <v>77</v>
      </c>
      <c r="K74" s="38" t="s">
        <v>120</v>
      </c>
      <c r="L74" s="38">
        <v>66506.837071999995</v>
      </c>
      <c r="M74" s="38">
        <v>15606.696416999999</v>
      </c>
      <c r="N74" s="38" t="s">
        <v>120</v>
      </c>
      <c r="O74" s="38" t="s">
        <v>120</v>
      </c>
      <c r="P74" s="38" t="s">
        <v>120</v>
      </c>
      <c r="Q74" s="38" t="s">
        <v>120</v>
      </c>
      <c r="R74" s="38" t="s">
        <v>120</v>
      </c>
      <c r="S74" s="38" t="s">
        <v>120</v>
      </c>
      <c r="T74" s="38">
        <v>2884</v>
      </c>
      <c r="V74" s="81">
        <v>2639</v>
      </c>
      <c r="W74" s="38">
        <f t="shared" si="1"/>
        <v>1</v>
      </c>
    </row>
    <row r="75" spans="1:23" x14ac:dyDescent="0.45">
      <c r="A75" s="38">
        <v>108</v>
      </c>
      <c r="B75" s="38" t="s">
        <v>258</v>
      </c>
      <c r="C75" s="38">
        <v>6017.3674209999999</v>
      </c>
      <c r="D75" s="38">
        <v>2641</v>
      </c>
      <c r="E75" s="38">
        <v>2.3270000000000001E-3</v>
      </c>
      <c r="F75" s="38">
        <v>75</v>
      </c>
      <c r="G75" s="38">
        <v>61</v>
      </c>
      <c r="H75" s="38">
        <v>2.6589999999999999E-3</v>
      </c>
      <c r="I75" s="38">
        <v>54</v>
      </c>
      <c r="J75" s="38">
        <v>66</v>
      </c>
      <c r="K75" s="38" t="s">
        <v>120</v>
      </c>
      <c r="L75" s="38">
        <v>39908.178182000003</v>
      </c>
      <c r="M75" s="38">
        <v>6017.3674209999999</v>
      </c>
      <c r="N75" s="38" t="s">
        <v>120</v>
      </c>
      <c r="O75" s="38" t="s">
        <v>120</v>
      </c>
      <c r="P75" s="38" t="s">
        <v>120</v>
      </c>
      <c r="Q75" s="38" t="s">
        <v>120</v>
      </c>
      <c r="R75" s="38" t="s">
        <v>120</v>
      </c>
      <c r="S75" s="38" t="s">
        <v>120</v>
      </c>
      <c r="T75" s="38">
        <v>2872</v>
      </c>
      <c r="V75" s="81">
        <v>2641</v>
      </c>
      <c r="W75" s="38">
        <f t="shared" si="1"/>
        <v>1</v>
      </c>
    </row>
    <row r="76" spans="1:23" x14ac:dyDescent="0.45">
      <c r="A76" s="38">
        <v>79</v>
      </c>
      <c r="B76" s="38" t="s">
        <v>258</v>
      </c>
      <c r="C76" s="38">
        <v>1099.9684339999999</v>
      </c>
      <c r="D76" s="38">
        <v>2642</v>
      </c>
      <c r="E76" s="38">
        <v>1.2728E-2</v>
      </c>
      <c r="F76" s="38">
        <v>147</v>
      </c>
      <c r="G76" s="38">
        <v>133</v>
      </c>
      <c r="H76" s="38">
        <v>9.6970000000000008E-3</v>
      </c>
      <c r="I76" s="38">
        <v>134</v>
      </c>
      <c r="J76" s="38">
        <v>142</v>
      </c>
      <c r="K76" s="38" t="s">
        <v>120</v>
      </c>
      <c r="L76" s="38">
        <v>81965.404884000003</v>
      </c>
      <c r="M76" s="38">
        <v>1099.9684339999999</v>
      </c>
      <c r="N76" s="38" t="s">
        <v>120</v>
      </c>
      <c r="O76" s="38" t="s">
        <v>120</v>
      </c>
      <c r="P76" s="38" t="s">
        <v>120</v>
      </c>
      <c r="Q76" s="38" t="s">
        <v>120</v>
      </c>
      <c r="R76" s="38" t="s">
        <v>120</v>
      </c>
      <c r="S76" s="38" t="s">
        <v>120</v>
      </c>
      <c r="T76" s="38">
        <v>2843</v>
      </c>
      <c r="V76" s="81">
        <v>2642</v>
      </c>
      <c r="W76" s="38">
        <f t="shared" si="1"/>
        <v>1</v>
      </c>
    </row>
    <row r="77" spans="1:23" x14ac:dyDescent="0.45">
      <c r="A77" s="38">
        <v>76</v>
      </c>
      <c r="B77" s="38" t="s">
        <v>258</v>
      </c>
      <c r="C77" s="38">
        <v>4857.6718049999999</v>
      </c>
      <c r="D77" s="38">
        <v>2644</v>
      </c>
      <c r="E77" s="38">
        <v>0.23818</v>
      </c>
      <c r="F77" s="38">
        <v>1847</v>
      </c>
      <c r="G77" s="38">
        <v>690</v>
      </c>
      <c r="H77" s="38">
        <v>0.244287</v>
      </c>
      <c r="I77" s="38">
        <v>746</v>
      </c>
      <c r="J77" s="38">
        <v>1636</v>
      </c>
      <c r="K77" s="38" t="s">
        <v>120</v>
      </c>
      <c r="L77" s="38">
        <v>105816.98134899999</v>
      </c>
      <c r="M77" s="38">
        <v>4857.6718049999999</v>
      </c>
      <c r="N77" s="38" t="s">
        <v>120</v>
      </c>
      <c r="O77" s="38" t="s">
        <v>120</v>
      </c>
      <c r="P77" s="38" t="s">
        <v>120</v>
      </c>
      <c r="Q77" s="38" t="s">
        <v>120</v>
      </c>
      <c r="R77" s="38" t="s">
        <v>120</v>
      </c>
      <c r="S77" s="38" t="s">
        <v>120</v>
      </c>
      <c r="T77" s="38">
        <v>2840</v>
      </c>
      <c r="V77" s="81">
        <v>2644</v>
      </c>
      <c r="W77" s="38">
        <f t="shared" si="1"/>
        <v>1</v>
      </c>
    </row>
    <row r="78" spans="1:23" x14ac:dyDescent="0.45">
      <c r="A78" s="38">
        <v>107</v>
      </c>
      <c r="B78" s="38" t="s">
        <v>258</v>
      </c>
      <c r="C78" s="38">
        <v>6792.5198369999998</v>
      </c>
      <c r="D78" s="38">
        <v>2645</v>
      </c>
      <c r="E78" s="38">
        <v>1.1042E-2</v>
      </c>
      <c r="F78" s="38">
        <v>205</v>
      </c>
      <c r="G78" s="38">
        <v>130</v>
      </c>
      <c r="H78" s="38">
        <v>9.8150000000000008E-3</v>
      </c>
      <c r="I78" s="38">
        <v>128</v>
      </c>
      <c r="J78" s="38">
        <v>178</v>
      </c>
      <c r="K78" s="38" t="s">
        <v>120</v>
      </c>
      <c r="L78" s="38">
        <v>86166.382515000005</v>
      </c>
      <c r="M78" s="38">
        <v>6792.5198369999998</v>
      </c>
      <c r="N78" s="38" t="s">
        <v>120</v>
      </c>
      <c r="O78" s="38" t="s">
        <v>120</v>
      </c>
      <c r="P78" s="38" t="s">
        <v>120</v>
      </c>
      <c r="Q78" s="38" t="s">
        <v>120</v>
      </c>
      <c r="R78" s="38" t="s">
        <v>120</v>
      </c>
      <c r="S78" s="38" t="s">
        <v>120</v>
      </c>
      <c r="T78" s="38">
        <v>2871</v>
      </c>
      <c r="V78" s="81">
        <v>2645</v>
      </c>
      <c r="W78" s="38">
        <f t="shared" si="1"/>
        <v>1</v>
      </c>
    </row>
    <row r="79" spans="1:23" x14ac:dyDescent="0.45">
      <c r="A79" s="38">
        <v>78</v>
      </c>
      <c r="B79" s="38" t="s">
        <v>258</v>
      </c>
      <c r="C79" s="38">
        <v>267.937861</v>
      </c>
      <c r="D79" s="38">
        <v>2646</v>
      </c>
      <c r="E79" s="38">
        <v>1.1197E-2</v>
      </c>
      <c r="F79" s="38">
        <v>132</v>
      </c>
      <c r="G79" s="38">
        <v>129</v>
      </c>
      <c r="H79" s="38">
        <v>4.9760000000000004E-3</v>
      </c>
      <c r="I79" s="38">
        <v>128</v>
      </c>
      <c r="J79" s="38">
        <v>129</v>
      </c>
      <c r="K79" s="38" t="s">
        <v>120</v>
      </c>
      <c r="L79" s="38">
        <v>79644.389372999998</v>
      </c>
      <c r="M79" s="38">
        <v>267.937861</v>
      </c>
      <c r="N79" s="38" t="s">
        <v>120</v>
      </c>
      <c r="O79" s="38" t="s">
        <v>120</v>
      </c>
      <c r="P79" s="38" t="s">
        <v>120</v>
      </c>
      <c r="Q79" s="38" t="s">
        <v>120</v>
      </c>
      <c r="R79" s="38" t="s">
        <v>120</v>
      </c>
      <c r="S79" s="38" t="s">
        <v>120</v>
      </c>
      <c r="T79" s="38">
        <v>2842</v>
      </c>
      <c r="V79" s="81">
        <v>2646</v>
      </c>
      <c r="W79" s="38">
        <f t="shared" si="1"/>
        <v>1</v>
      </c>
    </row>
    <row r="80" spans="1:23" x14ac:dyDescent="0.45">
      <c r="A80" s="38">
        <v>84</v>
      </c>
      <c r="B80" s="38" t="s">
        <v>258</v>
      </c>
      <c r="C80" s="38">
        <v>3049.3849190000001</v>
      </c>
      <c r="D80" s="38">
        <v>2647</v>
      </c>
      <c r="E80" s="38">
        <v>1.9675999999999999E-2</v>
      </c>
      <c r="F80" s="38">
        <v>186</v>
      </c>
      <c r="G80" s="38">
        <v>126</v>
      </c>
      <c r="H80" s="38">
        <v>9.6190000000000008E-3</v>
      </c>
      <c r="I80" s="38">
        <v>132</v>
      </c>
      <c r="J80" s="38">
        <v>154</v>
      </c>
      <c r="K80" s="38" t="s">
        <v>120</v>
      </c>
      <c r="L80" s="38">
        <v>82639.668953</v>
      </c>
      <c r="M80" s="38">
        <v>3049.3849190000001</v>
      </c>
      <c r="N80" s="38" t="s">
        <v>120</v>
      </c>
      <c r="O80" s="38" t="s">
        <v>120</v>
      </c>
      <c r="P80" s="38" t="s">
        <v>120</v>
      </c>
      <c r="Q80" s="38" t="s">
        <v>120</v>
      </c>
      <c r="R80" s="38" t="s">
        <v>120</v>
      </c>
      <c r="S80" s="38" t="s">
        <v>120</v>
      </c>
      <c r="T80" s="38">
        <v>2848</v>
      </c>
      <c r="V80" s="81">
        <v>2647</v>
      </c>
      <c r="W80" s="38">
        <f t="shared" si="1"/>
        <v>1</v>
      </c>
    </row>
    <row r="81" spans="1:23" x14ac:dyDescent="0.45">
      <c r="A81" s="38">
        <v>99</v>
      </c>
      <c r="B81" s="38" t="s">
        <v>258</v>
      </c>
      <c r="C81" s="38">
        <v>4680.2353869999997</v>
      </c>
      <c r="D81" s="38">
        <v>2648</v>
      </c>
      <c r="E81" s="38">
        <v>7.4780000000000003E-3</v>
      </c>
      <c r="F81" s="38">
        <v>89</v>
      </c>
      <c r="G81" s="38">
        <v>54</v>
      </c>
      <c r="H81" s="38">
        <v>2.849E-3</v>
      </c>
      <c r="I81" s="38">
        <v>53</v>
      </c>
      <c r="J81" s="38">
        <v>63</v>
      </c>
      <c r="K81" s="38" t="s">
        <v>120</v>
      </c>
      <c r="L81" s="38">
        <v>33775.982118</v>
      </c>
      <c r="M81" s="38">
        <v>4680.2353869999997</v>
      </c>
      <c r="N81" s="38" t="s">
        <v>120</v>
      </c>
      <c r="O81" s="38" t="s">
        <v>120</v>
      </c>
      <c r="P81" s="38" t="s">
        <v>120</v>
      </c>
      <c r="Q81" s="38" t="s">
        <v>120</v>
      </c>
      <c r="R81" s="38" t="s">
        <v>120</v>
      </c>
      <c r="S81" s="38" t="s">
        <v>120</v>
      </c>
      <c r="T81" s="38">
        <v>2863</v>
      </c>
      <c r="V81" s="81">
        <v>2648</v>
      </c>
      <c r="W81" s="38">
        <f t="shared" si="1"/>
        <v>1</v>
      </c>
    </row>
    <row r="82" spans="1:23" x14ac:dyDescent="0.45">
      <c r="A82" s="38">
        <v>111</v>
      </c>
      <c r="B82" s="38" t="s">
        <v>258</v>
      </c>
      <c r="C82" s="38">
        <v>6686.9742020000003</v>
      </c>
      <c r="D82" s="38">
        <v>2649</v>
      </c>
      <c r="E82" s="38">
        <v>0.227607</v>
      </c>
      <c r="F82" s="38">
        <v>2211</v>
      </c>
      <c r="G82" s="38">
        <v>689</v>
      </c>
      <c r="H82" s="38">
        <v>0.21115700000000001</v>
      </c>
      <c r="I82" s="38">
        <v>740</v>
      </c>
      <c r="J82" s="38">
        <v>1799</v>
      </c>
      <c r="K82" s="38" t="s">
        <v>120</v>
      </c>
      <c r="L82" s="38">
        <v>107643.694911</v>
      </c>
      <c r="M82" s="38">
        <v>6686.9742020000003</v>
      </c>
      <c r="N82" s="38" t="s">
        <v>120</v>
      </c>
      <c r="O82" s="38" t="s">
        <v>120</v>
      </c>
      <c r="P82" s="38" t="s">
        <v>120</v>
      </c>
      <c r="Q82" s="38" t="s">
        <v>120</v>
      </c>
      <c r="R82" s="38" t="s">
        <v>120</v>
      </c>
      <c r="S82" s="38" t="s">
        <v>120</v>
      </c>
      <c r="T82" s="38">
        <v>2875</v>
      </c>
      <c r="V82" s="81">
        <v>2649</v>
      </c>
      <c r="W82" s="38">
        <f t="shared" si="1"/>
        <v>1</v>
      </c>
    </row>
    <row r="83" spans="1:23" x14ac:dyDescent="0.45">
      <c r="A83" s="38">
        <v>86</v>
      </c>
      <c r="B83" s="38" t="s">
        <v>258</v>
      </c>
      <c r="C83" s="38">
        <v>10265.769292000001</v>
      </c>
      <c r="D83" s="38">
        <v>2650</v>
      </c>
      <c r="E83" s="38">
        <v>4.8700000000000002E-4</v>
      </c>
      <c r="F83" s="38">
        <v>52</v>
      </c>
      <c r="G83" s="38">
        <v>47</v>
      </c>
      <c r="H83" s="38">
        <v>0</v>
      </c>
      <c r="I83" s="38">
        <v>44</v>
      </c>
      <c r="J83" s="38">
        <v>44</v>
      </c>
      <c r="K83" s="38" t="s">
        <v>120</v>
      </c>
      <c r="L83" s="38">
        <v>21198.848289000001</v>
      </c>
      <c r="M83" s="38">
        <v>10265.769292000001</v>
      </c>
      <c r="N83" s="38" t="s">
        <v>120</v>
      </c>
      <c r="O83" s="38" t="s">
        <v>120</v>
      </c>
      <c r="P83" s="38" t="s">
        <v>120</v>
      </c>
      <c r="Q83" s="38" t="s">
        <v>120</v>
      </c>
      <c r="R83" s="38" t="s">
        <v>120</v>
      </c>
      <c r="S83" s="38" t="s">
        <v>120</v>
      </c>
      <c r="T83" s="38">
        <v>2850</v>
      </c>
      <c r="V83" s="81">
        <v>2650</v>
      </c>
      <c r="W83" s="38">
        <f t="shared" si="1"/>
        <v>1</v>
      </c>
    </row>
    <row r="84" spans="1:23" x14ac:dyDescent="0.45">
      <c r="A84" s="38">
        <v>109</v>
      </c>
      <c r="B84" s="38" t="s">
        <v>258</v>
      </c>
      <c r="C84" s="38">
        <v>6382.2407059999996</v>
      </c>
      <c r="D84" s="38">
        <v>2651</v>
      </c>
      <c r="E84" s="38">
        <v>3.1649999999999998E-2</v>
      </c>
      <c r="F84" s="38">
        <v>340</v>
      </c>
      <c r="G84" s="38">
        <v>138</v>
      </c>
      <c r="H84" s="38">
        <v>1.3579000000000001E-2</v>
      </c>
      <c r="I84" s="38">
        <v>140</v>
      </c>
      <c r="J84" s="38">
        <v>205</v>
      </c>
      <c r="K84" s="38" t="s">
        <v>120</v>
      </c>
      <c r="L84" s="38">
        <v>87976.674721999996</v>
      </c>
      <c r="M84" s="38">
        <v>6382.2407059999996</v>
      </c>
      <c r="N84" s="38" t="s">
        <v>120</v>
      </c>
      <c r="O84" s="38" t="s">
        <v>120</v>
      </c>
      <c r="P84" s="38" t="s">
        <v>120</v>
      </c>
      <c r="Q84" s="38" t="s">
        <v>120</v>
      </c>
      <c r="R84" s="38" t="s">
        <v>120</v>
      </c>
      <c r="S84" s="38" t="s">
        <v>120</v>
      </c>
      <c r="T84" s="38">
        <v>2873</v>
      </c>
      <c r="V84" s="81">
        <v>2651</v>
      </c>
      <c r="W84" s="38">
        <f t="shared" si="1"/>
        <v>1</v>
      </c>
    </row>
    <row r="85" spans="1:23" x14ac:dyDescent="0.45">
      <c r="A85" s="38">
        <v>106</v>
      </c>
      <c r="B85" s="38" t="s">
        <v>258</v>
      </c>
      <c r="C85" s="38">
        <v>6659.8295410000001</v>
      </c>
      <c r="D85" s="38">
        <v>2652</v>
      </c>
      <c r="E85" s="38">
        <v>3.003E-3</v>
      </c>
      <c r="F85" s="38">
        <v>70</v>
      </c>
      <c r="G85" s="38">
        <v>50</v>
      </c>
      <c r="H85" s="38">
        <v>1.4009999999999999E-3</v>
      </c>
      <c r="I85" s="38">
        <v>49</v>
      </c>
      <c r="J85" s="38">
        <v>56</v>
      </c>
      <c r="K85" s="38" t="s">
        <v>120</v>
      </c>
      <c r="L85" s="38">
        <v>26912.630753000001</v>
      </c>
      <c r="M85" s="38">
        <v>6659.8295410000001</v>
      </c>
      <c r="N85" s="38" t="s">
        <v>120</v>
      </c>
      <c r="O85" s="38" t="s">
        <v>120</v>
      </c>
      <c r="P85" s="38" t="s">
        <v>120</v>
      </c>
      <c r="Q85" s="38" t="s">
        <v>120</v>
      </c>
      <c r="R85" s="38" t="s">
        <v>120</v>
      </c>
      <c r="S85" s="38" t="s">
        <v>120</v>
      </c>
      <c r="T85" s="38">
        <v>2870</v>
      </c>
      <c r="V85" s="81">
        <v>2652</v>
      </c>
      <c r="W85" s="38">
        <f t="shared" si="1"/>
        <v>1</v>
      </c>
    </row>
    <row r="86" spans="1:23" x14ac:dyDescent="0.45">
      <c r="A86" s="38">
        <v>80</v>
      </c>
      <c r="B86" s="38" t="s">
        <v>258</v>
      </c>
      <c r="C86" s="38">
        <v>5803.2431420000003</v>
      </c>
      <c r="D86" s="38">
        <v>2653</v>
      </c>
      <c r="E86" s="38">
        <v>3.6189999999999998E-3</v>
      </c>
      <c r="F86" s="38">
        <v>101</v>
      </c>
      <c r="G86" s="38">
        <v>80</v>
      </c>
      <c r="H86" s="38">
        <v>3.676E-3</v>
      </c>
      <c r="I86" s="38">
        <v>77</v>
      </c>
      <c r="J86" s="38">
        <v>93</v>
      </c>
      <c r="K86" s="38" t="s">
        <v>120</v>
      </c>
      <c r="L86" s="38">
        <v>68608.766183999993</v>
      </c>
      <c r="M86" s="38">
        <v>5803.2431420000003</v>
      </c>
      <c r="N86" s="38" t="s">
        <v>120</v>
      </c>
      <c r="O86" s="38" t="s">
        <v>120</v>
      </c>
      <c r="P86" s="38" t="s">
        <v>120</v>
      </c>
      <c r="Q86" s="38" t="s">
        <v>120</v>
      </c>
      <c r="R86" s="38" t="s">
        <v>120</v>
      </c>
      <c r="S86" s="38" t="s">
        <v>120</v>
      </c>
      <c r="T86" s="38">
        <v>2844</v>
      </c>
      <c r="V86" s="81">
        <v>2653</v>
      </c>
      <c r="W86" s="38">
        <f t="shared" si="1"/>
        <v>1</v>
      </c>
    </row>
    <row r="87" spans="1:23" x14ac:dyDescent="0.45">
      <c r="A87" s="38">
        <v>130</v>
      </c>
      <c r="B87" s="38" t="s">
        <v>258</v>
      </c>
      <c r="C87" s="38">
        <v>17495.605146999998</v>
      </c>
      <c r="D87" s="38">
        <v>2654</v>
      </c>
      <c r="E87" s="38">
        <v>1.372E-3</v>
      </c>
      <c r="F87" s="38">
        <v>98</v>
      </c>
      <c r="G87" s="38">
        <v>74</v>
      </c>
      <c r="H87" s="38">
        <v>1.2960000000000001E-3</v>
      </c>
      <c r="I87" s="38">
        <v>77</v>
      </c>
      <c r="J87" s="38">
        <v>94</v>
      </c>
      <c r="K87" s="38" t="s">
        <v>120</v>
      </c>
      <c r="L87" s="38">
        <v>75202.510767999993</v>
      </c>
      <c r="M87" s="38">
        <v>17495.605146999998</v>
      </c>
      <c r="N87" s="38" t="s">
        <v>120</v>
      </c>
      <c r="O87" s="38" t="s">
        <v>120</v>
      </c>
      <c r="P87" s="38" t="s">
        <v>120</v>
      </c>
      <c r="Q87" s="38" t="s">
        <v>120</v>
      </c>
      <c r="R87" s="38" t="s">
        <v>120</v>
      </c>
      <c r="S87" s="38" t="s">
        <v>120</v>
      </c>
      <c r="T87" s="38">
        <v>2894</v>
      </c>
      <c r="V87" s="81">
        <v>2654</v>
      </c>
      <c r="W87" s="38">
        <f t="shared" si="1"/>
        <v>1</v>
      </c>
    </row>
    <row r="88" spans="1:23" x14ac:dyDescent="0.45">
      <c r="A88" s="38">
        <v>127</v>
      </c>
      <c r="B88" s="38" t="s">
        <v>258</v>
      </c>
      <c r="C88" s="38">
        <v>7917.01253</v>
      </c>
      <c r="D88" s="38">
        <v>2655</v>
      </c>
      <c r="E88" s="38">
        <v>2.147E-3</v>
      </c>
      <c r="F88" s="38">
        <v>91</v>
      </c>
      <c r="G88" s="38">
        <v>74</v>
      </c>
      <c r="H88" s="38">
        <v>1.3470000000000001E-3</v>
      </c>
      <c r="I88" s="38">
        <v>70</v>
      </c>
      <c r="J88" s="38">
        <v>78</v>
      </c>
      <c r="K88" s="38" t="s">
        <v>120</v>
      </c>
      <c r="L88" s="38">
        <v>65626.506987000001</v>
      </c>
      <c r="M88" s="38">
        <v>7917.01253</v>
      </c>
      <c r="N88" s="38" t="s">
        <v>120</v>
      </c>
      <c r="O88" s="38" t="s">
        <v>120</v>
      </c>
      <c r="P88" s="38" t="s">
        <v>120</v>
      </c>
      <c r="Q88" s="38" t="s">
        <v>120</v>
      </c>
      <c r="R88" s="38" t="s">
        <v>120</v>
      </c>
      <c r="S88" s="38" t="s">
        <v>120</v>
      </c>
      <c r="T88" s="38">
        <v>2891</v>
      </c>
      <c r="V88" s="81">
        <v>2655</v>
      </c>
      <c r="W88" s="38">
        <f t="shared" si="1"/>
        <v>1</v>
      </c>
    </row>
    <row r="89" spans="1:23" x14ac:dyDescent="0.45">
      <c r="A89" s="38">
        <v>92</v>
      </c>
      <c r="B89" s="38" t="s">
        <v>258</v>
      </c>
      <c r="C89" s="38">
        <v>1978.8897899999999</v>
      </c>
      <c r="D89" s="38">
        <v>2656</v>
      </c>
      <c r="E89" s="38">
        <v>3.5370000000000002E-3</v>
      </c>
      <c r="F89" s="38">
        <v>51</v>
      </c>
      <c r="G89" s="38">
        <v>44</v>
      </c>
      <c r="H89" s="38">
        <v>-2.0209999999999998E-3</v>
      </c>
      <c r="I89" s="38">
        <v>45</v>
      </c>
      <c r="J89" s="38">
        <v>42</v>
      </c>
      <c r="K89" s="38" t="s">
        <v>120</v>
      </c>
      <c r="L89" s="38">
        <v>11728.605691999999</v>
      </c>
      <c r="M89" s="38">
        <v>1978.8897899999999</v>
      </c>
      <c r="N89" s="38" t="s">
        <v>120</v>
      </c>
      <c r="O89" s="38" t="s">
        <v>120</v>
      </c>
      <c r="P89" s="38" t="s">
        <v>120</v>
      </c>
      <c r="Q89" s="38" t="s">
        <v>120</v>
      </c>
      <c r="R89" s="38" t="s">
        <v>120</v>
      </c>
      <c r="S89" s="38" t="s">
        <v>120</v>
      </c>
      <c r="T89" s="38">
        <v>2856</v>
      </c>
      <c r="V89" s="81">
        <v>2656</v>
      </c>
      <c r="W89" s="38">
        <f t="shared" si="1"/>
        <v>1</v>
      </c>
    </row>
    <row r="90" spans="1:23" x14ac:dyDescent="0.45">
      <c r="A90" s="38">
        <v>82</v>
      </c>
      <c r="B90" s="38" t="s">
        <v>258</v>
      </c>
      <c r="C90" s="38">
        <v>4907.8242209999999</v>
      </c>
      <c r="D90" s="38">
        <v>2657</v>
      </c>
      <c r="E90" s="38">
        <v>2.0379999999999999E-3</v>
      </c>
      <c r="F90" s="38">
        <v>53</v>
      </c>
      <c r="G90" s="38">
        <v>43</v>
      </c>
      <c r="H90" s="38">
        <v>2.7169999999999998E-3</v>
      </c>
      <c r="I90" s="38">
        <v>39</v>
      </c>
      <c r="J90" s="38">
        <v>49</v>
      </c>
      <c r="K90" s="38" t="s">
        <v>120</v>
      </c>
      <c r="L90" s="38">
        <v>14660.128957999999</v>
      </c>
      <c r="M90" s="38">
        <v>4907.8242209999999</v>
      </c>
      <c r="N90" s="38" t="s">
        <v>120</v>
      </c>
      <c r="O90" s="38" t="s">
        <v>120</v>
      </c>
      <c r="P90" s="38" t="s">
        <v>120</v>
      </c>
      <c r="Q90" s="38" t="s">
        <v>120</v>
      </c>
      <c r="R90" s="38" t="s">
        <v>120</v>
      </c>
      <c r="S90" s="38" t="s">
        <v>120</v>
      </c>
      <c r="T90" s="38">
        <v>2846</v>
      </c>
      <c r="V90" s="81">
        <v>2657</v>
      </c>
      <c r="W90" s="38">
        <f t="shared" si="1"/>
        <v>1</v>
      </c>
    </row>
    <row r="91" spans="1:23" x14ac:dyDescent="0.45">
      <c r="A91" s="38">
        <v>83</v>
      </c>
      <c r="B91" s="38" t="s">
        <v>258</v>
      </c>
      <c r="C91" s="38">
        <v>2634.664049</v>
      </c>
      <c r="D91" s="38">
        <v>2658</v>
      </c>
      <c r="E91" s="38">
        <v>3.0360000000000001E-3</v>
      </c>
      <c r="F91" s="38">
        <v>89</v>
      </c>
      <c r="G91" s="38">
        <v>81</v>
      </c>
      <c r="H91" s="38">
        <v>5.0600000000000005E-4</v>
      </c>
      <c r="I91" s="38">
        <v>80</v>
      </c>
      <c r="J91" s="38">
        <v>81</v>
      </c>
      <c r="K91" s="38" t="s">
        <v>120</v>
      </c>
      <c r="L91" s="38">
        <v>64633.156518999996</v>
      </c>
      <c r="M91" s="38">
        <v>2634.664049</v>
      </c>
      <c r="N91" s="38" t="s">
        <v>120</v>
      </c>
      <c r="O91" s="38" t="s">
        <v>120</v>
      </c>
      <c r="P91" s="38" t="s">
        <v>120</v>
      </c>
      <c r="Q91" s="38" t="s">
        <v>120</v>
      </c>
      <c r="R91" s="38" t="s">
        <v>120</v>
      </c>
      <c r="S91" s="38" t="s">
        <v>120</v>
      </c>
      <c r="T91" s="38">
        <v>2847</v>
      </c>
      <c r="V91" s="81">
        <v>2658</v>
      </c>
      <c r="W91" s="38">
        <f t="shared" si="1"/>
        <v>1</v>
      </c>
    </row>
    <row r="92" spans="1:23" x14ac:dyDescent="0.45">
      <c r="A92" s="38">
        <v>89</v>
      </c>
      <c r="B92" s="38" t="s">
        <v>258</v>
      </c>
      <c r="C92" s="38">
        <v>1649.6004680000001</v>
      </c>
      <c r="D92" s="38">
        <v>2659</v>
      </c>
      <c r="E92" s="38">
        <v>-2.4250000000000001E-3</v>
      </c>
      <c r="F92" s="38">
        <v>41</v>
      </c>
      <c r="G92" s="38">
        <v>45</v>
      </c>
      <c r="H92" s="38">
        <v>-8.0800000000000002E-4</v>
      </c>
      <c r="I92" s="38">
        <v>46</v>
      </c>
      <c r="J92" s="38">
        <v>45</v>
      </c>
      <c r="K92" s="38" t="s">
        <v>120</v>
      </c>
      <c r="L92" s="38">
        <v>9978.8212409999996</v>
      </c>
      <c r="M92" s="38">
        <v>1649.6004680000001</v>
      </c>
      <c r="N92" s="38" t="s">
        <v>120</v>
      </c>
      <c r="O92" s="38" t="s">
        <v>120</v>
      </c>
      <c r="P92" s="38" t="s">
        <v>120</v>
      </c>
      <c r="Q92" s="38" t="s">
        <v>120</v>
      </c>
      <c r="R92" s="38" t="s">
        <v>120</v>
      </c>
      <c r="S92" s="38" t="s">
        <v>120</v>
      </c>
      <c r="T92" s="38">
        <v>2853</v>
      </c>
      <c r="V92" s="81">
        <v>2659</v>
      </c>
      <c r="W92" s="38">
        <f t="shared" si="1"/>
        <v>1</v>
      </c>
    </row>
    <row r="93" spans="1:23" x14ac:dyDescent="0.45">
      <c r="A93" s="38">
        <v>94</v>
      </c>
      <c r="B93" s="38" t="s">
        <v>258</v>
      </c>
      <c r="C93" s="38">
        <v>22525.504133999999</v>
      </c>
      <c r="D93" s="38">
        <v>2660</v>
      </c>
      <c r="E93" s="38">
        <v>5.4516000000000002E-2</v>
      </c>
      <c r="F93" s="38">
        <v>1366</v>
      </c>
      <c r="G93" s="38">
        <v>138</v>
      </c>
      <c r="H93" s="38">
        <v>3.7527999999999999E-2</v>
      </c>
      <c r="I93" s="38">
        <v>149</v>
      </c>
      <c r="J93" s="38">
        <v>783</v>
      </c>
      <c r="K93" s="38" t="s">
        <v>120</v>
      </c>
      <c r="L93" s="38">
        <v>104117.349315</v>
      </c>
      <c r="M93" s="38">
        <v>22525.504133999999</v>
      </c>
      <c r="N93" s="38" t="s">
        <v>120</v>
      </c>
      <c r="O93" s="38" t="s">
        <v>120</v>
      </c>
      <c r="P93" s="38" t="s">
        <v>120</v>
      </c>
      <c r="Q93" s="38" t="s">
        <v>120</v>
      </c>
      <c r="R93" s="38" t="s">
        <v>120</v>
      </c>
      <c r="S93" s="38" t="s">
        <v>120</v>
      </c>
      <c r="T93" s="38">
        <v>2858</v>
      </c>
      <c r="V93" s="81">
        <v>2660</v>
      </c>
      <c r="W93" s="38">
        <f t="shared" si="1"/>
        <v>1</v>
      </c>
    </row>
    <row r="94" spans="1:23" x14ac:dyDescent="0.45">
      <c r="A94" s="38">
        <v>91</v>
      </c>
      <c r="B94" s="38" t="s">
        <v>258</v>
      </c>
      <c r="C94" s="38">
        <v>8358.9542689999998</v>
      </c>
      <c r="D94" s="38">
        <v>2662</v>
      </c>
      <c r="E94" s="38">
        <v>5.9800000000000001E-4</v>
      </c>
      <c r="F94" s="38">
        <v>46</v>
      </c>
      <c r="G94" s="38">
        <v>41</v>
      </c>
      <c r="H94" s="38">
        <v>-1.6000000000000001E-4</v>
      </c>
      <c r="I94" s="38">
        <v>42</v>
      </c>
      <c r="J94" s="38">
        <v>41</v>
      </c>
      <c r="K94" s="38" t="s">
        <v>120</v>
      </c>
      <c r="L94" s="38">
        <v>8483.3261120000006</v>
      </c>
      <c r="M94" s="38">
        <v>8358.9542689999998</v>
      </c>
      <c r="N94" s="38" t="s">
        <v>120</v>
      </c>
      <c r="O94" s="38" t="s">
        <v>120</v>
      </c>
      <c r="P94" s="38" t="s">
        <v>120</v>
      </c>
      <c r="Q94" s="38" t="s">
        <v>120</v>
      </c>
      <c r="R94" s="38" t="s">
        <v>120</v>
      </c>
      <c r="S94" s="38" t="s">
        <v>120</v>
      </c>
      <c r="T94" s="38">
        <v>2855</v>
      </c>
      <c r="V94" s="81">
        <v>2662</v>
      </c>
      <c r="W94" s="38">
        <f t="shared" si="1"/>
        <v>1</v>
      </c>
    </row>
    <row r="95" spans="1:23" x14ac:dyDescent="0.45">
      <c r="A95" s="38">
        <v>116</v>
      </c>
      <c r="B95" s="38" t="s">
        <v>258</v>
      </c>
      <c r="C95" s="38">
        <v>6248.1416810000001</v>
      </c>
      <c r="D95" s="38">
        <v>2663</v>
      </c>
      <c r="E95" s="38">
        <v>9.6000000000000002E-4</v>
      </c>
      <c r="F95" s="38">
        <v>51</v>
      </c>
      <c r="G95" s="38">
        <v>45</v>
      </c>
      <c r="H95" s="38">
        <v>4.2700000000000002E-4</v>
      </c>
      <c r="I95" s="38">
        <v>39</v>
      </c>
      <c r="J95" s="38">
        <v>41</v>
      </c>
      <c r="K95" s="38" t="s">
        <v>120</v>
      </c>
      <c r="L95" s="38">
        <v>14579.951288</v>
      </c>
      <c r="M95" s="38">
        <v>6248.1416810000001</v>
      </c>
      <c r="N95" s="38" t="s">
        <v>120</v>
      </c>
      <c r="O95" s="38" t="s">
        <v>120</v>
      </c>
      <c r="P95" s="38" t="s">
        <v>120</v>
      </c>
      <c r="Q95" s="38" t="s">
        <v>120</v>
      </c>
      <c r="R95" s="38" t="s">
        <v>120</v>
      </c>
      <c r="S95" s="38" t="s">
        <v>120</v>
      </c>
      <c r="T95" s="38">
        <v>2880</v>
      </c>
      <c r="V95" s="81">
        <v>2663</v>
      </c>
      <c r="W95" s="38">
        <f t="shared" si="1"/>
        <v>1</v>
      </c>
    </row>
    <row r="96" spans="1:23" x14ac:dyDescent="0.45">
      <c r="A96" s="38">
        <v>112</v>
      </c>
      <c r="B96" s="38" t="s">
        <v>258</v>
      </c>
      <c r="C96" s="38">
        <v>7455.6164269999999</v>
      </c>
      <c r="D96" s="38">
        <v>2664</v>
      </c>
      <c r="E96" s="38">
        <v>4.0239999999999998E-3</v>
      </c>
      <c r="F96" s="38">
        <v>111</v>
      </c>
      <c r="G96" s="38">
        <v>81</v>
      </c>
      <c r="H96" s="38">
        <v>3.7559999999999998E-3</v>
      </c>
      <c r="I96" s="38">
        <v>79</v>
      </c>
      <c r="J96" s="38">
        <v>100</v>
      </c>
      <c r="K96" s="38" t="s">
        <v>120</v>
      </c>
      <c r="L96" s="38">
        <v>69454.108896999998</v>
      </c>
      <c r="M96" s="38">
        <v>7455.6164269999999</v>
      </c>
      <c r="N96" s="38" t="s">
        <v>120</v>
      </c>
      <c r="O96" s="38" t="s">
        <v>120</v>
      </c>
      <c r="P96" s="38" t="s">
        <v>120</v>
      </c>
      <c r="Q96" s="38" t="s">
        <v>120</v>
      </c>
      <c r="R96" s="38" t="s">
        <v>120</v>
      </c>
      <c r="S96" s="38" t="s">
        <v>120</v>
      </c>
      <c r="T96" s="38">
        <v>2876</v>
      </c>
      <c r="V96" s="81">
        <v>2664</v>
      </c>
      <c r="W96" s="38">
        <f t="shared" si="1"/>
        <v>1</v>
      </c>
    </row>
    <row r="97" spans="1:23" x14ac:dyDescent="0.45">
      <c r="A97" s="38">
        <v>104</v>
      </c>
      <c r="B97" s="38" t="s">
        <v>258</v>
      </c>
      <c r="C97" s="38">
        <v>10908.052846</v>
      </c>
      <c r="D97" s="38">
        <v>2665</v>
      </c>
      <c r="E97" s="38">
        <v>2.8603E-2</v>
      </c>
      <c r="F97" s="38">
        <v>449</v>
      </c>
      <c r="G97" s="38">
        <v>137</v>
      </c>
      <c r="H97" s="38">
        <v>1.1246000000000001E-2</v>
      </c>
      <c r="I97" s="38">
        <v>152</v>
      </c>
      <c r="J97" s="38">
        <v>244</v>
      </c>
      <c r="K97" s="38" t="s">
        <v>120</v>
      </c>
      <c r="L97" s="38">
        <v>88333.171837000002</v>
      </c>
      <c r="M97" s="38">
        <v>10908.052846</v>
      </c>
      <c r="N97" s="38" t="s">
        <v>120</v>
      </c>
      <c r="O97" s="38" t="s">
        <v>120</v>
      </c>
      <c r="P97" s="38" t="s">
        <v>120</v>
      </c>
      <c r="Q97" s="38" t="s">
        <v>120</v>
      </c>
      <c r="R97" s="38" t="s">
        <v>120</v>
      </c>
      <c r="S97" s="38" t="s">
        <v>120</v>
      </c>
      <c r="T97" s="38">
        <v>2868</v>
      </c>
      <c r="V97" s="81">
        <v>2665</v>
      </c>
      <c r="W97" s="38">
        <f t="shared" si="1"/>
        <v>1</v>
      </c>
    </row>
    <row r="98" spans="1:23" x14ac:dyDescent="0.45">
      <c r="A98" s="38">
        <v>117</v>
      </c>
      <c r="B98" s="38" t="s">
        <v>258</v>
      </c>
      <c r="C98" s="38">
        <v>6742.964011</v>
      </c>
      <c r="D98" s="38">
        <v>2666</v>
      </c>
      <c r="E98" s="38">
        <v>1.3051E-2</v>
      </c>
      <c r="F98" s="38">
        <v>225</v>
      </c>
      <c r="G98" s="38">
        <v>137</v>
      </c>
      <c r="H98" s="38">
        <v>1.048E-2</v>
      </c>
      <c r="I98" s="38">
        <v>139</v>
      </c>
      <c r="J98" s="38">
        <v>192</v>
      </c>
      <c r="K98" s="38" t="s">
        <v>120</v>
      </c>
      <c r="L98" s="38">
        <v>84170.671837000002</v>
      </c>
      <c r="M98" s="38">
        <v>6742.964011</v>
      </c>
      <c r="N98" s="38" t="s">
        <v>120</v>
      </c>
      <c r="O98" s="38" t="s">
        <v>120</v>
      </c>
      <c r="P98" s="38" t="s">
        <v>120</v>
      </c>
      <c r="Q98" s="38" t="s">
        <v>120</v>
      </c>
      <c r="R98" s="38" t="s">
        <v>120</v>
      </c>
      <c r="S98" s="38" t="s">
        <v>120</v>
      </c>
      <c r="T98" s="38">
        <v>2881</v>
      </c>
      <c r="V98" s="81">
        <v>2666</v>
      </c>
      <c r="W98" s="38">
        <f t="shared" si="1"/>
        <v>1</v>
      </c>
    </row>
    <row r="99" spans="1:23" x14ac:dyDescent="0.45">
      <c r="A99" s="38">
        <v>97</v>
      </c>
      <c r="B99" s="38" t="s">
        <v>258</v>
      </c>
      <c r="C99" s="38">
        <v>8076.0353480000003</v>
      </c>
      <c r="D99" s="38">
        <v>2667</v>
      </c>
      <c r="E99" s="38">
        <v>1.9810000000000001E-3</v>
      </c>
      <c r="F99" s="38">
        <v>62</v>
      </c>
      <c r="G99" s="38">
        <v>46</v>
      </c>
      <c r="H99" s="38">
        <v>1.4859999999999999E-3</v>
      </c>
      <c r="I99" s="38">
        <v>42</v>
      </c>
      <c r="J99" s="38">
        <v>51</v>
      </c>
      <c r="K99" s="38" t="s">
        <v>120</v>
      </c>
      <c r="L99" s="38">
        <v>19009.114344000001</v>
      </c>
      <c r="M99" s="38">
        <v>8076.0353480000003</v>
      </c>
      <c r="N99" s="38" t="s">
        <v>120</v>
      </c>
      <c r="O99" s="38" t="s">
        <v>120</v>
      </c>
      <c r="P99" s="38" t="s">
        <v>120</v>
      </c>
      <c r="Q99" s="38" t="s">
        <v>120</v>
      </c>
      <c r="R99" s="38" t="s">
        <v>120</v>
      </c>
      <c r="S99" s="38" t="s">
        <v>120</v>
      </c>
      <c r="T99" s="38">
        <v>2861</v>
      </c>
      <c r="V99" s="81">
        <v>2667</v>
      </c>
      <c r="W99" s="38">
        <f t="shared" si="1"/>
        <v>1</v>
      </c>
    </row>
    <row r="100" spans="1:23" x14ac:dyDescent="0.45">
      <c r="A100" s="38">
        <v>96</v>
      </c>
      <c r="B100" s="38" t="s">
        <v>258</v>
      </c>
      <c r="C100" s="38">
        <v>181.06601699999999</v>
      </c>
      <c r="D100" s="38">
        <v>2668</v>
      </c>
      <c r="E100" s="38">
        <v>-2.2091E-2</v>
      </c>
      <c r="F100" s="38">
        <v>38</v>
      </c>
      <c r="G100" s="38">
        <v>42</v>
      </c>
      <c r="H100" s="38">
        <v>-3.6818999999999998E-2</v>
      </c>
      <c r="I100" s="38">
        <v>41</v>
      </c>
      <c r="J100" s="38">
        <v>36</v>
      </c>
      <c r="K100" s="38" t="s">
        <v>120</v>
      </c>
      <c r="L100" s="38">
        <v>181.06601699999999</v>
      </c>
      <c r="M100" s="38">
        <v>181.06601699999999</v>
      </c>
      <c r="N100" s="38" t="s">
        <v>120</v>
      </c>
      <c r="O100" s="38" t="s">
        <v>120</v>
      </c>
      <c r="P100" s="38" t="s">
        <v>120</v>
      </c>
      <c r="Q100" s="38" t="s">
        <v>120</v>
      </c>
      <c r="R100" s="38" t="s">
        <v>120</v>
      </c>
      <c r="S100" s="38" t="s">
        <v>120</v>
      </c>
      <c r="T100" s="38">
        <v>2860</v>
      </c>
      <c r="V100" s="81">
        <v>2668</v>
      </c>
      <c r="W100" s="38">
        <f t="shared" si="1"/>
        <v>1</v>
      </c>
    </row>
    <row r="101" spans="1:23" x14ac:dyDescent="0.45">
      <c r="A101" s="38">
        <v>123</v>
      </c>
      <c r="B101" s="38" t="s">
        <v>258</v>
      </c>
      <c r="C101" s="38">
        <v>4736.8217860000004</v>
      </c>
      <c r="D101" s="38">
        <v>2669</v>
      </c>
      <c r="E101" s="38">
        <v>8.4400000000000002E-4</v>
      </c>
      <c r="F101" s="38">
        <v>45</v>
      </c>
      <c r="G101" s="38">
        <v>41</v>
      </c>
      <c r="H101" s="38">
        <v>0</v>
      </c>
      <c r="I101" s="38">
        <v>33</v>
      </c>
      <c r="J101" s="38">
        <v>33</v>
      </c>
      <c r="K101" s="38" t="s">
        <v>120</v>
      </c>
      <c r="L101" s="38">
        <v>4858.6047939999999</v>
      </c>
      <c r="M101" s="38">
        <v>4736.8217860000004</v>
      </c>
      <c r="N101" s="38" t="s">
        <v>120</v>
      </c>
      <c r="O101" s="38" t="s">
        <v>120</v>
      </c>
      <c r="P101" s="38" t="s">
        <v>120</v>
      </c>
      <c r="Q101" s="38" t="s">
        <v>120</v>
      </c>
      <c r="R101" s="38" t="s">
        <v>120</v>
      </c>
      <c r="S101" s="38" t="s">
        <v>120</v>
      </c>
      <c r="T101" s="38">
        <v>2887</v>
      </c>
      <c r="V101" s="81">
        <v>2669</v>
      </c>
      <c r="W101" s="38">
        <f t="shared" si="1"/>
        <v>1</v>
      </c>
    </row>
    <row r="102" spans="1:23" x14ac:dyDescent="0.45">
      <c r="A102" s="38">
        <v>126</v>
      </c>
      <c r="B102" s="38" t="s">
        <v>258</v>
      </c>
      <c r="C102" s="38">
        <v>10589.791660999999</v>
      </c>
      <c r="D102" s="38">
        <v>2670</v>
      </c>
      <c r="E102" s="38">
        <v>0.170542</v>
      </c>
      <c r="F102" s="38">
        <v>2287</v>
      </c>
      <c r="G102" s="38">
        <v>481</v>
      </c>
      <c r="H102" s="38">
        <v>0.13459499999999999</v>
      </c>
      <c r="I102" s="38">
        <v>575</v>
      </c>
      <c r="J102" s="38">
        <v>1644</v>
      </c>
      <c r="K102" s="38" t="s">
        <v>120</v>
      </c>
      <c r="L102" s="38">
        <v>123495.04050800001</v>
      </c>
      <c r="M102" s="38">
        <v>10589.791660999999</v>
      </c>
      <c r="N102" s="38" t="s">
        <v>120</v>
      </c>
      <c r="O102" s="38" t="s">
        <v>120</v>
      </c>
      <c r="P102" s="38" t="s">
        <v>120</v>
      </c>
      <c r="Q102" s="38" t="s">
        <v>120</v>
      </c>
      <c r="R102" s="38" t="s">
        <v>120</v>
      </c>
      <c r="S102" s="38" t="s">
        <v>120</v>
      </c>
      <c r="T102" s="38">
        <v>2890</v>
      </c>
      <c r="V102" s="81">
        <v>2670</v>
      </c>
      <c r="W102" s="38">
        <f t="shared" si="1"/>
        <v>1</v>
      </c>
    </row>
    <row r="103" spans="1:23" x14ac:dyDescent="0.45">
      <c r="A103" s="38">
        <v>100</v>
      </c>
      <c r="B103" s="38" t="s">
        <v>258</v>
      </c>
      <c r="C103" s="38">
        <v>7781.9358739999998</v>
      </c>
      <c r="D103" s="38">
        <v>2671</v>
      </c>
      <c r="E103" s="38">
        <v>6.7463999999999996E-2</v>
      </c>
      <c r="F103" s="38">
        <v>793</v>
      </c>
      <c r="G103" s="38">
        <v>268</v>
      </c>
      <c r="H103" s="38">
        <v>5.1401000000000002E-2</v>
      </c>
      <c r="I103" s="38">
        <v>283</v>
      </c>
      <c r="J103" s="38">
        <v>583</v>
      </c>
      <c r="K103" s="38" t="s">
        <v>120</v>
      </c>
      <c r="L103" s="38">
        <v>112132.882323</v>
      </c>
      <c r="M103" s="38">
        <v>7781.9358739999998</v>
      </c>
      <c r="N103" s="38" t="s">
        <v>120</v>
      </c>
      <c r="O103" s="38" t="s">
        <v>120</v>
      </c>
      <c r="P103" s="38" t="s">
        <v>120</v>
      </c>
      <c r="Q103" s="38" t="s">
        <v>120</v>
      </c>
      <c r="R103" s="38" t="s">
        <v>120</v>
      </c>
      <c r="S103" s="38" t="s">
        <v>120</v>
      </c>
      <c r="T103" s="38">
        <v>2864</v>
      </c>
      <c r="V103" s="81">
        <v>2671</v>
      </c>
      <c r="W103" s="38">
        <f t="shared" si="1"/>
        <v>1</v>
      </c>
    </row>
    <row r="104" spans="1:23" x14ac:dyDescent="0.45">
      <c r="A104" s="38">
        <v>101</v>
      </c>
      <c r="B104" s="38" t="s">
        <v>258</v>
      </c>
      <c r="C104" s="38">
        <v>5870.9970199999998</v>
      </c>
      <c r="D104" s="38">
        <v>2672</v>
      </c>
      <c r="E104" s="38">
        <v>8.1759999999999992E-3</v>
      </c>
      <c r="F104" s="38">
        <v>157</v>
      </c>
      <c r="G104" s="38">
        <v>109</v>
      </c>
      <c r="H104" s="38">
        <v>2.9520000000000002E-3</v>
      </c>
      <c r="I104" s="38">
        <v>103</v>
      </c>
      <c r="J104" s="38">
        <v>116</v>
      </c>
      <c r="K104" s="38" t="s">
        <v>120</v>
      </c>
      <c r="L104" s="38">
        <v>86817.207729999995</v>
      </c>
      <c r="M104" s="38">
        <v>5870.9970199999998</v>
      </c>
      <c r="N104" s="38" t="s">
        <v>120</v>
      </c>
      <c r="O104" s="38" t="s">
        <v>120</v>
      </c>
      <c r="P104" s="38" t="s">
        <v>120</v>
      </c>
      <c r="Q104" s="38" t="s">
        <v>120</v>
      </c>
      <c r="R104" s="38" t="s">
        <v>120</v>
      </c>
      <c r="S104" s="38" t="s">
        <v>120</v>
      </c>
      <c r="T104" s="38">
        <v>2865</v>
      </c>
      <c r="V104" s="81">
        <v>2672</v>
      </c>
      <c r="W104" s="38">
        <f t="shared" si="1"/>
        <v>1</v>
      </c>
    </row>
    <row r="105" spans="1:23" x14ac:dyDescent="0.45">
      <c r="A105" s="38">
        <v>105</v>
      </c>
      <c r="B105" s="38" t="s">
        <v>258</v>
      </c>
      <c r="C105" s="38">
        <v>5394.067908</v>
      </c>
      <c r="D105" s="38">
        <v>2674</v>
      </c>
      <c r="E105" s="38">
        <v>4.5790999999999998E-2</v>
      </c>
      <c r="F105" s="38">
        <v>450</v>
      </c>
      <c r="G105" s="38">
        <v>203</v>
      </c>
      <c r="H105" s="38">
        <v>1.6067000000000001E-2</v>
      </c>
      <c r="I105" s="38">
        <v>204</v>
      </c>
      <c r="J105" s="38">
        <v>269</v>
      </c>
      <c r="K105" s="38" t="s">
        <v>120</v>
      </c>
      <c r="L105" s="38">
        <v>105327.61537</v>
      </c>
      <c r="M105" s="38">
        <v>5394.067908</v>
      </c>
      <c r="N105" s="38" t="s">
        <v>120</v>
      </c>
      <c r="O105" s="38" t="s">
        <v>120</v>
      </c>
      <c r="P105" s="38" t="s">
        <v>120</v>
      </c>
      <c r="Q105" s="38" t="s">
        <v>120</v>
      </c>
      <c r="R105" s="38" t="s">
        <v>120</v>
      </c>
      <c r="S105" s="38" t="s">
        <v>120</v>
      </c>
      <c r="T105" s="38">
        <v>2869</v>
      </c>
      <c r="V105" s="81">
        <v>2674</v>
      </c>
      <c r="W105" s="38">
        <f t="shared" si="1"/>
        <v>1</v>
      </c>
    </row>
    <row r="106" spans="1:23" x14ac:dyDescent="0.45">
      <c r="A106" s="38">
        <v>124</v>
      </c>
      <c r="B106" s="38" t="s">
        <v>258</v>
      </c>
      <c r="C106" s="38">
        <v>3128.3062749999999</v>
      </c>
      <c r="D106" s="38">
        <v>2675</v>
      </c>
      <c r="E106" s="38">
        <v>1.6941999999999999E-2</v>
      </c>
      <c r="F106" s="38">
        <v>162</v>
      </c>
      <c r="G106" s="38">
        <v>109</v>
      </c>
      <c r="H106" s="38">
        <v>6.3930000000000002E-3</v>
      </c>
      <c r="I106" s="38">
        <v>105</v>
      </c>
      <c r="J106" s="38">
        <v>120</v>
      </c>
      <c r="K106" s="38" t="s">
        <v>120</v>
      </c>
      <c r="L106" s="38">
        <v>84071.928151</v>
      </c>
      <c r="M106" s="38">
        <v>3128.3062749999999</v>
      </c>
      <c r="N106" s="38" t="s">
        <v>120</v>
      </c>
      <c r="O106" s="38" t="s">
        <v>120</v>
      </c>
      <c r="P106" s="38" t="s">
        <v>120</v>
      </c>
      <c r="Q106" s="38" t="s">
        <v>120</v>
      </c>
      <c r="R106" s="38" t="s">
        <v>120</v>
      </c>
      <c r="S106" s="38" t="s">
        <v>120</v>
      </c>
      <c r="T106" s="38">
        <v>2888</v>
      </c>
      <c r="V106" s="81">
        <v>2675</v>
      </c>
      <c r="W106" s="38">
        <f t="shared" si="1"/>
        <v>1</v>
      </c>
    </row>
    <row r="107" spans="1:23" x14ac:dyDescent="0.45">
      <c r="A107" s="38">
        <v>151</v>
      </c>
      <c r="B107" s="38" t="s">
        <v>258</v>
      </c>
      <c r="C107" s="38">
        <v>15200.273266</v>
      </c>
      <c r="D107" s="38">
        <v>2676</v>
      </c>
      <c r="E107" s="38">
        <v>0.117629</v>
      </c>
      <c r="F107" s="38">
        <v>2058</v>
      </c>
      <c r="G107" s="38">
        <v>270</v>
      </c>
      <c r="H107" s="38">
        <v>8.4735000000000005E-2</v>
      </c>
      <c r="I107" s="38">
        <v>306</v>
      </c>
      <c r="J107" s="38">
        <v>1272</v>
      </c>
      <c r="K107" s="38" t="s">
        <v>120</v>
      </c>
      <c r="L107" s="38">
        <v>119548.630881</v>
      </c>
      <c r="M107" s="38">
        <v>15200.273266</v>
      </c>
      <c r="N107" s="38" t="s">
        <v>120</v>
      </c>
      <c r="O107" s="38" t="s">
        <v>120</v>
      </c>
      <c r="P107" s="38" t="s">
        <v>120</v>
      </c>
      <c r="Q107" s="38" t="s">
        <v>120</v>
      </c>
      <c r="R107" s="38" t="s">
        <v>120</v>
      </c>
      <c r="S107" s="38" t="s">
        <v>120</v>
      </c>
      <c r="T107" s="38">
        <v>2915</v>
      </c>
      <c r="V107" s="81">
        <v>2676</v>
      </c>
      <c r="W107" s="38">
        <f t="shared" si="1"/>
        <v>1</v>
      </c>
    </row>
    <row r="108" spans="1:23" x14ac:dyDescent="0.45">
      <c r="A108" s="38">
        <v>95</v>
      </c>
      <c r="B108" s="38" t="s">
        <v>258</v>
      </c>
      <c r="C108" s="38">
        <v>4314.5499620000001</v>
      </c>
      <c r="D108" s="38">
        <v>2677</v>
      </c>
      <c r="E108" s="38">
        <v>0.10939699999999999</v>
      </c>
      <c r="F108" s="38">
        <v>862</v>
      </c>
      <c r="G108" s="38">
        <v>390</v>
      </c>
      <c r="H108" s="38">
        <v>0.126085</v>
      </c>
      <c r="I108" s="38">
        <v>400</v>
      </c>
      <c r="J108" s="38">
        <v>808</v>
      </c>
      <c r="K108" s="38" t="s">
        <v>120</v>
      </c>
      <c r="L108" s="38">
        <v>115200.34444299999</v>
      </c>
      <c r="M108" s="38">
        <v>4314.5499620000001</v>
      </c>
      <c r="N108" s="38" t="s">
        <v>120</v>
      </c>
      <c r="O108" s="38" t="s">
        <v>120</v>
      </c>
      <c r="P108" s="38" t="s">
        <v>120</v>
      </c>
      <c r="Q108" s="38" t="s">
        <v>120</v>
      </c>
      <c r="R108" s="38" t="s">
        <v>120</v>
      </c>
      <c r="S108" s="38" t="s">
        <v>120</v>
      </c>
      <c r="T108" s="38">
        <v>2859</v>
      </c>
      <c r="V108" s="81">
        <v>2677</v>
      </c>
      <c r="W108" s="38">
        <f t="shared" si="1"/>
        <v>1</v>
      </c>
    </row>
    <row r="109" spans="1:23" x14ac:dyDescent="0.45">
      <c r="A109" s="38">
        <v>129</v>
      </c>
      <c r="B109" s="38" t="s">
        <v>258</v>
      </c>
      <c r="C109" s="38">
        <v>7576.6188629999997</v>
      </c>
      <c r="D109" s="38">
        <v>2678</v>
      </c>
      <c r="E109" s="38">
        <v>9.6349999999999995E-3</v>
      </c>
      <c r="F109" s="38">
        <v>172</v>
      </c>
      <c r="G109" s="38">
        <v>99</v>
      </c>
      <c r="H109" s="38">
        <v>8.8000000000000003E-4</v>
      </c>
      <c r="I109" s="38">
        <v>96</v>
      </c>
      <c r="J109" s="38">
        <v>101</v>
      </c>
      <c r="K109" s="38" t="s">
        <v>120</v>
      </c>
      <c r="L109" s="38">
        <v>82705.201962000006</v>
      </c>
      <c r="M109" s="38">
        <v>7576.6188629999997</v>
      </c>
      <c r="N109" s="38" t="s">
        <v>120</v>
      </c>
      <c r="O109" s="38" t="s">
        <v>120</v>
      </c>
      <c r="P109" s="38" t="s">
        <v>120</v>
      </c>
      <c r="Q109" s="38" t="s">
        <v>120</v>
      </c>
      <c r="R109" s="38" t="s">
        <v>120</v>
      </c>
      <c r="S109" s="38" t="s">
        <v>120</v>
      </c>
      <c r="T109" s="38">
        <v>2893</v>
      </c>
      <c r="V109" s="81">
        <v>2678</v>
      </c>
      <c r="W109" s="38">
        <f t="shared" si="1"/>
        <v>1</v>
      </c>
    </row>
    <row r="110" spans="1:23" x14ac:dyDescent="0.45">
      <c r="A110" s="38">
        <v>164</v>
      </c>
      <c r="B110" s="38" t="s">
        <v>258</v>
      </c>
      <c r="C110" s="38">
        <v>21476.403313999999</v>
      </c>
      <c r="D110" s="38">
        <v>2679</v>
      </c>
      <c r="E110" s="38">
        <v>0.102531</v>
      </c>
      <c r="F110" s="38">
        <v>2404</v>
      </c>
      <c r="G110" s="38">
        <v>202</v>
      </c>
      <c r="H110" s="38">
        <v>6.7174999999999999E-2</v>
      </c>
      <c r="I110" s="38">
        <v>247</v>
      </c>
      <c r="J110" s="38">
        <v>1329</v>
      </c>
      <c r="K110" s="38" t="s">
        <v>120</v>
      </c>
      <c r="L110" s="38">
        <v>121407.361941</v>
      </c>
      <c r="M110" s="38">
        <v>21476.403313999999</v>
      </c>
      <c r="N110" s="38" t="s">
        <v>120</v>
      </c>
      <c r="O110" s="38" t="s">
        <v>120</v>
      </c>
      <c r="P110" s="38" t="s">
        <v>120</v>
      </c>
      <c r="Q110" s="38" t="s">
        <v>120</v>
      </c>
      <c r="R110" s="38" t="s">
        <v>120</v>
      </c>
      <c r="S110" s="38" t="s">
        <v>120</v>
      </c>
      <c r="T110" s="38">
        <v>2928</v>
      </c>
      <c r="V110" s="81">
        <v>2679</v>
      </c>
      <c r="W110" s="38">
        <f t="shared" si="1"/>
        <v>1</v>
      </c>
    </row>
    <row r="111" spans="1:23" x14ac:dyDescent="0.45">
      <c r="A111" s="38">
        <v>147</v>
      </c>
      <c r="B111" s="38" t="s">
        <v>258</v>
      </c>
      <c r="C111" s="38">
        <v>11804.194622000001</v>
      </c>
      <c r="D111" s="38">
        <v>2681</v>
      </c>
      <c r="E111" s="38">
        <v>0.125972</v>
      </c>
      <c r="F111" s="38">
        <v>1878</v>
      </c>
      <c r="G111" s="38">
        <v>391</v>
      </c>
      <c r="H111" s="38">
        <v>8.3360000000000004E-2</v>
      </c>
      <c r="I111" s="38">
        <v>438</v>
      </c>
      <c r="J111" s="38">
        <v>1176</v>
      </c>
      <c r="K111" s="38" t="s">
        <v>120</v>
      </c>
      <c r="L111" s="38">
        <v>122689.98910399999</v>
      </c>
      <c r="M111" s="38">
        <v>11804.194622000001</v>
      </c>
      <c r="N111" s="38" t="s">
        <v>120</v>
      </c>
      <c r="O111" s="38" t="s">
        <v>120</v>
      </c>
      <c r="P111" s="38" t="s">
        <v>120</v>
      </c>
      <c r="Q111" s="38" t="s">
        <v>120</v>
      </c>
      <c r="R111" s="38" t="s">
        <v>120</v>
      </c>
      <c r="S111" s="38" t="s">
        <v>120</v>
      </c>
      <c r="T111" s="38">
        <v>2911</v>
      </c>
      <c r="V111" s="81">
        <v>2681</v>
      </c>
      <c r="W111" s="38">
        <f t="shared" si="1"/>
        <v>1</v>
      </c>
    </row>
    <row r="112" spans="1:23" x14ac:dyDescent="0.45">
      <c r="A112" s="38">
        <v>132</v>
      </c>
      <c r="B112" s="38" t="s">
        <v>258</v>
      </c>
      <c r="C112" s="38">
        <v>2197.087841</v>
      </c>
      <c r="D112" s="38">
        <v>2682</v>
      </c>
      <c r="E112" s="38">
        <v>2.7764E-2</v>
      </c>
      <c r="F112" s="38">
        <v>248</v>
      </c>
      <c r="G112" s="38">
        <v>187</v>
      </c>
      <c r="H112" s="38">
        <v>2.9128999999999999E-2</v>
      </c>
      <c r="I112" s="38">
        <v>188</v>
      </c>
      <c r="J112" s="38">
        <v>236</v>
      </c>
      <c r="K112" s="38" t="s">
        <v>120</v>
      </c>
      <c r="L112" s="38">
        <v>100692.018331</v>
      </c>
      <c r="M112" s="38">
        <v>2197.087841</v>
      </c>
      <c r="N112" s="38" t="s">
        <v>120</v>
      </c>
      <c r="O112" s="38" t="s">
        <v>120</v>
      </c>
      <c r="P112" s="38" t="s">
        <v>120</v>
      </c>
      <c r="Q112" s="38" t="s">
        <v>120</v>
      </c>
      <c r="R112" s="38" t="s">
        <v>120</v>
      </c>
      <c r="S112" s="38" t="s">
        <v>120</v>
      </c>
      <c r="T112" s="38">
        <v>2896</v>
      </c>
      <c r="V112" s="81">
        <v>2682</v>
      </c>
      <c r="W112" s="38">
        <f t="shared" si="1"/>
        <v>1</v>
      </c>
    </row>
    <row r="113" spans="1:23" x14ac:dyDescent="0.45">
      <c r="A113" s="38">
        <v>128</v>
      </c>
      <c r="B113" s="38" t="s">
        <v>258</v>
      </c>
      <c r="C113" s="38">
        <v>8533.6363610000008</v>
      </c>
      <c r="D113" s="38">
        <v>2683</v>
      </c>
      <c r="E113" s="38">
        <v>0.19323499999999999</v>
      </c>
      <c r="F113" s="38">
        <v>2131</v>
      </c>
      <c r="G113" s="38">
        <v>482</v>
      </c>
      <c r="H113" s="38">
        <v>0.16952500000000001</v>
      </c>
      <c r="I113" s="38">
        <v>555</v>
      </c>
      <c r="J113" s="38">
        <v>1640</v>
      </c>
      <c r="K113" s="38" t="s">
        <v>120</v>
      </c>
      <c r="L113" s="38">
        <v>121438.885207</v>
      </c>
      <c r="M113" s="38">
        <v>8533.6363610000008</v>
      </c>
      <c r="N113" s="38" t="s">
        <v>120</v>
      </c>
      <c r="O113" s="38" t="s">
        <v>120</v>
      </c>
      <c r="P113" s="38" t="s">
        <v>120</v>
      </c>
      <c r="Q113" s="38" t="s">
        <v>120</v>
      </c>
      <c r="R113" s="38" t="s">
        <v>120</v>
      </c>
      <c r="S113" s="38" t="s">
        <v>120</v>
      </c>
      <c r="T113" s="38">
        <v>2892</v>
      </c>
      <c r="V113" s="81">
        <v>2683</v>
      </c>
      <c r="W113" s="38">
        <f t="shared" si="1"/>
        <v>1</v>
      </c>
    </row>
    <row r="114" spans="1:23" x14ac:dyDescent="0.45">
      <c r="A114" s="38">
        <v>134</v>
      </c>
      <c r="B114" s="38" t="s">
        <v>258</v>
      </c>
      <c r="C114" s="38">
        <v>6926.4795219999996</v>
      </c>
      <c r="D114" s="38">
        <v>2684</v>
      </c>
      <c r="E114" s="38">
        <v>1.011E-3</v>
      </c>
      <c r="F114" s="38">
        <v>106</v>
      </c>
      <c r="G114" s="38">
        <v>99</v>
      </c>
      <c r="H114" s="38">
        <v>1.9250000000000001E-3</v>
      </c>
      <c r="I114" s="38">
        <v>89</v>
      </c>
      <c r="J114" s="38">
        <v>99</v>
      </c>
      <c r="K114" s="38" t="s">
        <v>120</v>
      </c>
      <c r="L114" s="38">
        <v>82057.651454999999</v>
      </c>
      <c r="M114" s="38">
        <v>6926.4795219999996</v>
      </c>
      <c r="N114" s="38" t="s">
        <v>120</v>
      </c>
      <c r="O114" s="38" t="s">
        <v>120</v>
      </c>
      <c r="P114" s="38" t="s">
        <v>120</v>
      </c>
      <c r="Q114" s="38" t="s">
        <v>120</v>
      </c>
      <c r="R114" s="38" t="s">
        <v>120</v>
      </c>
      <c r="S114" s="38" t="s">
        <v>120</v>
      </c>
      <c r="T114" s="38">
        <v>2898</v>
      </c>
      <c r="V114" s="81">
        <v>2684</v>
      </c>
      <c r="W114" s="38">
        <f t="shared" si="1"/>
        <v>1</v>
      </c>
    </row>
    <row r="115" spans="1:23" x14ac:dyDescent="0.45">
      <c r="A115" s="38">
        <v>114</v>
      </c>
      <c r="B115" s="38" t="s">
        <v>258</v>
      </c>
      <c r="C115" s="38">
        <v>5510.0450899999996</v>
      </c>
      <c r="D115" s="38">
        <v>2685</v>
      </c>
      <c r="E115" s="38">
        <v>2.1415E-2</v>
      </c>
      <c r="F115" s="38">
        <v>282</v>
      </c>
      <c r="G115" s="38">
        <v>164</v>
      </c>
      <c r="H115" s="38">
        <v>1.2825E-2</v>
      </c>
      <c r="I115" s="38">
        <v>170</v>
      </c>
      <c r="J115" s="38">
        <v>223</v>
      </c>
      <c r="K115" s="38" t="s">
        <v>120</v>
      </c>
      <c r="L115" s="38">
        <v>101537.145495</v>
      </c>
      <c r="M115" s="38">
        <v>5510.0450899999996</v>
      </c>
      <c r="N115" s="38" t="s">
        <v>120</v>
      </c>
      <c r="O115" s="38" t="s">
        <v>120</v>
      </c>
      <c r="P115" s="38" t="s">
        <v>120</v>
      </c>
      <c r="Q115" s="38" t="s">
        <v>120</v>
      </c>
      <c r="R115" s="38" t="s">
        <v>120</v>
      </c>
      <c r="S115" s="38" t="s">
        <v>120</v>
      </c>
      <c r="T115" s="38">
        <v>2878</v>
      </c>
      <c r="V115" s="81">
        <v>2685</v>
      </c>
      <c r="W115" s="38">
        <f t="shared" si="1"/>
        <v>1</v>
      </c>
    </row>
    <row r="116" spans="1:23" x14ac:dyDescent="0.45">
      <c r="A116" s="38">
        <v>146</v>
      </c>
      <c r="B116" s="38" t="s">
        <v>258</v>
      </c>
      <c r="C116" s="38">
        <v>8553.4586909999998</v>
      </c>
      <c r="D116" s="38">
        <v>2687</v>
      </c>
      <c r="E116" s="38">
        <v>0.10299899999999999</v>
      </c>
      <c r="F116" s="38">
        <v>1068</v>
      </c>
      <c r="G116" s="38">
        <v>187</v>
      </c>
      <c r="H116" s="38">
        <v>4.7388E-2</v>
      </c>
      <c r="I116" s="38">
        <v>207</v>
      </c>
      <c r="J116" s="38">
        <v>511</v>
      </c>
      <c r="K116" s="38" t="s">
        <v>120</v>
      </c>
      <c r="L116" s="38">
        <v>107048.38918100001</v>
      </c>
      <c r="M116" s="38">
        <v>8553.4586909999998</v>
      </c>
      <c r="N116" s="38" t="s">
        <v>120</v>
      </c>
      <c r="O116" s="38" t="s">
        <v>120</v>
      </c>
      <c r="P116" s="38" t="s">
        <v>120</v>
      </c>
      <c r="Q116" s="38" t="s">
        <v>120</v>
      </c>
      <c r="R116" s="38" t="s">
        <v>120</v>
      </c>
      <c r="S116" s="38" t="s">
        <v>120</v>
      </c>
      <c r="T116" s="38">
        <v>2910</v>
      </c>
      <c r="V116" s="81">
        <v>2687</v>
      </c>
      <c r="W116" s="38">
        <f t="shared" si="1"/>
        <v>1</v>
      </c>
    </row>
    <row r="117" spans="1:23" x14ac:dyDescent="0.45">
      <c r="A117" s="38">
        <v>119</v>
      </c>
      <c r="B117" s="38" t="s">
        <v>258</v>
      </c>
      <c r="C117" s="38">
        <v>5109.372292</v>
      </c>
      <c r="D117" s="38">
        <v>2688</v>
      </c>
      <c r="E117" s="38">
        <v>2.0355000000000002E-2</v>
      </c>
      <c r="F117" s="38">
        <v>242</v>
      </c>
      <c r="G117" s="38">
        <v>138</v>
      </c>
      <c r="H117" s="38">
        <v>4.6969999999999998E-3</v>
      </c>
      <c r="I117" s="38">
        <v>147</v>
      </c>
      <c r="J117" s="38">
        <v>165</v>
      </c>
      <c r="K117" s="38" t="s">
        <v>120</v>
      </c>
      <c r="L117" s="38">
        <v>97552.221254000004</v>
      </c>
      <c r="M117" s="38">
        <v>5109.372292</v>
      </c>
      <c r="N117" s="38" t="s">
        <v>120</v>
      </c>
      <c r="O117" s="38" t="s">
        <v>120</v>
      </c>
      <c r="P117" s="38" t="s">
        <v>120</v>
      </c>
      <c r="Q117" s="38" t="s">
        <v>120</v>
      </c>
      <c r="R117" s="38" t="s">
        <v>120</v>
      </c>
      <c r="S117" s="38" t="s">
        <v>120</v>
      </c>
      <c r="T117" s="38">
        <v>2883</v>
      </c>
      <c r="V117" s="81">
        <v>2688</v>
      </c>
      <c r="W117" s="38">
        <f t="shared" si="1"/>
        <v>1</v>
      </c>
    </row>
    <row r="118" spans="1:23" x14ac:dyDescent="0.45">
      <c r="A118" s="38">
        <v>136</v>
      </c>
      <c r="B118" s="38" t="s">
        <v>258</v>
      </c>
      <c r="C118" s="38">
        <v>1694.3465900000001</v>
      </c>
      <c r="D118" s="38">
        <v>2689</v>
      </c>
      <c r="E118" s="38">
        <v>2.5378999999999999E-2</v>
      </c>
      <c r="F118" s="38">
        <v>218</v>
      </c>
      <c r="G118" s="38">
        <v>175</v>
      </c>
      <c r="H118" s="38">
        <v>1.8099000000000001E-2</v>
      </c>
      <c r="I118" s="38">
        <v>176</v>
      </c>
      <c r="J118" s="38">
        <v>199</v>
      </c>
      <c r="K118" s="38" t="s">
        <v>120</v>
      </c>
      <c r="L118" s="38">
        <v>99281.878542000006</v>
      </c>
      <c r="M118" s="38">
        <v>1694.3465900000001</v>
      </c>
      <c r="N118" s="38" t="s">
        <v>120</v>
      </c>
      <c r="O118" s="38" t="s">
        <v>120</v>
      </c>
      <c r="P118" s="38" t="s">
        <v>120</v>
      </c>
      <c r="Q118" s="38" t="s">
        <v>120</v>
      </c>
      <c r="R118" s="38" t="s">
        <v>120</v>
      </c>
      <c r="S118" s="38" t="s">
        <v>120</v>
      </c>
      <c r="T118" s="38">
        <v>2900</v>
      </c>
      <c r="V118" s="81">
        <v>2689</v>
      </c>
      <c r="W118" s="38">
        <f t="shared" si="1"/>
        <v>1</v>
      </c>
    </row>
    <row r="119" spans="1:23" x14ac:dyDescent="0.45">
      <c r="A119" s="38">
        <v>138</v>
      </c>
      <c r="B119" s="38" t="s">
        <v>258</v>
      </c>
      <c r="C119" s="38">
        <v>2143.9024159999999</v>
      </c>
      <c r="D119" s="38">
        <v>2690</v>
      </c>
      <c r="E119" s="38">
        <v>1.4926E-2</v>
      </c>
      <c r="F119" s="38">
        <v>196</v>
      </c>
      <c r="G119" s="38">
        <v>164</v>
      </c>
      <c r="H119" s="38">
        <v>1.4304000000000001E-2</v>
      </c>
      <c r="I119" s="38">
        <v>162</v>
      </c>
      <c r="J119" s="38">
        <v>185</v>
      </c>
      <c r="K119" s="38" t="s">
        <v>120</v>
      </c>
      <c r="L119" s="38">
        <v>98208.502819999994</v>
      </c>
      <c r="M119" s="38">
        <v>2143.9024159999999</v>
      </c>
      <c r="N119" s="38" t="s">
        <v>120</v>
      </c>
      <c r="O119" s="38" t="s">
        <v>120</v>
      </c>
      <c r="P119" s="38" t="s">
        <v>120</v>
      </c>
      <c r="Q119" s="38" t="s">
        <v>120</v>
      </c>
      <c r="R119" s="38" t="s">
        <v>120</v>
      </c>
      <c r="S119" s="38" t="s">
        <v>120</v>
      </c>
      <c r="T119" s="38">
        <v>2902</v>
      </c>
      <c r="V119" s="81">
        <v>2690</v>
      </c>
      <c r="W119" s="38">
        <f t="shared" si="1"/>
        <v>1</v>
      </c>
    </row>
    <row r="120" spans="1:23" x14ac:dyDescent="0.45">
      <c r="A120" s="38">
        <v>133</v>
      </c>
      <c r="B120" s="38" t="s">
        <v>258</v>
      </c>
      <c r="C120" s="38">
        <v>7265.0072110000001</v>
      </c>
      <c r="D120" s="38">
        <v>2691</v>
      </c>
      <c r="E120" s="38">
        <v>4.8180000000000002E-3</v>
      </c>
      <c r="F120" s="38">
        <v>137</v>
      </c>
      <c r="G120" s="38">
        <v>102</v>
      </c>
      <c r="H120" s="38">
        <v>3.8539999999999998E-3</v>
      </c>
      <c r="I120" s="38">
        <v>104</v>
      </c>
      <c r="J120" s="38">
        <v>125</v>
      </c>
      <c r="K120" s="38" t="s">
        <v>120</v>
      </c>
      <c r="L120" s="38">
        <v>88164.847519999996</v>
      </c>
      <c r="M120" s="38">
        <v>7265.0072110000001</v>
      </c>
      <c r="N120" s="38" t="s">
        <v>120</v>
      </c>
      <c r="O120" s="38" t="s">
        <v>120</v>
      </c>
      <c r="P120" s="38" t="s">
        <v>120</v>
      </c>
      <c r="Q120" s="38" t="s">
        <v>120</v>
      </c>
      <c r="R120" s="38" t="s">
        <v>120</v>
      </c>
      <c r="S120" s="38" t="s">
        <v>120</v>
      </c>
      <c r="T120" s="38">
        <v>2897</v>
      </c>
      <c r="V120" s="81">
        <v>2691</v>
      </c>
      <c r="W120" s="38">
        <f t="shared" si="1"/>
        <v>1</v>
      </c>
    </row>
    <row r="121" spans="1:23" x14ac:dyDescent="0.45">
      <c r="A121" s="38">
        <v>135</v>
      </c>
      <c r="B121" s="38" t="s">
        <v>258</v>
      </c>
      <c r="C121" s="38">
        <v>66.605339000000001</v>
      </c>
      <c r="D121" s="38">
        <v>2692</v>
      </c>
      <c r="E121" s="38">
        <v>-0.105097</v>
      </c>
      <c r="F121" s="38">
        <v>157</v>
      </c>
      <c r="G121" s="38">
        <v>164</v>
      </c>
      <c r="H121" s="38">
        <v>-6.0054999999999997E-2</v>
      </c>
      <c r="I121" s="38">
        <v>163</v>
      </c>
      <c r="J121" s="38">
        <v>160</v>
      </c>
      <c r="K121" s="38" t="s">
        <v>120</v>
      </c>
      <c r="L121" s="38">
        <v>96093.705742999999</v>
      </c>
      <c r="M121" s="38">
        <v>66.605339000000001</v>
      </c>
      <c r="N121" s="38" t="s">
        <v>120</v>
      </c>
      <c r="O121" s="38" t="s">
        <v>120</v>
      </c>
      <c r="P121" s="38" t="s">
        <v>120</v>
      </c>
      <c r="Q121" s="38" t="s">
        <v>120</v>
      </c>
      <c r="R121" s="38" t="s">
        <v>120</v>
      </c>
      <c r="S121" s="38" t="s">
        <v>120</v>
      </c>
      <c r="T121" s="38">
        <v>2899</v>
      </c>
      <c r="V121" s="81">
        <v>2692</v>
      </c>
      <c r="W121" s="38">
        <f t="shared" si="1"/>
        <v>1</v>
      </c>
    </row>
    <row r="122" spans="1:23" x14ac:dyDescent="0.45">
      <c r="A122" s="38">
        <v>137</v>
      </c>
      <c r="B122" s="38" t="s">
        <v>258</v>
      </c>
      <c r="C122" s="38">
        <v>701.96067800000003</v>
      </c>
      <c r="D122" s="38">
        <v>2693</v>
      </c>
      <c r="E122" s="38">
        <v>1.7094999999999999E-2</v>
      </c>
      <c r="F122" s="38">
        <v>175</v>
      </c>
      <c r="G122" s="38">
        <v>163</v>
      </c>
      <c r="H122" s="38">
        <v>1.1396999999999999E-2</v>
      </c>
      <c r="I122" s="38">
        <v>162</v>
      </c>
      <c r="J122" s="38">
        <v>168</v>
      </c>
      <c r="K122" s="38" t="s">
        <v>120</v>
      </c>
      <c r="L122" s="38">
        <v>96766.561082</v>
      </c>
      <c r="M122" s="38">
        <v>701.96067800000003</v>
      </c>
      <c r="N122" s="38" t="s">
        <v>120</v>
      </c>
      <c r="O122" s="38" t="s">
        <v>120</v>
      </c>
      <c r="P122" s="38" t="s">
        <v>120</v>
      </c>
      <c r="Q122" s="38" t="s">
        <v>120</v>
      </c>
      <c r="R122" s="38" t="s">
        <v>120</v>
      </c>
      <c r="S122" s="38" t="s">
        <v>120</v>
      </c>
      <c r="T122" s="38">
        <v>2901</v>
      </c>
      <c r="V122" s="81">
        <v>2693</v>
      </c>
      <c r="W122" s="38">
        <f t="shared" si="1"/>
        <v>1</v>
      </c>
    </row>
    <row r="123" spans="1:23" x14ac:dyDescent="0.45">
      <c r="A123" s="38">
        <v>153</v>
      </c>
      <c r="B123" s="38" t="s">
        <v>258</v>
      </c>
      <c r="C123" s="38">
        <v>9503.1538579999997</v>
      </c>
      <c r="D123" s="38">
        <v>2694</v>
      </c>
      <c r="E123" s="38">
        <v>8.9760000000000006E-2</v>
      </c>
      <c r="F123" s="38">
        <v>1020</v>
      </c>
      <c r="G123" s="38">
        <v>167</v>
      </c>
      <c r="H123" s="38">
        <v>3.0165000000000001E-2</v>
      </c>
      <c r="I123" s="38">
        <v>181</v>
      </c>
      <c r="J123" s="38">
        <v>396</v>
      </c>
      <c r="K123" s="38" t="s">
        <v>120</v>
      </c>
      <c r="L123" s="38">
        <v>106155.254263</v>
      </c>
      <c r="M123" s="38">
        <v>9503.1538579999997</v>
      </c>
      <c r="N123" s="38" t="s">
        <v>120</v>
      </c>
      <c r="O123" s="38" t="s">
        <v>120</v>
      </c>
      <c r="P123" s="38" t="s">
        <v>120</v>
      </c>
      <c r="Q123" s="38" t="s">
        <v>120</v>
      </c>
      <c r="R123" s="38" t="s">
        <v>120</v>
      </c>
      <c r="S123" s="38" t="s">
        <v>120</v>
      </c>
      <c r="T123" s="38">
        <v>2917</v>
      </c>
      <c r="V123" s="81">
        <v>2694</v>
      </c>
      <c r="W123" s="38">
        <f t="shared" si="1"/>
        <v>1</v>
      </c>
    </row>
    <row r="124" spans="1:23" x14ac:dyDescent="0.45">
      <c r="A124" s="38">
        <v>140</v>
      </c>
      <c r="B124" s="38" t="s">
        <v>258</v>
      </c>
      <c r="C124" s="38">
        <v>789.53688599999998</v>
      </c>
      <c r="D124" s="38">
        <v>2695</v>
      </c>
      <c r="E124" s="38">
        <v>1.0133E-2</v>
      </c>
      <c r="F124" s="38">
        <v>110</v>
      </c>
      <c r="G124" s="38">
        <v>102</v>
      </c>
      <c r="H124" s="38">
        <v>8.4440000000000001E-3</v>
      </c>
      <c r="I124" s="38">
        <v>96</v>
      </c>
      <c r="J124" s="38">
        <v>101</v>
      </c>
      <c r="K124" s="38" t="s">
        <v>120</v>
      </c>
      <c r="L124" s="38">
        <v>81691.966029999996</v>
      </c>
      <c r="M124" s="38">
        <v>789.53688599999998</v>
      </c>
      <c r="N124" s="38" t="s">
        <v>120</v>
      </c>
      <c r="O124" s="38" t="s">
        <v>120</v>
      </c>
      <c r="P124" s="38" t="s">
        <v>120</v>
      </c>
      <c r="Q124" s="38" t="s">
        <v>120</v>
      </c>
      <c r="R124" s="38" t="s">
        <v>120</v>
      </c>
      <c r="S124" s="38" t="s">
        <v>120</v>
      </c>
      <c r="T124" s="38">
        <v>2904</v>
      </c>
      <c r="V124" s="81">
        <v>2695</v>
      </c>
      <c r="W124" s="38">
        <f t="shared" si="1"/>
        <v>1</v>
      </c>
    </row>
    <row r="125" spans="1:23" x14ac:dyDescent="0.45">
      <c r="A125" s="38">
        <v>154</v>
      </c>
      <c r="B125" s="38" t="s">
        <v>258</v>
      </c>
      <c r="C125" s="38">
        <v>10407.227631</v>
      </c>
      <c r="D125" s="38">
        <v>2696</v>
      </c>
      <c r="E125" s="38">
        <v>2.8250000000000001E-2</v>
      </c>
      <c r="F125" s="38">
        <v>433</v>
      </c>
      <c r="G125" s="38">
        <v>139</v>
      </c>
      <c r="H125" s="38">
        <v>2.5367000000000001E-2</v>
      </c>
      <c r="I125" s="38">
        <v>68</v>
      </c>
      <c r="J125" s="38">
        <v>266</v>
      </c>
      <c r="K125" s="38" t="s">
        <v>120</v>
      </c>
      <c r="L125" s="38">
        <v>102850.07659300001</v>
      </c>
      <c r="M125" s="38">
        <v>10407.227631</v>
      </c>
      <c r="N125" s="38" t="s">
        <v>120</v>
      </c>
      <c r="O125" s="38" t="s">
        <v>120</v>
      </c>
      <c r="P125" s="38" t="s">
        <v>120</v>
      </c>
      <c r="Q125" s="38" t="s">
        <v>120</v>
      </c>
      <c r="R125" s="38" t="s">
        <v>120</v>
      </c>
      <c r="S125" s="38" t="s">
        <v>120</v>
      </c>
      <c r="T125" s="38">
        <v>2918</v>
      </c>
      <c r="V125" s="81">
        <v>2696</v>
      </c>
      <c r="W125" s="38">
        <f t="shared" si="1"/>
        <v>1</v>
      </c>
    </row>
    <row r="126" spans="1:23" x14ac:dyDescent="0.45">
      <c r="A126" s="38">
        <v>125</v>
      </c>
      <c r="B126" s="38" t="s">
        <v>258</v>
      </c>
      <c r="C126" s="38">
        <v>5608.7887769999998</v>
      </c>
      <c r="D126" s="38">
        <v>2697</v>
      </c>
      <c r="E126" s="38">
        <v>0.23302700000000001</v>
      </c>
      <c r="F126" s="38">
        <v>2279</v>
      </c>
      <c r="G126" s="38">
        <v>972</v>
      </c>
      <c r="H126" s="38">
        <v>0.18946499999999999</v>
      </c>
      <c r="I126" s="38">
        <v>1002</v>
      </c>
      <c r="J126" s="38">
        <v>1799</v>
      </c>
      <c r="K126" s="38" t="s">
        <v>120</v>
      </c>
      <c r="L126" s="38">
        <v>127286.89296300001</v>
      </c>
      <c r="M126" s="38">
        <v>5608.7887769999998</v>
      </c>
      <c r="N126" s="38" t="s">
        <v>120</v>
      </c>
      <c r="O126" s="38" t="s">
        <v>120</v>
      </c>
      <c r="P126" s="38" t="s">
        <v>120</v>
      </c>
      <c r="Q126" s="38" t="s">
        <v>120</v>
      </c>
      <c r="R126" s="38" t="s">
        <v>120</v>
      </c>
      <c r="S126" s="38" t="s">
        <v>120</v>
      </c>
      <c r="T126" s="38">
        <v>2889</v>
      </c>
      <c r="V126" s="81">
        <v>2697</v>
      </c>
      <c r="W126" s="38">
        <f t="shared" si="1"/>
        <v>1</v>
      </c>
    </row>
    <row r="127" spans="1:23" x14ac:dyDescent="0.45">
      <c r="A127" s="38">
        <v>142</v>
      </c>
      <c r="B127" s="38" t="s">
        <v>258</v>
      </c>
      <c r="C127" s="38">
        <v>3518.0271440000001</v>
      </c>
      <c r="D127" s="38">
        <v>2698</v>
      </c>
      <c r="E127" s="38">
        <v>4.8320000000000004E-3</v>
      </c>
      <c r="F127" s="38">
        <v>122</v>
      </c>
      <c r="G127" s="38">
        <v>105</v>
      </c>
      <c r="H127" s="38">
        <v>3.411E-3</v>
      </c>
      <c r="I127" s="38">
        <v>98</v>
      </c>
      <c r="J127" s="38">
        <v>107</v>
      </c>
      <c r="K127" s="38" t="s">
        <v>120</v>
      </c>
      <c r="L127" s="38">
        <v>85067.943660999998</v>
      </c>
      <c r="M127" s="38">
        <v>3518.0271440000001</v>
      </c>
      <c r="N127" s="38" t="s">
        <v>120</v>
      </c>
      <c r="O127" s="38" t="s">
        <v>120</v>
      </c>
      <c r="P127" s="38" t="s">
        <v>120</v>
      </c>
      <c r="Q127" s="38" t="s">
        <v>120</v>
      </c>
      <c r="R127" s="38" t="s">
        <v>120</v>
      </c>
      <c r="S127" s="38" t="s">
        <v>120</v>
      </c>
      <c r="T127" s="38">
        <v>2906</v>
      </c>
      <c r="V127" s="81">
        <v>2698</v>
      </c>
      <c r="W127" s="38">
        <f t="shared" si="1"/>
        <v>1</v>
      </c>
    </row>
    <row r="128" spans="1:23" x14ac:dyDescent="0.45">
      <c r="A128" s="38">
        <v>155</v>
      </c>
      <c r="B128" s="38" t="s">
        <v>258</v>
      </c>
      <c r="C128" s="38">
        <v>10882.44318</v>
      </c>
      <c r="D128" s="38">
        <v>2699</v>
      </c>
      <c r="E128" s="38">
        <v>9.6669000000000005E-2</v>
      </c>
      <c r="F128" s="38">
        <v>1220</v>
      </c>
      <c r="G128" s="38">
        <v>168</v>
      </c>
      <c r="H128" s="38">
        <v>6.8735000000000004E-2</v>
      </c>
      <c r="I128" s="38">
        <v>184</v>
      </c>
      <c r="J128" s="38">
        <v>745</v>
      </c>
      <c r="K128" s="38" t="s">
        <v>120</v>
      </c>
      <c r="L128" s="38">
        <v>107534.543584</v>
      </c>
      <c r="M128" s="38">
        <v>10882.44318</v>
      </c>
      <c r="N128" s="38" t="s">
        <v>120</v>
      </c>
      <c r="O128" s="38" t="s">
        <v>120</v>
      </c>
      <c r="P128" s="38" t="s">
        <v>120</v>
      </c>
      <c r="Q128" s="38" t="s">
        <v>120</v>
      </c>
      <c r="R128" s="38" t="s">
        <v>120</v>
      </c>
      <c r="S128" s="38" t="s">
        <v>120</v>
      </c>
      <c r="T128" s="38">
        <v>2919</v>
      </c>
      <c r="V128" s="81">
        <v>2699</v>
      </c>
      <c r="W128" s="38">
        <f t="shared" si="1"/>
        <v>1</v>
      </c>
    </row>
    <row r="129" spans="1:23" x14ac:dyDescent="0.45">
      <c r="A129" s="38">
        <v>158</v>
      </c>
      <c r="B129" s="38" t="s">
        <v>258</v>
      </c>
      <c r="C129" s="38">
        <v>15731.123734000001</v>
      </c>
      <c r="D129" s="38">
        <v>2700</v>
      </c>
      <c r="E129" s="38">
        <v>0.12446699999999999</v>
      </c>
      <c r="F129" s="38">
        <v>2134</v>
      </c>
      <c r="G129" s="38">
        <v>176</v>
      </c>
      <c r="H129" s="38">
        <v>8.9589000000000002E-2</v>
      </c>
      <c r="I129" s="38">
        <v>213</v>
      </c>
      <c r="J129" s="38">
        <v>1270</v>
      </c>
      <c r="K129" s="38" t="s">
        <v>120</v>
      </c>
      <c r="L129" s="38">
        <v>113316.066851</v>
      </c>
      <c r="M129" s="38">
        <v>15731.123734000001</v>
      </c>
      <c r="N129" s="38" t="s">
        <v>120</v>
      </c>
      <c r="O129" s="38" t="s">
        <v>120</v>
      </c>
      <c r="P129" s="38" t="s">
        <v>120</v>
      </c>
      <c r="Q129" s="38" t="s">
        <v>120</v>
      </c>
      <c r="R129" s="38" t="s">
        <v>120</v>
      </c>
      <c r="S129" s="38" t="s">
        <v>120</v>
      </c>
      <c r="T129" s="38">
        <v>2922</v>
      </c>
      <c r="V129" s="81">
        <v>2700</v>
      </c>
      <c r="W129" s="38">
        <f t="shared" si="1"/>
        <v>1</v>
      </c>
    </row>
    <row r="130" spans="1:23" x14ac:dyDescent="0.45">
      <c r="A130" s="38">
        <v>149</v>
      </c>
      <c r="B130" s="38" t="s">
        <v>258</v>
      </c>
      <c r="C130" s="38">
        <v>5397.3926739999997</v>
      </c>
      <c r="D130" s="38">
        <v>2701</v>
      </c>
      <c r="E130" s="38">
        <v>0.18657199999999999</v>
      </c>
      <c r="F130" s="38">
        <v>1978</v>
      </c>
      <c r="G130" s="38">
        <v>971</v>
      </c>
      <c r="H130" s="38">
        <v>0.18231</v>
      </c>
      <c r="I130" s="38">
        <v>992</v>
      </c>
      <c r="J130" s="38">
        <v>1730</v>
      </c>
      <c r="K130" s="38" t="s">
        <v>120</v>
      </c>
      <c r="L130" s="38">
        <v>127075.49686</v>
      </c>
      <c r="M130" s="38">
        <v>5397.3926739999997</v>
      </c>
      <c r="N130" s="38" t="s">
        <v>120</v>
      </c>
      <c r="O130" s="38" t="s">
        <v>120</v>
      </c>
      <c r="P130" s="38" t="s">
        <v>120</v>
      </c>
      <c r="Q130" s="38" t="s">
        <v>120</v>
      </c>
      <c r="R130" s="38" t="s">
        <v>120</v>
      </c>
      <c r="S130" s="38" t="s">
        <v>120</v>
      </c>
      <c r="T130" s="38">
        <v>2913</v>
      </c>
      <c r="V130" s="81">
        <v>2701</v>
      </c>
      <c r="W130" s="38">
        <f t="shared" si="1"/>
        <v>1</v>
      </c>
    </row>
    <row r="131" spans="1:23" x14ac:dyDescent="0.45">
      <c r="A131" s="38">
        <v>148</v>
      </c>
      <c r="B131" s="38" t="s">
        <v>258</v>
      </c>
      <c r="C131" s="38">
        <v>5779.3470390000002</v>
      </c>
      <c r="D131" s="38">
        <v>2704</v>
      </c>
      <c r="E131" s="38">
        <v>4.2219E-2</v>
      </c>
      <c r="F131" s="38">
        <v>360</v>
      </c>
      <c r="G131" s="38">
        <v>116</v>
      </c>
      <c r="H131" s="38">
        <v>2.4916000000000001E-2</v>
      </c>
      <c r="I131" s="38">
        <v>145</v>
      </c>
      <c r="J131" s="38">
        <v>253</v>
      </c>
      <c r="K131" s="38" t="s">
        <v>120</v>
      </c>
      <c r="L131" s="38">
        <v>91558.718370000002</v>
      </c>
      <c r="M131" s="38">
        <v>5779.3470390000002</v>
      </c>
      <c r="N131" s="38" t="s">
        <v>120</v>
      </c>
      <c r="O131" s="38" t="s">
        <v>120</v>
      </c>
      <c r="P131" s="38" t="s">
        <v>120</v>
      </c>
      <c r="Q131" s="38" t="s">
        <v>120</v>
      </c>
      <c r="R131" s="38" t="s">
        <v>120</v>
      </c>
      <c r="S131" s="38" t="s">
        <v>120</v>
      </c>
      <c r="T131" s="38">
        <v>2912</v>
      </c>
      <c r="V131" s="81">
        <v>2704</v>
      </c>
      <c r="W131" s="38">
        <f t="shared" ref="W131:W160" si="2">IF(V131=D131,1,0)</f>
        <v>1</v>
      </c>
    </row>
    <row r="132" spans="1:23" x14ac:dyDescent="0.45">
      <c r="A132" s="38">
        <v>152</v>
      </c>
      <c r="B132" s="38" t="s">
        <v>258</v>
      </c>
      <c r="C132" s="38">
        <v>10699.169368999999</v>
      </c>
      <c r="D132" s="38">
        <v>2705</v>
      </c>
      <c r="E132" s="38">
        <v>3.5423000000000003E-2</v>
      </c>
      <c r="F132" s="38">
        <v>495</v>
      </c>
      <c r="G132" s="38">
        <v>116</v>
      </c>
      <c r="H132" s="38">
        <v>1.2088E-2</v>
      </c>
      <c r="I132" s="38">
        <v>124</v>
      </c>
      <c r="J132" s="38">
        <v>221</v>
      </c>
      <c r="K132" s="38" t="s">
        <v>120</v>
      </c>
      <c r="L132" s="38">
        <v>96478.540699999998</v>
      </c>
      <c r="M132" s="38">
        <v>10699.169368999999</v>
      </c>
      <c r="N132" s="38" t="s">
        <v>120</v>
      </c>
      <c r="O132" s="38" t="s">
        <v>120</v>
      </c>
      <c r="P132" s="38" t="s">
        <v>120</v>
      </c>
      <c r="Q132" s="38" t="s">
        <v>120</v>
      </c>
      <c r="R132" s="38" t="s">
        <v>120</v>
      </c>
      <c r="S132" s="38" t="s">
        <v>120</v>
      </c>
      <c r="T132" s="38">
        <v>2916</v>
      </c>
      <c r="V132" s="81">
        <v>2705</v>
      </c>
      <c r="W132" s="38">
        <f t="shared" si="2"/>
        <v>1</v>
      </c>
    </row>
    <row r="133" spans="1:23" x14ac:dyDescent="0.45">
      <c r="A133" s="38">
        <v>156</v>
      </c>
      <c r="B133" s="38" t="s">
        <v>258</v>
      </c>
      <c r="C133" s="38">
        <v>11270.413505</v>
      </c>
      <c r="D133" s="38">
        <v>2706</v>
      </c>
      <c r="E133" s="38">
        <v>9.1744999999999993E-2</v>
      </c>
      <c r="F133" s="38">
        <v>1254</v>
      </c>
      <c r="G133" s="38">
        <v>220</v>
      </c>
      <c r="H133" s="38">
        <v>4.3062999999999997E-2</v>
      </c>
      <c r="I133" s="38">
        <v>254</v>
      </c>
      <c r="J133" s="38">
        <v>618</v>
      </c>
      <c r="K133" s="38" t="s">
        <v>120</v>
      </c>
      <c r="L133" s="38">
        <v>107240.394052</v>
      </c>
      <c r="M133" s="38">
        <v>11270.413505</v>
      </c>
      <c r="N133" s="38" t="s">
        <v>120</v>
      </c>
      <c r="O133" s="38" t="s">
        <v>120</v>
      </c>
      <c r="P133" s="38" t="s">
        <v>120</v>
      </c>
      <c r="Q133" s="38" t="s">
        <v>120</v>
      </c>
      <c r="R133" s="38" t="s">
        <v>120</v>
      </c>
      <c r="S133" s="38" t="s">
        <v>120</v>
      </c>
      <c r="T133" s="38">
        <v>2920</v>
      </c>
      <c r="V133" s="81">
        <v>2706</v>
      </c>
      <c r="W133" s="38">
        <f t="shared" si="2"/>
        <v>1</v>
      </c>
    </row>
    <row r="134" spans="1:23" x14ac:dyDescent="0.45">
      <c r="A134" s="38">
        <v>167</v>
      </c>
      <c r="B134" s="38" t="s">
        <v>258</v>
      </c>
      <c r="C134" s="38">
        <v>12722.418825000001</v>
      </c>
      <c r="D134" s="38">
        <v>2707</v>
      </c>
      <c r="E134" s="38">
        <v>0.15484500000000001</v>
      </c>
      <c r="F134" s="38">
        <v>2616</v>
      </c>
      <c r="G134" s="38">
        <v>646</v>
      </c>
      <c r="H134" s="38">
        <v>0.102496</v>
      </c>
      <c r="I134" s="38">
        <v>750</v>
      </c>
      <c r="J134" s="38">
        <v>1728</v>
      </c>
      <c r="K134" s="38" t="s">
        <v>120</v>
      </c>
      <c r="L134" s="38">
        <v>119276.60075699999</v>
      </c>
      <c r="M134" s="38">
        <v>12722.418825000001</v>
      </c>
      <c r="N134" s="38" t="s">
        <v>120</v>
      </c>
      <c r="O134" s="38" t="s">
        <v>120</v>
      </c>
      <c r="P134" s="38" t="s">
        <v>120</v>
      </c>
      <c r="Q134" s="38" t="s">
        <v>120</v>
      </c>
      <c r="R134" s="38" t="s">
        <v>120</v>
      </c>
      <c r="S134" s="38" t="s">
        <v>120</v>
      </c>
      <c r="T134" s="38">
        <v>2931</v>
      </c>
      <c r="V134" s="81">
        <v>2707</v>
      </c>
      <c r="W134" s="38">
        <f t="shared" si="2"/>
        <v>1</v>
      </c>
    </row>
    <row r="135" spans="1:23" x14ac:dyDescent="0.45">
      <c r="A135" s="38">
        <v>160</v>
      </c>
      <c r="B135" s="38" t="s">
        <v>258</v>
      </c>
      <c r="C135" s="38">
        <v>5133.3315279999997</v>
      </c>
      <c r="D135" s="38">
        <v>2708</v>
      </c>
      <c r="E135" s="38">
        <v>0.21759700000000001</v>
      </c>
      <c r="F135" s="38">
        <v>1763</v>
      </c>
      <c r="G135" s="38">
        <v>646</v>
      </c>
      <c r="H135" s="38">
        <v>0.198182</v>
      </c>
      <c r="I135" s="38">
        <v>688</v>
      </c>
      <c r="J135" s="38">
        <v>1451</v>
      </c>
      <c r="K135" s="38" t="s">
        <v>120</v>
      </c>
      <c r="L135" s="38">
        <v>111687.51346</v>
      </c>
      <c r="M135" s="38">
        <v>5133.3315279999997</v>
      </c>
      <c r="N135" s="38" t="s">
        <v>120</v>
      </c>
      <c r="O135" s="38" t="s">
        <v>120</v>
      </c>
      <c r="P135" s="38" t="s">
        <v>120</v>
      </c>
      <c r="Q135" s="38" t="s">
        <v>120</v>
      </c>
      <c r="R135" s="38" t="s">
        <v>120</v>
      </c>
      <c r="S135" s="38" t="s">
        <v>120</v>
      </c>
      <c r="T135" s="38">
        <v>2924</v>
      </c>
      <c r="V135" s="81">
        <v>2708</v>
      </c>
      <c r="W135" s="38">
        <f t="shared" si="2"/>
        <v>1</v>
      </c>
    </row>
    <row r="136" spans="1:23" x14ac:dyDescent="0.45">
      <c r="A136" s="38">
        <v>161</v>
      </c>
      <c r="B136" s="38" t="s">
        <v>258</v>
      </c>
      <c r="C136" s="38">
        <v>5125.6543069999998</v>
      </c>
      <c r="D136" s="38">
        <v>2709</v>
      </c>
      <c r="E136" s="38">
        <v>0.18046499999999999</v>
      </c>
      <c r="F136" s="38">
        <v>1226</v>
      </c>
      <c r="G136" s="38">
        <v>301</v>
      </c>
      <c r="H136" s="38">
        <v>0.14177100000000001</v>
      </c>
      <c r="I136" s="38">
        <v>332</v>
      </c>
      <c r="J136" s="38">
        <v>877</v>
      </c>
      <c r="K136" s="38" t="s">
        <v>120</v>
      </c>
      <c r="L136" s="38">
        <v>103947.196001</v>
      </c>
      <c r="M136" s="38">
        <v>5125.6543069999998</v>
      </c>
      <c r="N136" s="38" t="s">
        <v>120</v>
      </c>
      <c r="O136" s="38" t="s">
        <v>120</v>
      </c>
      <c r="P136" s="38" t="s">
        <v>120</v>
      </c>
      <c r="Q136" s="38" t="s">
        <v>120</v>
      </c>
      <c r="R136" s="38" t="s">
        <v>120</v>
      </c>
      <c r="S136" s="38" t="s">
        <v>120</v>
      </c>
      <c r="T136" s="38">
        <v>2925</v>
      </c>
      <c r="V136" s="81">
        <v>2709</v>
      </c>
      <c r="W136" s="38">
        <f t="shared" si="2"/>
        <v>1</v>
      </c>
    </row>
    <row r="137" spans="1:23" x14ac:dyDescent="0.45">
      <c r="A137" s="38">
        <v>165</v>
      </c>
      <c r="B137" s="38" t="s">
        <v>258</v>
      </c>
      <c r="C137" s="38">
        <v>4960.1082230000002</v>
      </c>
      <c r="D137" s="38">
        <v>2710</v>
      </c>
      <c r="E137" s="38">
        <v>0.22559999999999999</v>
      </c>
      <c r="F137" s="38">
        <v>1419</v>
      </c>
      <c r="G137" s="38">
        <v>300</v>
      </c>
      <c r="H137" s="38">
        <v>0.20510300000000001</v>
      </c>
      <c r="I137" s="38">
        <v>363</v>
      </c>
      <c r="J137" s="38">
        <v>1126</v>
      </c>
      <c r="K137" s="38" t="s">
        <v>120</v>
      </c>
      <c r="L137" s="38">
        <v>103779.061082</v>
      </c>
      <c r="M137" s="38">
        <v>4960.1082230000002</v>
      </c>
      <c r="N137" s="38" t="s">
        <v>120</v>
      </c>
      <c r="O137" s="38" t="s">
        <v>120</v>
      </c>
      <c r="P137" s="38" t="s">
        <v>120</v>
      </c>
      <c r="Q137" s="38" t="s">
        <v>120</v>
      </c>
      <c r="R137" s="38" t="s">
        <v>120</v>
      </c>
      <c r="S137" s="38" t="s">
        <v>120</v>
      </c>
      <c r="T137" s="38">
        <v>2929</v>
      </c>
      <c r="V137" s="81">
        <v>2710</v>
      </c>
      <c r="W137" s="38">
        <f t="shared" si="2"/>
        <v>1</v>
      </c>
    </row>
    <row r="138" spans="1:23" x14ac:dyDescent="0.45">
      <c r="A138" s="38">
        <v>163</v>
      </c>
      <c r="B138" s="38" t="s">
        <v>258</v>
      </c>
      <c r="C138" s="38">
        <v>3825.1970580000002</v>
      </c>
      <c r="D138" s="38">
        <v>2711</v>
      </c>
      <c r="E138" s="38">
        <v>8.8622999999999993E-2</v>
      </c>
      <c r="F138" s="38">
        <v>561</v>
      </c>
      <c r="G138" s="38">
        <v>222</v>
      </c>
      <c r="H138" s="38">
        <v>4.0781999999999999E-2</v>
      </c>
      <c r="I138" s="38">
        <v>231</v>
      </c>
      <c r="J138" s="38">
        <v>348</v>
      </c>
      <c r="K138" s="38" t="s">
        <v>120</v>
      </c>
      <c r="L138" s="38">
        <v>99795.177605999997</v>
      </c>
      <c r="M138" s="38">
        <v>3825.1970580000002</v>
      </c>
      <c r="N138" s="38" t="s">
        <v>120</v>
      </c>
      <c r="O138" s="38" t="s">
        <v>120</v>
      </c>
      <c r="P138" s="38" t="s">
        <v>120</v>
      </c>
      <c r="Q138" s="38" t="s">
        <v>120</v>
      </c>
      <c r="R138" s="38" t="s">
        <v>120</v>
      </c>
      <c r="S138" s="38" t="s">
        <v>120</v>
      </c>
      <c r="T138" s="38">
        <v>2927</v>
      </c>
      <c r="V138" s="81">
        <v>2711</v>
      </c>
      <c r="W138" s="38">
        <f t="shared" si="2"/>
        <v>1</v>
      </c>
    </row>
    <row r="139" spans="1:23" x14ac:dyDescent="0.45">
      <c r="A139" s="38">
        <v>166</v>
      </c>
      <c r="B139" s="38" t="s">
        <v>258</v>
      </c>
      <c r="C139" s="38">
        <v>10830.755768999999</v>
      </c>
      <c r="D139" s="38">
        <v>2712</v>
      </c>
      <c r="E139" s="38">
        <v>0.109872</v>
      </c>
      <c r="F139" s="38">
        <v>1414</v>
      </c>
      <c r="G139" s="38">
        <v>224</v>
      </c>
      <c r="H139" s="38">
        <v>9.7130999999999995E-2</v>
      </c>
      <c r="I139" s="38">
        <v>233</v>
      </c>
      <c r="J139" s="38">
        <v>1022</v>
      </c>
      <c r="K139" s="38" t="s">
        <v>120</v>
      </c>
      <c r="L139" s="38">
        <v>106505.837778</v>
      </c>
      <c r="M139" s="38">
        <v>10830.755768999999</v>
      </c>
      <c r="N139" s="38" t="s">
        <v>120</v>
      </c>
      <c r="O139" s="38" t="s">
        <v>120</v>
      </c>
      <c r="P139" s="38" t="s">
        <v>120</v>
      </c>
      <c r="Q139" s="38" t="s">
        <v>120</v>
      </c>
      <c r="R139" s="38" t="s">
        <v>120</v>
      </c>
      <c r="S139" s="38" t="s">
        <v>120</v>
      </c>
      <c r="T139" s="38">
        <v>2930</v>
      </c>
      <c r="V139" s="81">
        <v>2712</v>
      </c>
      <c r="W139" s="38">
        <f t="shared" si="2"/>
        <v>1</v>
      </c>
    </row>
    <row r="140" spans="1:23" x14ac:dyDescent="0.45">
      <c r="A140" s="38">
        <v>159</v>
      </c>
      <c r="B140" s="38" t="s">
        <v>258</v>
      </c>
      <c r="C140" s="38">
        <v>1456.1106589999999</v>
      </c>
      <c r="D140" s="38">
        <v>2713</v>
      </c>
      <c r="E140" s="38">
        <v>1.5796000000000001E-2</v>
      </c>
      <c r="F140" s="38">
        <v>245</v>
      </c>
      <c r="G140" s="38">
        <v>222</v>
      </c>
      <c r="H140" s="38">
        <v>1.4651000000000001E-2</v>
      </c>
      <c r="I140" s="38">
        <v>217</v>
      </c>
      <c r="J140" s="38">
        <v>233</v>
      </c>
      <c r="K140" s="38" t="s">
        <v>120</v>
      </c>
      <c r="L140" s="38">
        <v>97133.781503000006</v>
      </c>
      <c r="M140" s="38">
        <v>1456.1106589999999</v>
      </c>
      <c r="N140" s="38" t="s">
        <v>120</v>
      </c>
      <c r="O140" s="38" t="s">
        <v>120</v>
      </c>
      <c r="P140" s="38" t="s">
        <v>120</v>
      </c>
      <c r="Q140" s="38" t="s">
        <v>120</v>
      </c>
      <c r="R140" s="38" t="s">
        <v>120</v>
      </c>
      <c r="S140" s="38" t="s">
        <v>120</v>
      </c>
      <c r="T140" s="38">
        <v>2923</v>
      </c>
      <c r="V140" s="81">
        <v>2713</v>
      </c>
      <c r="W140" s="38">
        <f t="shared" si="2"/>
        <v>1</v>
      </c>
    </row>
    <row r="141" spans="1:23" x14ac:dyDescent="0.45">
      <c r="A141" s="38">
        <v>171</v>
      </c>
      <c r="B141" s="38" t="s">
        <v>258</v>
      </c>
      <c r="C141" s="38">
        <v>9716.5683570000001</v>
      </c>
      <c r="D141" s="38">
        <v>2714</v>
      </c>
      <c r="E141" s="38">
        <v>0.19873299999999999</v>
      </c>
      <c r="F141" s="38">
        <v>2808</v>
      </c>
      <c r="G141" s="38">
        <v>877</v>
      </c>
      <c r="H141" s="38">
        <v>0.15465000000000001</v>
      </c>
      <c r="I141" s="38">
        <v>951</v>
      </c>
      <c r="J141" s="38">
        <v>2078</v>
      </c>
      <c r="K141" s="38" t="s">
        <v>120</v>
      </c>
      <c r="L141" s="38">
        <v>119678.96096700001</v>
      </c>
      <c r="M141" s="38">
        <v>9716.5683570000001</v>
      </c>
      <c r="N141" s="38" t="s">
        <v>120</v>
      </c>
      <c r="O141" s="38" t="s">
        <v>120</v>
      </c>
      <c r="P141" s="38" t="s">
        <v>120</v>
      </c>
      <c r="Q141" s="38" t="s">
        <v>120</v>
      </c>
      <c r="R141" s="38" t="s">
        <v>120</v>
      </c>
      <c r="S141" s="38" t="s">
        <v>120</v>
      </c>
      <c r="T141" s="38">
        <v>2935</v>
      </c>
      <c r="V141" s="81">
        <v>2714</v>
      </c>
      <c r="W141" s="38">
        <f t="shared" si="2"/>
        <v>1</v>
      </c>
    </row>
    <row r="142" spans="1:23" x14ac:dyDescent="0.45">
      <c r="A142" s="38">
        <v>170</v>
      </c>
      <c r="B142" s="38" t="s">
        <v>258</v>
      </c>
      <c r="C142" s="38">
        <v>8698.7382710000002</v>
      </c>
      <c r="D142" s="38">
        <v>2715</v>
      </c>
      <c r="E142" s="38">
        <v>0.229459</v>
      </c>
      <c r="F142" s="38">
        <v>2871</v>
      </c>
      <c r="G142" s="38">
        <v>875</v>
      </c>
      <c r="H142" s="38">
        <v>0.20769299999999999</v>
      </c>
      <c r="I142" s="38">
        <v>938</v>
      </c>
      <c r="J142" s="38">
        <v>2293</v>
      </c>
      <c r="K142" s="38" t="s">
        <v>120</v>
      </c>
      <c r="L142" s="38">
        <v>118661.130881</v>
      </c>
      <c r="M142" s="38">
        <v>8698.7382710000002</v>
      </c>
      <c r="N142" s="38" t="s">
        <v>120</v>
      </c>
      <c r="O142" s="38" t="s">
        <v>120</v>
      </c>
      <c r="P142" s="38" t="s">
        <v>120</v>
      </c>
      <c r="Q142" s="38" t="s">
        <v>120</v>
      </c>
      <c r="R142" s="38" t="s">
        <v>120</v>
      </c>
      <c r="S142" s="38" t="s">
        <v>120</v>
      </c>
      <c r="T142" s="38">
        <v>2934</v>
      </c>
      <c r="V142" s="81">
        <v>2715</v>
      </c>
      <c r="W142" s="38">
        <f t="shared" si="2"/>
        <v>1</v>
      </c>
    </row>
    <row r="143" spans="1:23" x14ac:dyDescent="0.45">
      <c r="A143" s="38">
        <v>162</v>
      </c>
      <c r="B143" s="38" t="s">
        <v>258</v>
      </c>
      <c r="C143" s="38">
        <v>1971.0470769999999</v>
      </c>
      <c r="D143" s="38">
        <v>2716</v>
      </c>
      <c r="E143" s="38">
        <v>1.2175999999999999E-2</v>
      </c>
      <c r="F143" s="38">
        <v>225</v>
      </c>
      <c r="G143" s="38">
        <v>201</v>
      </c>
      <c r="H143" s="38">
        <v>1.6234999999999999E-2</v>
      </c>
      <c r="I143" s="38">
        <v>192</v>
      </c>
      <c r="J143" s="38">
        <v>216</v>
      </c>
      <c r="K143" s="38" t="s">
        <v>120</v>
      </c>
      <c r="L143" s="38">
        <v>96159.885399999999</v>
      </c>
      <c r="M143" s="38">
        <v>1971.0470769999999</v>
      </c>
      <c r="N143" s="38" t="s">
        <v>120</v>
      </c>
      <c r="O143" s="38" t="s">
        <v>120</v>
      </c>
      <c r="P143" s="38" t="s">
        <v>120</v>
      </c>
      <c r="Q143" s="38" t="s">
        <v>120</v>
      </c>
      <c r="R143" s="38" t="s">
        <v>120</v>
      </c>
      <c r="S143" s="38" t="s">
        <v>120</v>
      </c>
      <c r="T143" s="38">
        <v>2926</v>
      </c>
      <c r="V143" s="81">
        <v>2716</v>
      </c>
      <c r="W143" s="38">
        <f t="shared" si="2"/>
        <v>1</v>
      </c>
    </row>
    <row r="144" spans="1:23" x14ac:dyDescent="0.45">
      <c r="A144" s="38">
        <v>169</v>
      </c>
      <c r="B144" s="38" t="s">
        <v>258</v>
      </c>
      <c r="C144" s="38">
        <v>14785.933438</v>
      </c>
      <c r="D144" s="38">
        <v>2717</v>
      </c>
      <c r="E144" s="38">
        <v>0.121602</v>
      </c>
      <c r="F144" s="38">
        <v>2000</v>
      </c>
      <c r="G144" s="38">
        <v>202</v>
      </c>
      <c r="H144" s="38">
        <v>7.4665999999999996E-2</v>
      </c>
      <c r="I144" s="38">
        <v>217</v>
      </c>
      <c r="J144" s="38">
        <v>1045</v>
      </c>
      <c r="K144" s="38" t="s">
        <v>120</v>
      </c>
      <c r="L144" s="38">
        <v>108974.77176</v>
      </c>
      <c r="M144" s="38">
        <v>14785.933438</v>
      </c>
      <c r="N144" s="38" t="s">
        <v>120</v>
      </c>
      <c r="O144" s="38" t="s">
        <v>120</v>
      </c>
      <c r="P144" s="38" t="s">
        <v>120</v>
      </c>
      <c r="Q144" s="38" t="s">
        <v>120</v>
      </c>
      <c r="R144" s="38" t="s">
        <v>120</v>
      </c>
      <c r="S144" s="38" t="s">
        <v>120</v>
      </c>
      <c r="T144" s="38">
        <v>2933</v>
      </c>
      <c r="V144" s="81">
        <v>2717</v>
      </c>
      <c r="W144" s="38">
        <f t="shared" si="2"/>
        <v>1</v>
      </c>
    </row>
    <row r="145" spans="1:23" x14ac:dyDescent="0.45">
      <c r="A145" s="38">
        <v>72</v>
      </c>
      <c r="B145" s="38" t="s">
        <v>258</v>
      </c>
      <c r="C145" s="38">
        <v>5985.2737150000003</v>
      </c>
      <c r="D145" s="38">
        <v>2719</v>
      </c>
      <c r="E145" s="38">
        <v>1.3370000000000001E-3</v>
      </c>
      <c r="F145" s="38">
        <v>59</v>
      </c>
      <c r="G145" s="38">
        <v>51</v>
      </c>
      <c r="H145" s="38">
        <v>-1.5590000000000001E-3</v>
      </c>
      <c r="I145" s="38">
        <v>57</v>
      </c>
      <c r="J145" s="38">
        <v>50</v>
      </c>
      <c r="K145" s="38" t="s">
        <v>120</v>
      </c>
      <c r="L145" s="38">
        <v>26240.663761</v>
      </c>
      <c r="M145" s="38">
        <v>5985.2737150000003</v>
      </c>
      <c r="N145" s="38" t="s">
        <v>120</v>
      </c>
      <c r="O145" s="38" t="s">
        <v>120</v>
      </c>
      <c r="P145" s="38" t="s">
        <v>120</v>
      </c>
      <c r="Q145" s="38" t="s">
        <v>120</v>
      </c>
      <c r="R145" s="38" t="s">
        <v>120</v>
      </c>
      <c r="S145" s="38" t="s">
        <v>120</v>
      </c>
      <c r="T145" s="38">
        <v>2836</v>
      </c>
      <c r="V145" s="81">
        <v>2719</v>
      </c>
      <c r="W145" s="38">
        <f t="shared" si="2"/>
        <v>1</v>
      </c>
    </row>
    <row r="146" spans="1:23" x14ac:dyDescent="0.45">
      <c r="A146" s="38">
        <v>75</v>
      </c>
      <c r="B146" s="38" t="s">
        <v>258</v>
      </c>
      <c r="C146" s="38">
        <v>4234.6009169999998</v>
      </c>
      <c r="D146" s="38">
        <v>2720</v>
      </c>
      <c r="E146" s="38">
        <v>1.4170000000000001E-3</v>
      </c>
      <c r="F146" s="38">
        <v>60</v>
      </c>
      <c r="G146" s="38">
        <v>54</v>
      </c>
      <c r="H146" s="38">
        <v>-3.7780000000000001E-3</v>
      </c>
      <c r="I146" s="38">
        <v>58</v>
      </c>
      <c r="J146" s="38">
        <v>46</v>
      </c>
      <c r="K146" s="38" t="s">
        <v>120</v>
      </c>
      <c r="L146" s="38">
        <v>29419.674401</v>
      </c>
      <c r="M146" s="38">
        <v>4234.6009169999998</v>
      </c>
      <c r="N146" s="38" t="s">
        <v>120</v>
      </c>
      <c r="O146" s="38" t="s">
        <v>120</v>
      </c>
      <c r="P146" s="38" t="s">
        <v>120</v>
      </c>
      <c r="Q146" s="38" t="s">
        <v>120</v>
      </c>
      <c r="R146" s="38" t="s">
        <v>120</v>
      </c>
      <c r="S146" s="38" t="s">
        <v>120</v>
      </c>
      <c r="T146" s="38">
        <v>2839</v>
      </c>
      <c r="V146" s="81">
        <v>2720</v>
      </c>
      <c r="W146" s="38">
        <f t="shared" si="2"/>
        <v>1</v>
      </c>
    </row>
    <row r="147" spans="1:23" x14ac:dyDescent="0.45">
      <c r="A147" s="38">
        <v>65</v>
      </c>
      <c r="B147" s="38" t="s">
        <v>258</v>
      </c>
      <c r="C147" s="38">
        <v>5466.1873159999996</v>
      </c>
      <c r="D147" s="38">
        <v>2724</v>
      </c>
      <c r="E147" s="38">
        <v>4.2079999999999999E-3</v>
      </c>
      <c r="F147" s="38">
        <v>128</v>
      </c>
      <c r="G147" s="38">
        <v>105</v>
      </c>
      <c r="H147" s="38">
        <v>4.6350000000000002E-3</v>
      </c>
      <c r="I147" s="38">
        <v>101</v>
      </c>
      <c r="J147" s="38">
        <v>120</v>
      </c>
      <c r="K147" s="38" t="s">
        <v>120</v>
      </c>
      <c r="L147" s="38">
        <v>77991.356365</v>
      </c>
      <c r="M147" s="38">
        <v>5466.1873159999996</v>
      </c>
      <c r="N147" s="38" t="s">
        <v>120</v>
      </c>
      <c r="O147" s="38" t="s">
        <v>120</v>
      </c>
      <c r="P147" s="38" t="s">
        <v>120</v>
      </c>
      <c r="Q147" s="38" t="s">
        <v>120</v>
      </c>
      <c r="R147" s="38" t="s">
        <v>120</v>
      </c>
      <c r="S147" s="38" t="s">
        <v>120</v>
      </c>
      <c r="T147" s="38">
        <v>2829</v>
      </c>
      <c r="V147" s="81">
        <v>2724</v>
      </c>
      <c r="W147" s="38">
        <f t="shared" si="2"/>
        <v>1</v>
      </c>
    </row>
    <row r="148" spans="1:23" x14ac:dyDescent="0.45">
      <c r="A148" s="38">
        <v>70</v>
      </c>
      <c r="B148" s="38" t="s">
        <v>258</v>
      </c>
      <c r="C148" s="38">
        <v>6185.1212990000004</v>
      </c>
      <c r="D148" s="38">
        <v>2725</v>
      </c>
      <c r="E148" s="38">
        <v>2.9099999999999998E-3</v>
      </c>
      <c r="F148" s="38">
        <v>127</v>
      </c>
      <c r="G148" s="38">
        <v>109</v>
      </c>
      <c r="H148" s="38">
        <v>1.9400000000000001E-3</v>
      </c>
      <c r="I148" s="38">
        <v>111</v>
      </c>
      <c r="J148" s="38">
        <v>120</v>
      </c>
      <c r="K148" s="38" t="s">
        <v>120</v>
      </c>
      <c r="L148" s="38">
        <v>80114.364119999998</v>
      </c>
      <c r="M148" s="38">
        <v>6185.1212990000004</v>
      </c>
      <c r="N148" s="38" t="s">
        <v>120</v>
      </c>
      <c r="O148" s="38" t="s">
        <v>120</v>
      </c>
      <c r="P148" s="38" t="s">
        <v>120</v>
      </c>
      <c r="Q148" s="38" t="s">
        <v>120</v>
      </c>
      <c r="R148" s="38" t="s">
        <v>120</v>
      </c>
      <c r="S148" s="38" t="s">
        <v>120</v>
      </c>
      <c r="T148" s="38">
        <v>2834</v>
      </c>
      <c r="V148" s="81">
        <v>2725</v>
      </c>
      <c r="W148" s="38">
        <f t="shared" si="2"/>
        <v>1</v>
      </c>
    </row>
    <row r="149" spans="1:23" x14ac:dyDescent="0.45">
      <c r="A149" s="38">
        <v>88</v>
      </c>
      <c r="B149" s="38" t="s">
        <v>258</v>
      </c>
      <c r="C149" s="38">
        <v>12371.328003000001</v>
      </c>
      <c r="D149" s="38">
        <v>2729</v>
      </c>
      <c r="E149" s="38">
        <v>3.1519999999999999E-3</v>
      </c>
      <c r="F149" s="38">
        <v>119</v>
      </c>
      <c r="G149" s="38">
        <v>80</v>
      </c>
      <c r="H149" s="38">
        <v>3.1259999999999999E-3</v>
      </c>
      <c r="I149" s="38">
        <v>84</v>
      </c>
      <c r="J149" s="38">
        <v>113</v>
      </c>
      <c r="K149" s="38" t="s">
        <v>120</v>
      </c>
      <c r="L149" s="38">
        <v>75179.439880000005</v>
      </c>
      <c r="M149" s="38">
        <v>12371.328003000001</v>
      </c>
      <c r="N149" s="38" t="s">
        <v>120</v>
      </c>
      <c r="O149" s="38" t="s">
        <v>120</v>
      </c>
      <c r="P149" s="38" t="s">
        <v>120</v>
      </c>
      <c r="Q149" s="38" t="s">
        <v>120</v>
      </c>
      <c r="R149" s="38" t="s">
        <v>120</v>
      </c>
      <c r="S149" s="38" t="s">
        <v>120</v>
      </c>
      <c r="T149" s="38">
        <v>2852</v>
      </c>
      <c r="V149" s="81">
        <v>2729</v>
      </c>
      <c r="W149" s="38">
        <f t="shared" si="2"/>
        <v>1</v>
      </c>
    </row>
    <row r="150" spans="1:23" x14ac:dyDescent="0.45">
      <c r="A150" s="38">
        <v>103</v>
      </c>
      <c r="B150" s="38" t="s">
        <v>258</v>
      </c>
      <c r="C150" s="38">
        <v>4320.6159790000002</v>
      </c>
      <c r="D150" s="38">
        <v>2730</v>
      </c>
      <c r="E150" s="38">
        <v>1.3655E-2</v>
      </c>
      <c r="F150" s="38">
        <v>174</v>
      </c>
      <c r="G150" s="38">
        <v>115</v>
      </c>
      <c r="H150" s="38">
        <v>7.4060000000000003E-3</v>
      </c>
      <c r="I150" s="38">
        <v>116</v>
      </c>
      <c r="J150" s="38">
        <v>140</v>
      </c>
      <c r="K150" s="38" t="s">
        <v>120</v>
      </c>
      <c r="L150" s="38">
        <v>78624.199076999997</v>
      </c>
      <c r="M150" s="38">
        <v>4320.6159790000002</v>
      </c>
      <c r="N150" s="38" t="s">
        <v>120</v>
      </c>
      <c r="O150" s="38" t="s">
        <v>120</v>
      </c>
      <c r="P150" s="38" t="s">
        <v>120</v>
      </c>
      <c r="Q150" s="38" t="s">
        <v>120</v>
      </c>
      <c r="R150" s="38" t="s">
        <v>120</v>
      </c>
      <c r="S150" s="38" t="s">
        <v>120</v>
      </c>
      <c r="T150" s="38">
        <v>2867</v>
      </c>
      <c r="V150" s="81">
        <v>2730</v>
      </c>
      <c r="W150" s="38">
        <f t="shared" si="2"/>
        <v>1</v>
      </c>
    </row>
    <row r="151" spans="1:23" x14ac:dyDescent="0.45">
      <c r="A151" s="38">
        <v>118</v>
      </c>
      <c r="B151" s="38" t="s">
        <v>258</v>
      </c>
      <c r="C151" s="38">
        <v>2381.5548330000001</v>
      </c>
      <c r="D151" s="38">
        <v>2734</v>
      </c>
      <c r="E151" s="38">
        <v>6.718E-3</v>
      </c>
      <c r="F151" s="38">
        <v>133</v>
      </c>
      <c r="G151" s="38">
        <v>117</v>
      </c>
      <c r="H151" s="38">
        <v>3.359E-3</v>
      </c>
      <c r="I151" s="38">
        <v>110</v>
      </c>
      <c r="J151" s="38">
        <v>116</v>
      </c>
      <c r="K151" s="38" t="s">
        <v>120</v>
      </c>
      <c r="L151" s="38">
        <v>85511.725227999996</v>
      </c>
      <c r="M151" s="38">
        <v>2381.5548330000001</v>
      </c>
      <c r="N151" s="38" t="s">
        <v>120</v>
      </c>
      <c r="O151" s="38" t="s">
        <v>120</v>
      </c>
      <c r="P151" s="38" t="s">
        <v>120</v>
      </c>
      <c r="Q151" s="38" t="s">
        <v>120</v>
      </c>
      <c r="R151" s="38" t="s">
        <v>120</v>
      </c>
      <c r="S151" s="38" t="s">
        <v>120</v>
      </c>
      <c r="T151" s="38">
        <v>2882</v>
      </c>
      <c r="V151" s="81">
        <v>2734</v>
      </c>
      <c r="W151" s="38">
        <f t="shared" si="2"/>
        <v>1</v>
      </c>
    </row>
    <row r="152" spans="1:23" x14ac:dyDescent="0.45">
      <c r="A152" s="38">
        <v>113</v>
      </c>
      <c r="B152" s="38" t="s">
        <v>258</v>
      </c>
      <c r="C152" s="38">
        <v>5896.5043260000002</v>
      </c>
      <c r="D152" s="38">
        <v>2735</v>
      </c>
      <c r="E152" s="38">
        <v>1.8485999999999999E-2</v>
      </c>
      <c r="F152" s="38">
        <v>224</v>
      </c>
      <c r="G152" s="38">
        <v>115</v>
      </c>
      <c r="H152" s="38">
        <v>6.1050000000000002E-3</v>
      </c>
      <c r="I152" s="38">
        <v>120</v>
      </c>
      <c r="J152" s="38">
        <v>147</v>
      </c>
      <c r="K152" s="38" t="s">
        <v>120</v>
      </c>
      <c r="L152" s="38">
        <v>90305.748493999999</v>
      </c>
      <c r="M152" s="38">
        <v>5896.5043260000002</v>
      </c>
      <c r="N152" s="38" t="s">
        <v>120</v>
      </c>
      <c r="O152" s="38" t="s">
        <v>120</v>
      </c>
      <c r="P152" s="38" t="s">
        <v>120</v>
      </c>
      <c r="Q152" s="38" t="s">
        <v>120</v>
      </c>
      <c r="R152" s="38" t="s">
        <v>120</v>
      </c>
      <c r="S152" s="38" t="s">
        <v>120</v>
      </c>
      <c r="T152" s="38">
        <v>2877</v>
      </c>
      <c r="V152" s="81">
        <v>2735</v>
      </c>
      <c r="W152" s="38">
        <f t="shared" si="2"/>
        <v>1</v>
      </c>
    </row>
    <row r="153" spans="1:23" x14ac:dyDescent="0.45">
      <c r="A153" s="38">
        <v>122</v>
      </c>
      <c r="B153" s="38" t="s">
        <v>258</v>
      </c>
      <c r="C153" s="38">
        <v>2856.783457</v>
      </c>
      <c r="D153" s="38">
        <v>2739</v>
      </c>
      <c r="E153" s="38">
        <v>8.0510000000000009E-3</v>
      </c>
      <c r="F153" s="38">
        <v>140</v>
      </c>
      <c r="G153" s="38">
        <v>117</v>
      </c>
      <c r="H153" s="38">
        <v>2.8E-3</v>
      </c>
      <c r="I153" s="38">
        <v>118</v>
      </c>
      <c r="J153" s="38">
        <v>124</v>
      </c>
      <c r="K153" s="38" t="s">
        <v>120</v>
      </c>
      <c r="L153" s="38">
        <v>85989.542686999994</v>
      </c>
      <c r="M153" s="38">
        <v>2856.783457</v>
      </c>
      <c r="N153" s="38" t="s">
        <v>120</v>
      </c>
      <c r="O153" s="38" t="s">
        <v>120</v>
      </c>
      <c r="P153" s="38" t="s">
        <v>120</v>
      </c>
      <c r="Q153" s="38" t="s">
        <v>120</v>
      </c>
      <c r="R153" s="38" t="s">
        <v>120</v>
      </c>
      <c r="S153" s="38" t="s">
        <v>120</v>
      </c>
      <c r="T153" s="38">
        <v>2886</v>
      </c>
      <c r="V153" s="81">
        <v>2739</v>
      </c>
      <c r="W153" s="38">
        <f t="shared" si="2"/>
        <v>1</v>
      </c>
    </row>
    <row r="154" spans="1:23" x14ac:dyDescent="0.45">
      <c r="A154" s="38">
        <v>115</v>
      </c>
      <c r="B154" s="38" t="s">
        <v>258</v>
      </c>
      <c r="C154" s="38">
        <v>8813.5222730000005</v>
      </c>
      <c r="D154" s="38">
        <v>2740</v>
      </c>
      <c r="E154" s="38">
        <v>1.18E-2</v>
      </c>
      <c r="F154" s="38">
        <v>218</v>
      </c>
      <c r="G154" s="38">
        <v>114</v>
      </c>
      <c r="H154" s="38">
        <v>7.2620000000000002E-3</v>
      </c>
      <c r="I154" s="38">
        <v>125</v>
      </c>
      <c r="J154" s="38">
        <v>173</v>
      </c>
      <c r="K154" s="38" t="s">
        <v>120</v>
      </c>
      <c r="L154" s="38">
        <v>93283.197988</v>
      </c>
      <c r="M154" s="38">
        <v>8813.5222730000005</v>
      </c>
      <c r="N154" s="38" t="s">
        <v>120</v>
      </c>
      <c r="O154" s="38" t="s">
        <v>120</v>
      </c>
      <c r="P154" s="38" t="s">
        <v>120</v>
      </c>
      <c r="Q154" s="38" t="s">
        <v>120</v>
      </c>
      <c r="R154" s="38" t="s">
        <v>120</v>
      </c>
      <c r="S154" s="38" t="s">
        <v>120</v>
      </c>
      <c r="T154" s="38">
        <v>2879</v>
      </c>
      <c r="V154" s="81">
        <v>2740</v>
      </c>
      <c r="W154" s="38">
        <f t="shared" si="2"/>
        <v>1</v>
      </c>
    </row>
    <row r="155" spans="1:23" x14ac:dyDescent="0.45">
      <c r="A155" s="38">
        <v>143</v>
      </c>
      <c r="B155" s="38" t="s">
        <v>258</v>
      </c>
      <c r="C155" s="38">
        <v>5138.890238</v>
      </c>
      <c r="D155" s="38">
        <v>2744</v>
      </c>
      <c r="E155" s="38">
        <v>2.1600000000000001E-2</v>
      </c>
      <c r="F155" s="38">
        <v>216</v>
      </c>
      <c r="G155" s="38">
        <v>105</v>
      </c>
      <c r="H155" s="38">
        <v>2.8540000000000002E-3</v>
      </c>
      <c r="I155" s="38">
        <v>104</v>
      </c>
      <c r="J155" s="38">
        <v>115</v>
      </c>
      <c r="K155" s="38" t="s">
        <v>120</v>
      </c>
      <c r="L155" s="38">
        <v>86688.806756000005</v>
      </c>
      <c r="M155" s="38">
        <v>5138.890238</v>
      </c>
      <c r="N155" s="38" t="s">
        <v>120</v>
      </c>
      <c r="O155" s="38" t="s">
        <v>120</v>
      </c>
      <c r="P155" s="38" t="s">
        <v>120</v>
      </c>
      <c r="Q155" s="38" t="s">
        <v>120</v>
      </c>
      <c r="R155" s="38" t="s">
        <v>120</v>
      </c>
      <c r="S155" s="38" t="s">
        <v>120</v>
      </c>
      <c r="T155" s="38">
        <v>2907</v>
      </c>
      <c r="V155" s="81">
        <v>2744</v>
      </c>
      <c r="W155" s="38">
        <f t="shared" si="2"/>
        <v>1</v>
      </c>
    </row>
    <row r="156" spans="1:23" x14ac:dyDescent="0.45">
      <c r="A156" s="38">
        <v>131</v>
      </c>
      <c r="B156" s="38" t="s">
        <v>258</v>
      </c>
      <c r="C156" s="38">
        <v>7403.5348990000002</v>
      </c>
      <c r="D156" s="38">
        <v>2745</v>
      </c>
      <c r="E156" s="38">
        <v>8.3739999999999995E-3</v>
      </c>
      <c r="F156" s="38">
        <v>176</v>
      </c>
      <c r="G156" s="38">
        <v>114</v>
      </c>
      <c r="H156" s="38">
        <v>3.2420000000000001E-3</v>
      </c>
      <c r="I156" s="38">
        <v>116</v>
      </c>
      <c r="J156" s="38">
        <v>134</v>
      </c>
      <c r="K156" s="38" t="s">
        <v>120</v>
      </c>
      <c r="L156" s="38">
        <v>92935.495064999996</v>
      </c>
      <c r="M156" s="38">
        <v>7403.5348990000002</v>
      </c>
      <c r="N156" s="38" t="s">
        <v>120</v>
      </c>
      <c r="O156" s="38" t="s">
        <v>120</v>
      </c>
      <c r="P156" s="38" t="s">
        <v>120</v>
      </c>
      <c r="Q156" s="38" t="s">
        <v>120</v>
      </c>
      <c r="R156" s="38" t="s">
        <v>120</v>
      </c>
      <c r="S156" s="38" t="s">
        <v>120</v>
      </c>
      <c r="T156" s="38">
        <v>2895</v>
      </c>
      <c r="V156" s="81">
        <v>2745</v>
      </c>
      <c r="W156" s="38">
        <f t="shared" si="2"/>
        <v>1</v>
      </c>
    </row>
    <row r="157" spans="1:23" x14ac:dyDescent="0.45">
      <c r="A157" s="38">
        <v>144</v>
      </c>
      <c r="B157" s="38" t="s">
        <v>258</v>
      </c>
      <c r="C157" s="38">
        <v>2858.4077360000001</v>
      </c>
      <c r="D157" s="38">
        <v>2749</v>
      </c>
      <c r="E157" s="38">
        <v>4.0932000000000003E-2</v>
      </c>
      <c r="F157" s="38">
        <v>227</v>
      </c>
      <c r="G157" s="38">
        <v>110</v>
      </c>
      <c r="H157" s="38">
        <v>1.2128E-2</v>
      </c>
      <c r="I157" s="38">
        <v>114</v>
      </c>
      <c r="J157" s="38">
        <v>140</v>
      </c>
      <c r="K157" s="38" t="s">
        <v>120</v>
      </c>
      <c r="L157" s="38">
        <v>86099.162095000007</v>
      </c>
      <c r="M157" s="38">
        <v>2858.4077360000001</v>
      </c>
      <c r="N157" s="38" t="s">
        <v>120</v>
      </c>
      <c r="O157" s="38" t="s">
        <v>120</v>
      </c>
      <c r="P157" s="38" t="s">
        <v>120</v>
      </c>
      <c r="Q157" s="38" t="s">
        <v>120</v>
      </c>
      <c r="R157" s="38" t="s">
        <v>120</v>
      </c>
      <c r="S157" s="38" t="s">
        <v>120</v>
      </c>
      <c r="T157" s="38">
        <v>2908</v>
      </c>
      <c r="V157" s="81">
        <v>2749</v>
      </c>
      <c r="W157" s="38">
        <f t="shared" si="2"/>
        <v>1</v>
      </c>
    </row>
    <row r="158" spans="1:23" x14ac:dyDescent="0.45">
      <c r="A158" s="38">
        <v>150</v>
      </c>
      <c r="B158" s="38" t="s">
        <v>258</v>
      </c>
      <c r="C158" s="38">
        <v>2852.1893030000001</v>
      </c>
      <c r="D158" s="38">
        <v>2750</v>
      </c>
      <c r="E158" s="38">
        <v>7.3629999999999998E-3</v>
      </c>
      <c r="F158" s="38">
        <v>135</v>
      </c>
      <c r="G158" s="38">
        <v>114</v>
      </c>
      <c r="H158" s="38">
        <v>2.8050000000000002E-3</v>
      </c>
      <c r="I158" s="38">
        <v>115</v>
      </c>
      <c r="J158" s="38">
        <v>121</v>
      </c>
      <c r="K158" s="38" t="s">
        <v>120</v>
      </c>
      <c r="L158" s="38">
        <v>87329.339764000004</v>
      </c>
      <c r="M158" s="38">
        <v>2852.1893030000001</v>
      </c>
      <c r="N158" s="38" t="s">
        <v>120</v>
      </c>
      <c r="O158" s="38" t="s">
        <v>120</v>
      </c>
      <c r="P158" s="38" t="s">
        <v>120</v>
      </c>
      <c r="Q158" s="38" t="s">
        <v>120</v>
      </c>
      <c r="R158" s="38" t="s">
        <v>120</v>
      </c>
      <c r="S158" s="38" t="s">
        <v>120</v>
      </c>
      <c r="T158" s="38">
        <v>2914</v>
      </c>
      <c r="V158" s="81">
        <v>2750</v>
      </c>
      <c r="W158" s="38">
        <f t="shared" si="2"/>
        <v>1</v>
      </c>
    </row>
    <row r="159" spans="1:23" x14ac:dyDescent="0.45">
      <c r="A159" s="38">
        <v>145</v>
      </c>
      <c r="B159" s="38" t="s">
        <v>258</v>
      </c>
      <c r="C159" s="38">
        <v>1692.646103</v>
      </c>
      <c r="D159" s="38">
        <v>2760</v>
      </c>
      <c r="E159" s="38">
        <v>4.1359999999999999E-3</v>
      </c>
      <c r="F159" s="38">
        <v>116</v>
      </c>
      <c r="G159" s="38">
        <v>109</v>
      </c>
      <c r="H159" s="38">
        <v>-1.575E-3</v>
      </c>
      <c r="I159" s="38">
        <v>111</v>
      </c>
      <c r="J159" s="38">
        <v>109</v>
      </c>
      <c r="K159" s="38" t="s">
        <v>120</v>
      </c>
      <c r="L159" s="38">
        <v>84930.811627000003</v>
      </c>
      <c r="M159" s="38">
        <v>1692.646103</v>
      </c>
      <c r="N159" s="38" t="s">
        <v>120</v>
      </c>
      <c r="O159" s="38" t="s">
        <v>120</v>
      </c>
      <c r="P159" s="38" t="s">
        <v>120</v>
      </c>
      <c r="Q159" s="38" t="s">
        <v>120</v>
      </c>
      <c r="R159" s="38" t="s">
        <v>120</v>
      </c>
      <c r="S159" s="38" t="s">
        <v>120</v>
      </c>
      <c r="T159" s="38">
        <v>2909</v>
      </c>
      <c r="V159" s="81">
        <v>2760</v>
      </c>
      <c r="W159" s="38">
        <f t="shared" si="2"/>
        <v>1</v>
      </c>
    </row>
    <row r="160" spans="1:23" x14ac:dyDescent="0.45">
      <c r="A160" s="38">
        <v>157</v>
      </c>
      <c r="B160" s="38" t="s">
        <v>258</v>
      </c>
      <c r="C160" s="38">
        <v>13511.669368999999</v>
      </c>
      <c r="D160" s="38">
        <v>2761</v>
      </c>
      <c r="E160" s="38">
        <v>2.1833000000000002E-2</v>
      </c>
      <c r="F160" s="38">
        <v>406</v>
      </c>
      <c r="G160" s="38">
        <v>111</v>
      </c>
      <c r="H160" s="38">
        <v>1.4506E-2</v>
      </c>
      <c r="I160" s="38">
        <v>117</v>
      </c>
      <c r="J160" s="38">
        <v>264</v>
      </c>
      <c r="K160" s="38" t="s">
        <v>120</v>
      </c>
      <c r="L160" s="38">
        <v>98145.697988</v>
      </c>
      <c r="M160" s="38">
        <v>13511.669368999999</v>
      </c>
      <c r="N160" s="38" t="s">
        <v>120</v>
      </c>
      <c r="O160" s="38" t="s">
        <v>120</v>
      </c>
      <c r="P160" s="38" t="s">
        <v>120</v>
      </c>
      <c r="Q160" s="38" t="s">
        <v>120</v>
      </c>
      <c r="R160" s="38" t="s">
        <v>120</v>
      </c>
      <c r="S160" s="38" t="s">
        <v>120</v>
      </c>
      <c r="T160" s="38">
        <v>2921</v>
      </c>
      <c r="V160" s="81">
        <v>2761</v>
      </c>
      <c r="W160" s="38">
        <f t="shared" si="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E4E3-7AA5-412E-9D11-DE8360189278}">
  <dimension ref="B2:B22"/>
  <sheetViews>
    <sheetView showGridLines="0" showRowColHeaders="0" zoomScale="115" zoomScaleNormal="115" workbookViewId="0">
      <selection activeCell="B7" sqref="B7"/>
    </sheetView>
  </sheetViews>
  <sheetFormatPr defaultColWidth="11.3984375" defaultRowHeight="16.5" x14ac:dyDescent="0.45"/>
  <cols>
    <col min="1" max="1" width="2.73046875" style="80" customWidth="1"/>
    <col min="2" max="2" width="63.86328125" style="80" customWidth="1"/>
    <col min="3" max="16384" width="11.3984375" style="80"/>
  </cols>
  <sheetData>
    <row r="2" spans="2:2" x14ac:dyDescent="0.45">
      <c r="B2" s="82" t="s">
        <v>475</v>
      </c>
    </row>
    <row r="3" spans="2:2" x14ac:dyDescent="0.45">
      <c r="B3" s="83" t="s">
        <v>476</v>
      </c>
    </row>
    <row r="4" spans="2:2" x14ac:dyDescent="0.45">
      <c r="B4" s="83" t="s">
        <v>477</v>
      </c>
    </row>
    <row r="5" spans="2:2" x14ac:dyDescent="0.45">
      <c r="B5" s="82"/>
    </row>
    <row r="6" spans="2:2" x14ac:dyDescent="0.45">
      <c r="B6" s="82" t="s">
        <v>478</v>
      </c>
    </row>
    <row r="7" spans="2:2" x14ac:dyDescent="0.45">
      <c r="B7" s="84" t="s">
        <v>479</v>
      </c>
    </row>
    <row r="22" spans="2:2" x14ac:dyDescent="0.45">
      <c r="B22" s="85" t="s">
        <v>480</v>
      </c>
    </row>
  </sheetData>
  <sheetProtection algorithmName="SHA-512" hashValue="bTceIAnuQBpB8+f6rzttpkszPIc8jELrlfCRKErPltUjte8lOzcd5XNQgb2o9GYWOc1rapIGzlpccuIQ5ZvneQ==" saltValue="rlLEvjSGVDIHlX8xFrO/6Q==" spinCount="100000" sheet="1" objects="1" scenarios="1" selectLockedCells="1"/>
  <hyperlinks>
    <hyperlink ref="B3" r:id="rId1" xr:uid="{466171FE-1EB2-4662-95C3-37AF504F581E}"/>
    <hyperlink ref="B4" r:id="rId2" xr:uid="{9F850344-2DCA-4F13-9782-5A35EA1F062D}"/>
    <hyperlink ref="B7" r:id="rId3" xr:uid="{704FBB17-86B3-4E7A-A53C-2ED1D2E3018D}"/>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Intro</vt:lpstr>
      <vt:lpstr>tc y Morf.</vt:lpstr>
      <vt:lpstr>BasinTemp</vt:lpstr>
      <vt:lpstr>RiverTemp</vt:lpstr>
      <vt:lpstr>Temp</vt:lpstr>
      <vt:lpstr>{R}</vt:lpstr>
      <vt:lpstr>tc,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WILLIAM RICARDO AGUILAR PIÑA</cp:lastModifiedBy>
  <dcterms:created xsi:type="dcterms:W3CDTF">2017-05-02T21:15:48Z</dcterms:created>
  <dcterms:modified xsi:type="dcterms:W3CDTF">2026-04-15T22:18:47Z</dcterms:modified>
</cp:coreProperties>
</file>