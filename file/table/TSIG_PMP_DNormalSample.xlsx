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william_aguilar_escuelaing_edu_co/Documents/ECIJG.ClassSourcecode/HIDG/HIDG0015/"/>
    </mc:Choice>
  </mc:AlternateContent>
  <xr:revisionPtr revIDLastSave="35" documentId="13_ncr:1_{C6CB1C59-D03E-4698-8C08-94B2116891FF}" xr6:coauthVersionLast="47" xr6:coauthVersionMax="47" xr10:uidLastSave="{519DB35F-3F0C-4989-A95C-CD1D6318523E}"/>
  <bookViews>
    <workbookView xWindow="-120" yWindow="-120" windowWidth="29040" windowHeight="15720" xr2:uid="{BA115A2C-0B8B-4B69-A382-67C7C11BB616}"/>
  </bookViews>
  <sheets>
    <sheet name="D.Normal" sheetId="1" r:id="rId1"/>
    <sheet name="a25020230" sheetId="4" r:id="rId2"/>
  </sheets>
  <definedNames>
    <definedName name="P">D.Normal!$C$5</definedName>
    <definedName name="Tr">D.Normal!$C$4</definedName>
    <definedName name="W">D.Normal!$C$6</definedName>
    <definedName name="z">D.Normal!$C$7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D14" i="1" s="1"/>
  <c r="E17" i="1"/>
  <c r="F17" i="1" s="1"/>
  <c r="E25" i="1"/>
  <c r="F25" i="1" s="1"/>
  <c r="E26" i="1"/>
  <c r="F26" i="1" s="1"/>
  <c r="C15" i="1"/>
  <c r="D15" i="1" s="1"/>
  <c r="E15" i="1" s="1"/>
  <c r="F15" i="1" s="1"/>
  <c r="C16" i="1"/>
  <c r="D16" i="1" s="1"/>
  <c r="E16" i="1" s="1"/>
  <c r="F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E23" i="1" l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29" i="1"/>
  <c r="F29" i="1" s="1"/>
  <c r="E28" i="1"/>
  <c r="F28" i="1" s="1"/>
  <c r="E27" i="1"/>
  <c r="F27" i="1" s="1"/>
  <c r="E24" i="1"/>
  <c r="F24" i="1" s="1"/>
  <c r="E14" i="1"/>
  <c r="F14" i="1" s="1"/>
  <c r="C5" i="1"/>
  <c r="C6" i="1" l="1"/>
  <c r="C7" i="1" l="1"/>
  <c r="C10" i="1" s="1"/>
</calcChain>
</file>

<file path=xl/sharedStrings.xml><?xml version="1.0" encoding="utf-8"?>
<sst xmlns="http://schemas.openxmlformats.org/spreadsheetml/2006/main" count="36" uniqueCount="33">
  <si>
    <t>Parametro W, 0 &lt;= P &lt;=0.5</t>
  </si>
  <si>
    <t>Probabilidad de ocurrencia</t>
  </si>
  <si>
    <t>Periodo de retorno años</t>
  </si>
  <si>
    <t>Tr:</t>
  </si>
  <si>
    <t>P:</t>
  </si>
  <si>
    <t>W:</t>
  </si>
  <si>
    <t>z:</t>
  </si>
  <si>
    <t>Xbarra:</t>
  </si>
  <si>
    <t>DvStd:</t>
  </si>
  <si>
    <t>Valor estimado para el periodo de retorno</t>
  </si>
  <si>
    <t>Tr</t>
  </si>
  <si>
    <t>P</t>
  </si>
  <si>
    <t>W</t>
  </si>
  <si>
    <t>z</t>
  </si>
  <si>
    <t>Varible centrada recucida</t>
  </si>
  <si>
    <t>Media</t>
  </si>
  <si>
    <t>Desviacion estandar</t>
  </si>
  <si>
    <t>pt</t>
  </si>
  <si>
    <t>XTrDNormal</t>
  </si>
  <si>
    <t>#</t>
  </si>
  <si>
    <t>XTrGumbel</t>
  </si>
  <si>
    <t>XTrLogGumbel</t>
  </si>
  <si>
    <t>Var</t>
  </si>
  <si>
    <t>Valor</t>
  </si>
  <si>
    <t>Descripción</t>
  </si>
  <si>
    <r>
      <t>X</t>
    </r>
    <r>
      <rPr>
        <vertAlign val="subscript"/>
        <sz val="11"/>
        <color theme="1"/>
        <rFont val="Segoe UI Light"/>
        <family val="2"/>
      </rPr>
      <t>Tr</t>
    </r>
    <r>
      <rPr>
        <sz val="11"/>
        <color theme="1"/>
        <rFont val="Segoe UI Light"/>
        <family val="2"/>
      </rPr>
      <t>:</t>
    </r>
  </si>
  <si>
    <r>
      <t>X</t>
    </r>
    <r>
      <rPr>
        <vertAlign val="subscript"/>
        <sz val="11"/>
        <color theme="1"/>
        <rFont val="Segoe UI Light"/>
        <family val="2"/>
      </rPr>
      <t>Tr</t>
    </r>
  </si>
  <si>
    <t>Distribucion normalizada estándar</t>
  </si>
  <si>
    <t>Valor estimado para diferentes periodos de retorno</t>
  </si>
  <si>
    <t>Normal</t>
  </si>
  <si>
    <t>Gumbel</t>
  </si>
  <si>
    <t>Log-Gumbel</t>
  </si>
  <si>
    <t>Precipitación para diferentes periodos de retorno y distribuciones de probabilidad. Estación IDEAM 25020230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</si>
</sst>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1"/>
      <color rgb="FF0070C0"/>
      <name val="Segoe UI Light"/>
      <family val="2"/>
    </font>
    <font>
      <vertAlign val="subscript"/>
      <sz val="11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thin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indexed="64"/>
      </right>
      <top style="thin">
        <color indexed="64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indexed="64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 style="thin">
        <color indexed="64"/>
      </right>
      <top style="hair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2" borderId="11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15" xfId="0" applyFont="1" applyFill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a25020230!$B$2</c:f>
          <c:strCache>
            <c:ptCount val="1"/>
            <c:pt idx="0">
              <c:v>Precipitación para diferentes periodos de retorno y distribuciones de probabilidad. Estación IDEAM 25020230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08016233653613"/>
          <c:y val="0.12841557274290052"/>
          <c:w val="0.86202319423728424"/>
          <c:h val="0.7358419528611693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a25020230!$G$4</c:f>
              <c:strCache>
                <c:ptCount val="1"/>
                <c:pt idx="0">
                  <c:v>XTrDNormal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a25020230!$C$5:$C$20</c:f>
              <c:numCache>
                <c:formatCode>General</c:formatCode>
                <c:ptCount val="16"/>
                <c:pt idx="0">
                  <c:v>2</c:v>
                </c:pt>
                <c:pt idx="1">
                  <c:v>2.33</c:v>
                </c:pt>
                <c:pt idx="2">
                  <c:v>3</c:v>
                </c:pt>
                <c:pt idx="3">
                  <c:v>3.33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200</c:v>
                </c:pt>
                <c:pt idx="13">
                  <c:v>250</c:v>
                </c:pt>
                <c:pt idx="14">
                  <c:v>500</c:v>
                </c:pt>
                <c:pt idx="15">
                  <c:v>1000</c:v>
                </c:pt>
              </c:numCache>
            </c:numRef>
          </c:xVal>
          <c:yVal>
            <c:numRef>
              <c:f>a25020230!$G$5:$G$20</c:f>
              <c:numCache>
                <c:formatCode>General</c:formatCode>
                <c:ptCount val="16"/>
                <c:pt idx="0">
                  <c:v>75.478200000000001</c:v>
                </c:pt>
                <c:pt idx="1">
                  <c:v>85.749260000000007</c:v>
                </c:pt>
                <c:pt idx="2">
                  <c:v>101.25405000000001</c:v>
                </c:pt>
                <c:pt idx="3">
                  <c:v>107.25154000000001</c:v>
                </c:pt>
                <c:pt idx="4">
                  <c:v>129.06943999999999</c:v>
                </c:pt>
                <c:pt idx="5">
                  <c:v>162.79741999999999</c:v>
                </c:pt>
                <c:pt idx="6">
                  <c:v>181.35482999999999</c:v>
                </c:pt>
                <c:pt idx="7">
                  <c:v>194.18415999999999</c:v>
                </c:pt>
                <c:pt idx="8">
                  <c:v>203.98510999999999</c:v>
                </c:pt>
                <c:pt idx="9">
                  <c:v>233.79863</c:v>
                </c:pt>
                <c:pt idx="10">
                  <c:v>250.90537</c:v>
                </c:pt>
                <c:pt idx="11">
                  <c:v>262.93006000000003</c:v>
                </c:pt>
                <c:pt idx="12">
                  <c:v>291.60082</c:v>
                </c:pt>
                <c:pt idx="13">
                  <c:v>300.75619999999998</c:v>
                </c:pt>
                <c:pt idx="14">
                  <c:v>329.01351</c:v>
                </c:pt>
                <c:pt idx="15">
                  <c:v>357.04910000000001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34-459B-B9E7-1BECC38A4F52}"/>
            </c:ext>
          </c:extLst>
        </c:ser>
        <c:ser>
          <c:idx val="1"/>
          <c:order val="1"/>
          <c:tx>
            <c:strRef>
              <c:f>a25020230!$H$4</c:f>
              <c:strCache>
                <c:ptCount val="1"/>
                <c:pt idx="0">
                  <c:v>XTrGumbel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a25020230!$C$5:$C$20</c:f>
              <c:numCache>
                <c:formatCode>General</c:formatCode>
                <c:ptCount val="16"/>
                <c:pt idx="0">
                  <c:v>2</c:v>
                </c:pt>
                <c:pt idx="1">
                  <c:v>2.33</c:v>
                </c:pt>
                <c:pt idx="2">
                  <c:v>3</c:v>
                </c:pt>
                <c:pt idx="3">
                  <c:v>3.33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200</c:v>
                </c:pt>
                <c:pt idx="13">
                  <c:v>250</c:v>
                </c:pt>
                <c:pt idx="14">
                  <c:v>500</c:v>
                </c:pt>
                <c:pt idx="15">
                  <c:v>1000</c:v>
                </c:pt>
              </c:numCache>
            </c:numRef>
          </c:xVal>
          <c:yVal>
            <c:numRef>
              <c:f>a25020230!$H$5:$H$20</c:f>
              <c:numCache>
                <c:formatCode>General</c:formatCode>
                <c:ptCount val="16"/>
                <c:pt idx="0">
                  <c:v>116.84869999999999</c:v>
                </c:pt>
                <c:pt idx="1">
                  <c:v>123.2525</c:v>
                </c:pt>
                <c:pt idx="2">
                  <c:v>133.03980000000001</c:v>
                </c:pt>
                <c:pt idx="3">
                  <c:v>136.8749</c:v>
                </c:pt>
                <c:pt idx="4">
                  <c:v>151.07329999999999</c:v>
                </c:pt>
                <c:pt idx="5">
                  <c:v>173.733</c:v>
                </c:pt>
                <c:pt idx="6">
                  <c:v>186.51730000000001</c:v>
                </c:pt>
                <c:pt idx="7">
                  <c:v>195.46870000000001</c:v>
                </c:pt>
                <c:pt idx="8">
                  <c:v>202.36349999999999</c:v>
                </c:pt>
                <c:pt idx="9">
                  <c:v>223.60329999999999</c:v>
                </c:pt>
                <c:pt idx="10">
                  <c:v>235.9486</c:v>
                </c:pt>
                <c:pt idx="11">
                  <c:v>244.68620000000001</c:v>
                </c:pt>
                <c:pt idx="12">
                  <c:v>265.69220000000001</c:v>
                </c:pt>
                <c:pt idx="13">
                  <c:v>272.44540000000001</c:v>
                </c:pt>
                <c:pt idx="14">
                  <c:v>293.40570000000002</c:v>
                </c:pt>
                <c:pt idx="15">
                  <c:v>314.35090000000002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34-459B-B9E7-1BECC38A4F52}"/>
            </c:ext>
          </c:extLst>
        </c:ser>
        <c:ser>
          <c:idx val="2"/>
          <c:order val="2"/>
          <c:tx>
            <c:strRef>
              <c:f>a25020230!$I$4</c:f>
              <c:strCache>
                <c:ptCount val="1"/>
                <c:pt idx="0">
                  <c:v>XTrLogGumbel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a25020230!$C$5:$C$20</c:f>
              <c:numCache>
                <c:formatCode>General</c:formatCode>
                <c:ptCount val="16"/>
                <c:pt idx="0">
                  <c:v>2</c:v>
                </c:pt>
                <c:pt idx="1">
                  <c:v>2.33</c:v>
                </c:pt>
                <c:pt idx="2">
                  <c:v>3</c:v>
                </c:pt>
                <c:pt idx="3">
                  <c:v>3.33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200</c:v>
                </c:pt>
                <c:pt idx="13">
                  <c:v>250</c:v>
                </c:pt>
                <c:pt idx="14">
                  <c:v>500</c:v>
                </c:pt>
                <c:pt idx="15">
                  <c:v>1000</c:v>
                </c:pt>
              </c:numCache>
            </c:numRef>
          </c:xVal>
          <c:yVal>
            <c:numRef>
              <c:f>a25020230!$I$5:$I$20</c:f>
              <c:numCache>
                <c:formatCode>General</c:formatCode>
                <c:ptCount val="16"/>
                <c:pt idx="0">
                  <c:v>92.759889999999999</c:v>
                </c:pt>
                <c:pt idx="1">
                  <c:v>98.868139999999997</c:v>
                </c:pt>
                <c:pt idx="2">
                  <c:v>108.99001</c:v>
                </c:pt>
                <c:pt idx="3">
                  <c:v>113.23309</c:v>
                </c:pt>
                <c:pt idx="4">
                  <c:v>130.43108000000001</c:v>
                </c:pt>
                <c:pt idx="5">
                  <c:v>163.44956999999999</c:v>
                </c:pt>
                <c:pt idx="6">
                  <c:v>185.64193</c:v>
                </c:pt>
                <c:pt idx="7">
                  <c:v>202.95060000000001</c:v>
                </c:pt>
                <c:pt idx="8">
                  <c:v>217.37542999999999</c:v>
                </c:pt>
                <c:pt idx="9">
                  <c:v>268.57906000000003</c:v>
                </c:pt>
                <c:pt idx="10">
                  <c:v>303.71460000000002</c:v>
                </c:pt>
                <c:pt idx="11">
                  <c:v>331.32603</c:v>
                </c:pt>
                <c:pt idx="12">
                  <c:v>408.41930000000002</c:v>
                </c:pt>
                <c:pt idx="13">
                  <c:v>436.83096999999998</c:v>
                </c:pt>
                <c:pt idx="14">
                  <c:v>538.22825</c:v>
                </c:pt>
                <c:pt idx="15">
                  <c:v>663.06181000000004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34-459B-B9E7-1BECC38A4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277760"/>
        <c:axId val="264498736"/>
      </c:scatterChart>
      <c:valAx>
        <c:axId val="56227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264498736"/>
        <c:crosses val="autoZero"/>
        <c:crossBetween val="midCat"/>
        <c:majorUnit val="100"/>
        <c:minorUnit val="10"/>
      </c:valAx>
      <c:valAx>
        <c:axId val="26449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n-US"/>
                  <a:t>P,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562277760"/>
        <c:crosses val="autoZero"/>
        <c:crossBetween val="midCat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172382</xdr:colOff>
      <xdr:row>0</xdr:row>
      <xdr:rowOff>187910</xdr:rowOff>
    </xdr:from>
    <xdr:to>
      <xdr:col>17</xdr:col>
      <xdr:colOff>408023</xdr:colOff>
      <xdr:row>14</xdr:row>
      <xdr:rowOff>114607</xdr:rowOff>
    </xdr:to>
    <xdr:pic>
      <xdr:nvPicPr>
        <xdr:cNvPr id="2" name="Imagen 1" descr="https://attachments.office.net/owa/william.aguilar@escuelaing.edu.co/service.svc/s/GetAttachmentThumbnail?id=AAMkADc3Yzk4OWJmLWEyNDgtNDYwYy04NmIxLWEyYTNkMDdmMzY1MQBGAAAAAACmcYIy9%2BZST7%2BHrjQbYTJ2BwCyvFUjIzHARqPEdJB%2B%2BEOuAGZm4qveAAC7en2FB6wnSIt4QPVExmk1AASBSxLdAAABEgAQAEK9CIVh0yRAhY7E1iVQxE0%3D&amp;thumbnailType=2&amp;owa=outlook.office.com&amp;scriptVer=2019042903.05&amp;X-OWA-CANARY=W-fCqkLz006Vs0sPpwAR7DCYh_1F09YYppqdu7E3-kP6efr5_39XotYJp3wxSya4zoCqw9YfS38.&amp;token=eyJhbGciOiJSUzI1NiIsImtpZCI6IjA2MDBGOUY2NzQ2MjA3MzdFNzM0MDRFMjg3QzQ1QTgxOENCN0NFQjgiLCJ4NXQiOiJCZ0Q1OW5SaUJ6Zm5OQVRpaDhSYWdZeTN6cmciLCJ0eXAiOiJKV1QifQ.eyJ2ZXIiOiJFeGNoYW5nZS5DYWxsYmFjay5WMSIsImFwcGN0eHNlbmRlciI6Ik93YURvd25sb2FkQDUwNjQwNTg0LTJhNDAtNDIxNi1hODRiLTliM2VlMGYzZjZjZiIsImFwcGN0eCI6IntcIm1zZXhjaHByb3RcIjpcIm93YVwiLFwicHJpbWFyeXNpZFwiOlwiUy0xLTUtMjEtMzU0MjcwNjIzMS0yOTk3MzI5MzA4LTE5NDQ2NTk4MTctMTExMzQ3NlwiLFwicHVpZFwiOlwiMTE1Mzk3NzAyNTE5NDQ1Njg3N1wiLFwib2lkXCI6XCIyNTUzOGM1Mi1iMTk2LTQ5ZmMtOTAyNS0yZGQ4NmE1NGYxOGFcIixcInNjb3BlXCI6XCJPd2FEb3dubG9hZFwifSIsIm5iZiI6MTU1NzI3MjY4MCwiZXhwIjoxNTU3MjczMjgwLCJpc3MiOiIwMDAwMDAwMi0wMDAwLTBmZjEtY2UwMC0wMDAwMDAwMDAwMDBANTA2NDA1ODQtMmE0MC00MjE2LWE4NGItOWIzZWUwZjNmNmNmIiwiYXVkIjoiMDAwMDAwMDItMDAwMC0wZmYxLWNlMDAtMDAwMDAwMDAwMDAwL2F0dGFjaG1lbnRzLm9mZmljZS5uZXRANTA2NDA1ODQtMmE0MC00MjE2LWE4NGItOWIzZWUwZjNmNmNmIn0.qWaBYf04HGKOniEiYthZ9RHJ-CmAulNmxQmHKWdrsjqUPxzGxZnXKS7czPE7ehE-oGlR_2GoerIiFy73xunXy7j8EjfD7aEuYORrFQ2KrwkcUZMAzCtcntX_7RvjZXWqLBC9qYAHkmyB90nbocLhAYlWD42t66E1VT8vbvSaHjXrfhixPuBmxSD1XRWSnRPibQn5fk8-XvC20hwP__XkqxJSlCyqS6D4yKeehbw4MUQOVofmWTQGW6dc7ElosjfquN4xWltZIbYgt4r3j332auCfUzDXZELJZpWQTk9de0xfeimytEpL09B1C2DCtWFOZYSJCjxqvd9lMyFnBCtBig&amp;animation=tru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0012" y="187910"/>
          <a:ext cx="7093641" cy="2981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200025</xdr:colOff>
          <xdr:row>16</xdr:row>
          <xdr:rowOff>85725</xdr:rowOff>
        </xdr:from>
        <xdr:to>
          <xdr:col>10</xdr:col>
          <xdr:colOff>200025</xdr:colOff>
          <xdr:row>17</xdr:row>
          <xdr:rowOff>185944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18</xdr:row>
          <xdr:rowOff>190500</xdr:rowOff>
        </xdr:from>
        <xdr:to>
          <xdr:col>14</xdr:col>
          <xdr:colOff>104775</xdr:colOff>
          <xdr:row>25</xdr:row>
          <xdr:rowOff>170208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132521</xdr:colOff>
      <xdr:row>27</xdr:row>
      <xdr:rowOff>91107</xdr:rowOff>
    </xdr:from>
    <xdr:to>
      <xdr:col>19</xdr:col>
      <xdr:colOff>103449</xdr:colOff>
      <xdr:row>29</xdr:row>
      <xdr:rowOff>110429</xdr:rowOff>
    </xdr:to>
    <xdr:sp macro="" textlink="">
      <xdr:nvSpPr>
        <xdr:cNvPr id="5" name="CuadroTexto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90151" y="5681868"/>
          <a:ext cx="8352928" cy="43345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CO" sz="1000">
              <a:solidFill>
                <a:srgbClr val="C000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Si P &gt; 0.5, se utiliza 1-</a:t>
          </a:r>
          <a:r>
            <a:rPr lang="es-CO" sz="1000" b="1">
              <a:solidFill>
                <a:srgbClr val="C000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P</a:t>
          </a:r>
          <a:r>
            <a:rPr lang="es-CO" sz="1000" b="1" baseline="-25000">
              <a:solidFill>
                <a:srgbClr val="C000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≥ </a:t>
          </a:r>
          <a:r>
            <a:rPr lang="es-CO" sz="1000">
              <a:solidFill>
                <a:srgbClr val="C000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en lugar de </a:t>
          </a:r>
          <a:r>
            <a:rPr lang="es-CO" sz="1000" b="1">
              <a:solidFill>
                <a:srgbClr val="C000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P</a:t>
          </a:r>
          <a:r>
            <a:rPr lang="es-CO" sz="1000" b="1" baseline="-25000">
              <a:solidFill>
                <a:srgbClr val="C000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≥</a:t>
          </a:r>
        </a:p>
        <a:p>
          <a:r>
            <a:rPr lang="es-CO" sz="1000">
              <a:latin typeface="Segoe UI Light" panose="020B0502040204020203" pitchFamily="34" charset="0"/>
              <a:cs typeface="Segoe UI Light" panose="020B0502040204020203" pitchFamily="34" charset="0"/>
            </a:rPr>
            <a:t>Esta expresión calcula los valores de Z con un error estimado de </a:t>
          </a:r>
          <a:r>
            <a:rPr lang="el-GR" sz="1000">
              <a:latin typeface="Segoe UI Light" panose="020B0502040204020203" pitchFamily="34" charset="0"/>
              <a:cs typeface="Segoe UI Light" panose="020B0502040204020203" pitchFamily="34" charset="0"/>
            </a:rPr>
            <a:t>ε</a:t>
          </a:r>
          <a:r>
            <a:rPr lang="es-CO" sz="1000">
              <a:latin typeface="Segoe UI Light" panose="020B0502040204020203" pitchFamily="34" charset="0"/>
              <a:cs typeface="Segoe UI Light" panose="020B0502040204020203" pitchFamily="34" charset="0"/>
            </a:rPr>
            <a:t> = 0.00045: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238124</xdr:colOff>
      <xdr:row>1</xdr:row>
      <xdr:rowOff>176211</xdr:rowOff>
    </xdr:from>
    <xdr:to>
      <xdr:col>18</xdr:col>
      <xdr:colOff>665849</xdr:colOff>
      <xdr:row>27</xdr:row>
      <xdr:rowOff>127911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9A9C-86CB-4F51-BA9D-301340732748}">
  <dimension ref="B2:F29"/>
  <sheetViews>
    <sheetView showGridLines="0" showRowColHeaders="0" tabSelected="1" zoomScale="115" zoomScaleNormal="115" workbookViewId="0"/>
  </sheetViews>
  <sheetFormatPr defaultColWidth="11.42578125" defaultRowHeight="16.5" x14ac:dyDescent="0.3"/>
  <cols>
    <col min="1" max="1" width="2.7109375" style="2" customWidth="1"/>
    <col min="2" max="6" width="15" style="2" customWidth="1"/>
    <col min="7" max="8" width="2.7109375" style="2" customWidth="1"/>
    <col min="9" max="16384" width="11.42578125" style="2"/>
  </cols>
  <sheetData>
    <row r="2" spans="2:6" x14ac:dyDescent="0.3">
      <c r="B2" s="1" t="s">
        <v>27</v>
      </c>
      <c r="C2" s="1"/>
      <c r="D2" s="1"/>
      <c r="E2" s="1"/>
      <c r="F2" s="1"/>
    </row>
    <row r="3" spans="2:6" x14ac:dyDescent="0.3">
      <c r="B3" s="5" t="s">
        <v>22</v>
      </c>
      <c r="C3" s="6" t="s">
        <v>23</v>
      </c>
      <c r="D3" s="13" t="s">
        <v>24</v>
      </c>
      <c r="E3" s="13"/>
      <c r="F3" s="14"/>
    </row>
    <row r="4" spans="2:6" x14ac:dyDescent="0.3">
      <c r="B4" s="7" t="s">
        <v>3</v>
      </c>
      <c r="C4" s="4">
        <v>100</v>
      </c>
      <c r="D4" s="15" t="s">
        <v>2</v>
      </c>
      <c r="E4" s="15"/>
      <c r="F4" s="16"/>
    </row>
    <row r="5" spans="2:6" x14ac:dyDescent="0.3">
      <c r="B5" s="7" t="s">
        <v>4</v>
      </c>
      <c r="C5" s="3">
        <f>(1/C4)</f>
        <v>0.01</v>
      </c>
      <c r="D5" s="15" t="s">
        <v>1</v>
      </c>
      <c r="E5" s="15"/>
      <c r="F5" s="16"/>
    </row>
    <row r="6" spans="2:6" x14ac:dyDescent="0.3">
      <c r="B6" s="7" t="s">
        <v>5</v>
      </c>
      <c r="C6" s="3">
        <f>(LN(1/P)^2)^0.5</f>
        <v>4.6051701859880918</v>
      </c>
      <c r="D6" s="15" t="s">
        <v>0</v>
      </c>
      <c r="E6" s="15"/>
      <c r="F6" s="16"/>
    </row>
    <row r="7" spans="2:6" x14ac:dyDescent="0.3">
      <c r="B7" s="7" t="s">
        <v>6</v>
      </c>
      <c r="C7" s="3">
        <f>IF(P&lt;=0.5,(W-((2.515517+0.802853*W+0.010328*W^2)/(1+1.432788*W+0.189269*W^2+0.001308*W^3))),1-P)</f>
        <v>4.0573108310040897</v>
      </c>
      <c r="D7" s="15" t="s">
        <v>14</v>
      </c>
      <c r="E7" s="15"/>
      <c r="F7" s="16"/>
    </row>
    <row r="8" spans="2:6" x14ac:dyDescent="0.3">
      <c r="B8" s="7" t="s">
        <v>7</v>
      </c>
      <c r="C8" s="4">
        <v>109.066666666667</v>
      </c>
      <c r="D8" s="15" t="s">
        <v>15</v>
      </c>
      <c r="E8" s="15"/>
      <c r="F8" s="16"/>
    </row>
    <row r="9" spans="2:6" x14ac:dyDescent="0.3">
      <c r="B9" s="7" t="s">
        <v>8</v>
      </c>
      <c r="C9" s="4">
        <v>36.410592251021001</v>
      </c>
      <c r="D9" s="15" t="s">
        <v>16</v>
      </c>
      <c r="E9" s="15"/>
      <c r="F9" s="16"/>
    </row>
    <row r="10" spans="2:6" x14ac:dyDescent="0.3">
      <c r="B10" s="8" t="s">
        <v>25</v>
      </c>
      <c r="C10" s="11">
        <f>C8+C7*C9</f>
        <v>256.79575697000809</v>
      </c>
      <c r="D10" s="17" t="s">
        <v>9</v>
      </c>
      <c r="E10" s="17"/>
      <c r="F10" s="18"/>
    </row>
    <row r="12" spans="2:6" x14ac:dyDescent="0.3">
      <c r="B12" s="2" t="s">
        <v>28</v>
      </c>
    </row>
    <row r="13" spans="2:6" x14ac:dyDescent="0.3">
      <c r="B13" s="5" t="s">
        <v>10</v>
      </c>
      <c r="C13" s="6" t="s">
        <v>11</v>
      </c>
      <c r="D13" s="6" t="s">
        <v>12</v>
      </c>
      <c r="E13" s="6" t="s">
        <v>13</v>
      </c>
      <c r="F13" s="9" t="s">
        <v>26</v>
      </c>
    </row>
    <row r="14" spans="2:6" x14ac:dyDescent="0.3">
      <c r="B14" s="7">
        <v>2</v>
      </c>
      <c r="C14" s="3">
        <f t="shared" ref="C14:C29" si="0">1/B14</f>
        <v>0.5</v>
      </c>
      <c r="D14" s="3">
        <f t="shared" ref="D14:D29" si="1">(LN(1/C14)^2)^0.5</f>
        <v>0.69314718055994529</v>
      </c>
      <c r="E14" s="3">
        <f>IF(C14&lt;=0.5,(D14-((2.515517+0.802853*D14+0.010328*D14^2)/(1+1.432788*D14+0.189269*D14^2+0.001308*D14^3))),1-C14)</f>
        <v>-0.78297148739317557</v>
      </c>
      <c r="F14" s="10">
        <f>$C$8+E14*$C$9</f>
        <v>80.558211095018663</v>
      </c>
    </row>
    <row r="15" spans="2:6" x14ac:dyDescent="0.3">
      <c r="B15" s="7">
        <v>2.33</v>
      </c>
      <c r="C15" s="3">
        <f t="shared" si="0"/>
        <v>0.42918454935622319</v>
      </c>
      <c r="D15" s="3">
        <f t="shared" si="1"/>
        <v>0.84586826757760925</v>
      </c>
      <c r="E15" s="3">
        <f>IF(C15&lt;=0.5,(D15-((2.515517+0.802853*D15+0.010328*D15^2)/(1+1.432788*D15+0.189269*D15^2+0.001308*D15^3))),1-C15)</f>
        <v>-0.51775750851979674</v>
      </c>
      <c r="F15" s="10">
        <f t="shared" ref="F15:F29" si="2">$C$8+E15*$C$9</f>
        <v>90.214809139048157</v>
      </c>
    </row>
    <row r="16" spans="2:6" x14ac:dyDescent="0.3">
      <c r="B16" s="7">
        <v>3</v>
      </c>
      <c r="C16" s="3">
        <f t="shared" si="0"/>
        <v>0.33333333333333331</v>
      </c>
      <c r="D16" s="3">
        <f t="shared" si="1"/>
        <v>1.0986122886681098</v>
      </c>
      <c r="E16" s="3">
        <f>IF(C16&lt;=0.5,(D16-((2.515517+0.802853*D16+0.010328*D16^2)/(1+1.432788*D16+0.189269*D16^2+0.001308*D16^3))),1-C16)</f>
        <v>-0.11740106727352773</v>
      </c>
      <c r="F16" s="10">
        <f t="shared" si="2"/>
        <v>104.79202427633589</v>
      </c>
    </row>
    <row r="17" spans="2:6" x14ac:dyDescent="0.3">
      <c r="B17" s="7">
        <v>3.33</v>
      </c>
      <c r="C17" s="3">
        <f t="shared" si="0"/>
        <v>0.3003003003003003</v>
      </c>
      <c r="D17" s="3">
        <f t="shared" si="1"/>
        <v>1.2029723039923526</v>
      </c>
      <c r="E17" s="3">
        <f>IF(C17&lt;=0.5,(D17-((2.515517+0.802853*D17+0.010328*D17^2)/(1+1.432788*D17+0.189269*D17^2+0.001308*D17^3))),1-C17)</f>
        <v>3.7462702858757524E-2</v>
      </c>
      <c r="F17" s="10">
        <f t="shared" si="2"/>
        <v>110.43070586507838</v>
      </c>
    </row>
    <row r="18" spans="2:6" x14ac:dyDescent="0.3">
      <c r="B18" s="7">
        <v>5</v>
      </c>
      <c r="C18" s="3">
        <f t="shared" si="0"/>
        <v>0.2</v>
      </c>
      <c r="D18" s="3">
        <f t="shared" si="1"/>
        <v>1.6094379124341003</v>
      </c>
      <c r="E18" s="3">
        <f t="shared" ref="E18:E29" si="3">IF(C18&lt;=0.5,(D18-((2.515517+0.802853*D18+0.010328*D18^2)/(1+1.432788*D18+0.189269*D18^2+0.001308*D18^3))),1-C18)</f>
        <v>0.60083290502393538</v>
      </c>
      <c r="F18" s="10">
        <f t="shared" si="2"/>
        <v>130.94334858248993</v>
      </c>
    </row>
    <row r="19" spans="2:6" x14ac:dyDescent="0.3">
      <c r="B19" s="7">
        <v>10</v>
      </c>
      <c r="C19" s="3">
        <f t="shared" si="0"/>
        <v>0.1</v>
      </c>
      <c r="D19" s="3">
        <f t="shared" si="1"/>
        <v>2.3025850929940459</v>
      </c>
      <c r="E19" s="3">
        <f t="shared" si="3"/>
        <v>1.4717390477618904</v>
      </c>
      <c r="F19" s="10">
        <f t="shared" si="2"/>
        <v>162.65355703463112</v>
      </c>
    </row>
    <row r="20" spans="2:6" x14ac:dyDescent="0.3">
      <c r="B20" s="7">
        <v>15</v>
      </c>
      <c r="C20" s="3">
        <f t="shared" si="0"/>
        <v>6.6666666666666666E-2</v>
      </c>
      <c r="D20" s="3">
        <f t="shared" si="1"/>
        <v>2.7080502011022101</v>
      </c>
      <c r="E20" s="3">
        <f t="shared" si="3"/>
        <v>1.9509185268579869</v>
      </c>
      <c r="F20" s="10">
        <f t="shared" si="2"/>
        <v>180.10076566305571</v>
      </c>
    </row>
    <row r="21" spans="2:6" x14ac:dyDescent="0.3">
      <c r="B21" s="7">
        <v>20</v>
      </c>
      <c r="C21" s="3">
        <f t="shared" si="0"/>
        <v>0.05</v>
      </c>
      <c r="D21" s="3">
        <f t="shared" si="1"/>
        <v>2.9957322735539909</v>
      </c>
      <c r="E21" s="3">
        <f t="shared" si="3"/>
        <v>2.2821907743135652</v>
      </c>
      <c r="F21" s="10">
        <f t="shared" si="2"/>
        <v>192.16258438924012</v>
      </c>
    </row>
    <row r="22" spans="2:6" x14ac:dyDescent="0.3">
      <c r="B22" s="7">
        <v>25</v>
      </c>
      <c r="C22" s="3">
        <f t="shared" si="0"/>
        <v>0.04</v>
      </c>
      <c r="D22" s="3">
        <f t="shared" si="1"/>
        <v>3.2188758248682006</v>
      </c>
      <c r="E22" s="3">
        <f t="shared" si="3"/>
        <v>2.535265551554966</v>
      </c>
      <c r="F22" s="10">
        <f t="shared" si="2"/>
        <v>201.37718691239473</v>
      </c>
    </row>
    <row r="23" spans="2:6" x14ac:dyDescent="0.3">
      <c r="B23" s="7">
        <v>50</v>
      </c>
      <c r="C23" s="3">
        <f t="shared" si="0"/>
        <v>0.02</v>
      </c>
      <c r="D23" s="3">
        <f t="shared" si="1"/>
        <v>3.912023005428146</v>
      </c>
      <c r="E23" s="3">
        <f t="shared" si="3"/>
        <v>3.3050944743896089</v>
      </c>
      <c r="F23" s="10">
        <f t="shared" si="2"/>
        <v>229.40711392476965</v>
      </c>
    </row>
    <row r="24" spans="2:6" x14ac:dyDescent="0.3">
      <c r="B24" s="7">
        <v>75</v>
      </c>
      <c r="C24" s="3">
        <f t="shared" si="0"/>
        <v>1.3333333333333334E-2</v>
      </c>
      <c r="D24" s="3">
        <f t="shared" si="1"/>
        <v>4.3174881135363101</v>
      </c>
      <c r="E24" s="3">
        <f t="shared" si="3"/>
        <v>3.7468156076254773</v>
      </c>
      <c r="F24" s="10">
        <f t="shared" si="2"/>
        <v>245.49044199567976</v>
      </c>
    </row>
    <row r="25" spans="2:6" x14ac:dyDescent="0.3">
      <c r="B25" s="7">
        <v>100</v>
      </c>
      <c r="C25" s="3">
        <f t="shared" si="0"/>
        <v>0.01</v>
      </c>
      <c r="D25" s="3">
        <f t="shared" si="1"/>
        <v>4.6051701859880918</v>
      </c>
      <c r="E25" s="3">
        <f t="shared" si="3"/>
        <v>4.0573108310040897</v>
      </c>
      <c r="F25" s="10">
        <f t="shared" si="2"/>
        <v>256.79575697000809</v>
      </c>
    </row>
    <row r="26" spans="2:6" x14ac:dyDescent="0.3">
      <c r="B26" s="7">
        <v>200</v>
      </c>
      <c r="C26" s="3">
        <f t="shared" si="0"/>
        <v>5.0000000000000001E-3</v>
      </c>
      <c r="D26" s="3">
        <f t="shared" si="1"/>
        <v>5.2983173665480363</v>
      </c>
      <c r="E26" s="3">
        <f t="shared" si="3"/>
        <v>4.797631845745097</v>
      </c>
      <c r="F26" s="10">
        <f t="shared" si="2"/>
        <v>283.75128357260502</v>
      </c>
    </row>
    <row r="27" spans="2:6" x14ac:dyDescent="0.3">
      <c r="B27" s="7">
        <v>250</v>
      </c>
      <c r="C27" s="3">
        <f t="shared" si="0"/>
        <v>4.0000000000000001E-3</v>
      </c>
      <c r="D27" s="3">
        <f t="shared" si="1"/>
        <v>5.521460917862246</v>
      </c>
      <c r="E27" s="3">
        <f t="shared" si="3"/>
        <v>5.0340371506186363</v>
      </c>
      <c r="F27" s="10">
        <f t="shared" si="2"/>
        <v>292.35894073433377</v>
      </c>
    </row>
    <row r="28" spans="2:6" x14ac:dyDescent="0.3">
      <c r="B28" s="7">
        <v>500</v>
      </c>
      <c r="C28" s="3">
        <f t="shared" si="0"/>
        <v>2E-3</v>
      </c>
      <c r="D28" s="3">
        <f t="shared" si="1"/>
        <v>6.2146080984221914</v>
      </c>
      <c r="E28" s="3">
        <f t="shared" si="3"/>
        <v>5.7636825541294687</v>
      </c>
      <c r="F28" s="10">
        <f t="shared" si="2"/>
        <v>318.92576200939834</v>
      </c>
    </row>
    <row r="29" spans="2:6" x14ac:dyDescent="0.3">
      <c r="B29" s="8">
        <v>1000</v>
      </c>
      <c r="C29" s="11">
        <f t="shared" si="0"/>
        <v>1E-3</v>
      </c>
      <c r="D29" s="11">
        <f t="shared" si="1"/>
        <v>6.9077552789821368</v>
      </c>
      <c r="E29" s="11">
        <f t="shared" si="3"/>
        <v>6.4876024033619624</v>
      </c>
      <c r="F29" s="12">
        <f t="shared" si="2"/>
        <v>345.28411246222333</v>
      </c>
    </row>
  </sheetData>
  <mergeCells count="9">
    <mergeCell ref="D8:F8"/>
    <mergeCell ref="D9:F9"/>
    <mergeCell ref="D10:F10"/>
    <mergeCell ref="B2:F2"/>
    <mergeCell ref="D4:F4"/>
    <mergeCell ref="D3:F3"/>
    <mergeCell ref="D5:F5"/>
    <mergeCell ref="D6:F6"/>
    <mergeCell ref="D7:F7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1026" r:id="rId4">
          <objectPr defaultSize="0" autoPict="0" r:id="rId5">
            <anchor moveWithCells="1">
              <from>
                <xdr:col>8</xdr:col>
                <xdr:colOff>200025</xdr:colOff>
                <xdr:row>16</xdr:row>
                <xdr:rowOff>85725</xdr:rowOff>
              </from>
              <to>
                <xdr:col>10</xdr:col>
                <xdr:colOff>200025</xdr:colOff>
                <xdr:row>17</xdr:row>
                <xdr:rowOff>180975</xdr:rowOff>
              </to>
            </anchor>
          </objectPr>
        </oleObject>
      </mc:Choice>
      <mc:Fallback>
        <oleObject progId="Equation.DSMT4" shapeId="1026" r:id="rId4"/>
      </mc:Fallback>
    </mc:AlternateContent>
    <mc:AlternateContent xmlns:mc="http://schemas.openxmlformats.org/markup-compatibility/2006">
      <mc:Choice Requires="x14">
        <oleObject progId="Equation.DSMT4" shapeId="1027" r:id="rId6">
          <objectPr defaultSize="0" autoPict="0" r:id="rId7">
            <anchor moveWithCells="1">
              <from>
                <xdr:col>8</xdr:col>
                <xdr:colOff>133350</xdr:colOff>
                <xdr:row>18</xdr:row>
                <xdr:rowOff>190500</xdr:rowOff>
              </from>
              <to>
                <xdr:col>14</xdr:col>
                <xdr:colOff>104775</xdr:colOff>
                <xdr:row>25</xdr:row>
                <xdr:rowOff>142875</xdr:rowOff>
              </to>
            </anchor>
          </objectPr>
        </oleObject>
      </mc:Choice>
      <mc:Fallback>
        <oleObject progId="Equation.DSMT4" shapeId="1027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F78AD-76DE-44F6-B5C8-FBCFAD523572}">
  <dimension ref="B2:I20"/>
  <sheetViews>
    <sheetView showGridLines="0" showRowColHeaders="0" workbookViewId="0"/>
  </sheetViews>
  <sheetFormatPr defaultColWidth="11.28515625" defaultRowHeight="16.5" x14ac:dyDescent="0.25"/>
  <cols>
    <col min="1" max="1" width="2.7109375" style="19" customWidth="1"/>
    <col min="2" max="2" width="4.140625" style="20" bestFit="1" customWidth="1"/>
    <col min="3" max="3" width="7" style="20" bestFit="1" customWidth="1"/>
    <col min="4" max="4" width="15.5703125" style="20" bestFit="1" customWidth="1"/>
    <col min="5" max="5" width="14.140625" style="20" bestFit="1" customWidth="1"/>
    <col min="6" max="6" width="15.28515625" style="20" bestFit="1" customWidth="1"/>
    <col min="7" max="7" width="14.140625" style="20" bestFit="1" customWidth="1"/>
    <col min="8" max="8" width="13.140625" style="20" bestFit="1" customWidth="1"/>
    <col min="9" max="9" width="17.85546875" style="20" bestFit="1" customWidth="1"/>
    <col min="10" max="16384" width="11.28515625" style="19"/>
  </cols>
  <sheetData>
    <row r="2" spans="2:9" x14ac:dyDescent="0.25">
      <c r="B2" s="21" t="s">
        <v>32</v>
      </c>
    </row>
    <row r="3" spans="2:9" x14ac:dyDescent="0.25">
      <c r="B3" s="22" t="s">
        <v>19</v>
      </c>
      <c r="C3" s="23" t="s">
        <v>10</v>
      </c>
      <c r="D3" s="23" t="s">
        <v>17</v>
      </c>
      <c r="E3" s="23" t="s">
        <v>29</v>
      </c>
      <c r="F3" s="23"/>
      <c r="G3" s="23"/>
      <c r="H3" s="34" t="s">
        <v>30</v>
      </c>
      <c r="I3" s="35" t="s">
        <v>31</v>
      </c>
    </row>
    <row r="4" spans="2:9" x14ac:dyDescent="0.25">
      <c r="B4" s="24"/>
      <c r="C4" s="25"/>
      <c r="D4" s="25"/>
      <c r="E4" s="26" t="s">
        <v>12</v>
      </c>
      <c r="F4" s="26" t="s">
        <v>13</v>
      </c>
      <c r="G4" s="26" t="s">
        <v>18</v>
      </c>
      <c r="H4" s="26" t="s">
        <v>20</v>
      </c>
      <c r="I4" s="27" t="s">
        <v>21</v>
      </c>
    </row>
    <row r="5" spans="2:9" x14ac:dyDescent="0.25">
      <c r="B5" s="28">
        <v>1</v>
      </c>
      <c r="C5" s="29">
        <v>2</v>
      </c>
      <c r="D5" s="29">
        <v>0.5</v>
      </c>
      <c r="E5" s="29">
        <v>0.69314719999999996</v>
      </c>
      <c r="F5" s="29">
        <v>-0.78297150000000004</v>
      </c>
      <c r="G5" s="29">
        <v>75.478200000000001</v>
      </c>
      <c r="H5" s="29">
        <v>116.84869999999999</v>
      </c>
      <c r="I5" s="30">
        <v>92.759889999999999</v>
      </c>
    </row>
    <row r="6" spans="2:9" x14ac:dyDescent="0.25">
      <c r="B6" s="28">
        <v>2</v>
      </c>
      <c r="C6" s="29">
        <v>2.33</v>
      </c>
      <c r="D6" s="29">
        <v>0.42918455</v>
      </c>
      <c r="E6" s="29">
        <v>0.84586830000000002</v>
      </c>
      <c r="F6" s="29">
        <v>-0.51775749999999998</v>
      </c>
      <c r="G6" s="29">
        <v>85.749260000000007</v>
      </c>
      <c r="H6" s="29">
        <v>123.2525</v>
      </c>
      <c r="I6" s="30">
        <v>98.868139999999997</v>
      </c>
    </row>
    <row r="7" spans="2:9" x14ac:dyDescent="0.25">
      <c r="B7" s="28">
        <v>3</v>
      </c>
      <c r="C7" s="29">
        <v>3</v>
      </c>
      <c r="D7" s="29">
        <v>0.33333332999999998</v>
      </c>
      <c r="E7" s="29">
        <v>1.0986123000000001</v>
      </c>
      <c r="F7" s="29">
        <v>-0.11740109999999999</v>
      </c>
      <c r="G7" s="29">
        <v>101.25405000000001</v>
      </c>
      <c r="H7" s="29">
        <v>133.03980000000001</v>
      </c>
      <c r="I7" s="30">
        <v>108.99001</v>
      </c>
    </row>
    <row r="8" spans="2:9" x14ac:dyDescent="0.25">
      <c r="B8" s="28">
        <v>4</v>
      </c>
      <c r="C8" s="29">
        <v>3.33</v>
      </c>
      <c r="D8" s="29">
        <v>0.30030030000000002</v>
      </c>
      <c r="E8" s="29">
        <v>1.2029723000000001</v>
      </c>
      <c r="F8" s="29">
        <v>3.7462700000000002E-2</v>
      </c>
      <c r="G8" s="29">
        <v>107.25154000000001</v>
      </c>
      <c r="H8" s="29">
        <v>136.8749</v>
      </c>
      <c r="I8" s="30">
        <v>113.23309</v>
      </c>
    </row>
    <row r="9" spans="2:9" x14ac:dyDescent="0.25">
      <c r="B9" s="28">
        <v>5</v>
      </c>
      <c r="C9" s="29">
        <v>5</v>
      </c>
      <c r="D9" s="29">
        <v>0.2</v>
      </c>
      <c r="E9" s="29">
        <v>1.6094379000000001</v>
      </c>
      <c r="F9" s="29">
        <v>0.6008329</v>
      </c>
      <c r="G9" s="29">
        <v>129.06943999999999</v>
      </c>
      <c r="H9" s="29">
        <v>151.07329999999999</v>
      </c>
      <c r="I9" s="30">
        <v>130.43108000000001</v>
      </c>
    </row>
    <row r="10" spans="2:9" x14ac:dyDescent="0.25">
      <c r="B10" s="28">
        <v>6</v>
      </c>
      <c r="C10" s="29">
        <v>10</v>
      </c>
      <c r="D10" s="29">
        <v>0.1</v>
      </c>
      <c r="E10" s="29">
        <v>2.3025850999999999</v>
      </c>
      <c r="F10" s="29">
        <v>1.4717389999999999</v>
      </c>
      <c r="G10" s="29">
        <v>162.79741999999999</v>
      </c>
      <c r="H10" s="29">
        <v>173.733</v>
      </c>
      <c r="I10" s="30">
        <v>163.44956999999999</v>
      </c>
    </row>
    <row r="11" spans="2:9" x14ac:dyDescent="0.25">
      <c r="B11" s="28">
        <v>7</v>
      </c>
      <c r="C11" s="29">
        <v>15</v>
      </c>
      <c r="D11" s="29">
        <v>6.6666669999999997E-2</v>
      </c>
      <c r="E11" s="29">
        <v>2.7080502000000002</v>
      </c>
      <c r="F11" s="29">
        <v>1.9509185</v>
      </c>
      <c r="G11" s="29">
        <v>181.35482999999999</v>
      </c>
      <c r="H11" s="29">
        <v>186.51730000000001</v>
      </c>
      <c r="I11" s="30">
        <v>185.64193</v>
      </c>
    </row>
    <row r="12" spans="2:9" x14ac:dyDescent="0.25">
      <c r="B12" s="28">
        <v>8</v>
      </c>
      <c r="C12" s="29">
        <v>20</v>
      </c>
      <c r="D12" s="29">
        <v>0.05</v>
      </c>
      <c r="E12" s="29">
        <v>2.9957322999999998</v>
      </c>
      <c r="F12" s="29">
        <v>2.2821908</v>
      </c>
      <c r="G12" s="29">
        <v>194.18415999999999</v>
      </c>
      <c r="H12" s="29">
        <v>195.46870000000001</v>
      </c>
      <c r="I12" s="30">
        <v>202.95060000000001</v>
      </c>
    </row>
    <row r="13" spans="2:9" x14ac:dyDescent="0.25">
      <c r="B13" s="28">
        <v>9</v>
      </c>
      <c r="C13" s="29">
        <v>25</v>
      </c>
      <c r="D13" s="29">
        <v>0.04</v>
      </c>
      <c r="E13" s="29">
        <v>3.2188758000000002</v>
      </c>
      <c r="F13" s="29">
        <v>2.5352655999999998</v>
      </c>
      <c r="G13" s="29">
        <v>203.98510999999999</v>
      </c>
      <c r="H13" s="29">
        <v>202.36349999999999</v>
      </c>
      <c r="I13" s="30">
        <v>217.37542999999999</v>
      </c>
    </row>
    <row r="14" spans="2:9" x14ac:dyDescent="0.25">
      <c r="B14" s="28">
        <v>10</v>
      </c>
      <c r="C14" s="29">
        <v>50</v>
      </c>
      <c r="D14" s="29">
        <v>0.02</v>
      </c>
      <c r="E14" s="29">
        <v>3.912023</v>
      </c>
      <c r="F14" s="29">
        <v>3.3050945</v>
      </c>
      <c r="G14" s="29">
        <v>233.79863</v>
      </c>
      <c r="H14" s="29">
        <v>223.60329999999999</v>
      </c>
      <c r="I14" s="30">
        <v>268.57906000000003</v>
      </c>
    </row>
    <row r="15" spans="2:9" x14ac:dyDescent="0.25">
      <c r="B15" s="28">
        <v>11</v>
      </c>
      <c r="C15" s="29">
        <v>75</v>
      </c>
      <c r="D15" s="29">
        <v>1.3333329999999999E-2</v>
      </c>
      <c r="E15" s="29">
        <v>4.3174881000000003</v>
      </c>
      <c r="F15" s="29">
        <v>3.7468156000000001</v>
      </c>
      <c r="G15" s="29">
        <v>250.90537</v>
      </c>
      <c r="H15" s="29">
        <v>235.9486</v>
      </c>
      <c r="I15" s="30">
        <v>303.71460000000002</v>
      </c>
    </row>
    <row r="16" spans="2:9" x14ac:dyDescent="0.25">
      <c r="B16" s="28">
        <v>12</v>
      </c>
      <c r="C16" s="29">
        <v>100</v>
      </c>
      <c r="D16" s="29">
        <v>0.01</v>
      </c>
      <c r="E16" s="29">
        <v>4.6051701999999999</v>
      </c>
      <c r="F16" s="29">
        <v>4.0573107999999998</v>
      </c>
      <c r="G16" s="29">
        <v>262.93006000000003</v>
      </c>
      <c r="H16" s="29">
        <v>244.68620000000001</v>
      </c>
      <c r="I16" s="30">
        <v>331.32603</v>
      </c>
    </row>
    <row r="17" spans="2:9" x14ac:dyDescent="0.25">
      <c r="B17" s="28">
        <v>13</v>
      </c>
      <c r="C17" s="29">
        <v>200</v>
      </c>
      <c r="D17" s="29">
        <v>5.0000000000000001E-3</v>
      </c>
      <c r="E17" s="29">
        <v>5.2983174000000002</v>
      </c>
      <c r="F17" s="29">
        <v>4.7976317999999996</v>
      </c>
      <c r="G17" s="29">
        <v>291.60082</v>
      </c>
      <c r="H17" s="29">
        <v>265.69220000000001</v>
      </c>
      <c r="I17" s="30">
        <v>408.41930000000002</v>
      </c>
    </row>
    <row r="18" spans="2:9" x14ac:dyDescent="0.25">
      <c r="B18" s="28">
        <v>14</v>
      </c>
      <c r="C18" s="29">
        <v>250</v>
      </c>
      <c r="D18" s="29">
        <v>4.0000000000000001E-3</v>
      </c>
      <c r="E18" s="29">
        <v>5.5214609000000001</v>
      </c>
      <c r="F18" s="29">
        <v>5.0340372000000002</v>
      </c>
      <c r="G18" s="29">
        <v>300.75619999999998</v>
      </c>
      <c r="H18" s="29">
        <v>272.44540000000001</v>
      </c>
      <c r="I18" s="30">
        <v>436.83096999999998</v>
      </c>
    </row>
    <row r="19" spans="2:9" x14ac:dyDescent="0.25">
      <c r="B19" s="28">
        <v>15</v>
      </c>
      <c r="C19" s="29">
        <v>500</v>
      </c>
      <c r="D19" s="29">
        <v>2E-3</v>
      </c>
      <c r="E19" s="29">
        <v>6.2146081000000004</v>
      </c>
      <c r="F19" s="29">
        <v>5.7636826000000001</v>
      </c>
      <c r="G19" s="29">
        <v>329.01351</v>
      </c>
      <c r="H19" s="29">
        <v>293.40570000000002</v>
      </c>
      <c r="I19" s="30">
        <v>538.22825</v>
      </c>
    </row>
    <row r="20" spans="2:9" x14ac:dyDescent="0.25">
      <c r="B20" s="31">
        <v>16</v>
      </c>
      <c r="C20" s="32">
        <v>1000</v>
      </c>
      <c r="D20" s="32">
        <v>1E-3</v>
      </c>
      <c r="E20" s="32">
        <v>6.9077552999999998</v>
      </c>
      <c r="F20" s="32">
        <v>6.4876024000000001</v>
      </c>
      <c r="G20" s="32">
        <v>357.04910000000001</v>
      </c>
      <c r="H20" s="32">
        <v>314.35090000000002</v>
      </c>
      <c r="I20" s="33">
        <v>663.06181000000004</v>
      </c>
    </row>
  </sheetData>
  <mergeCells count="4">
    <mergeCell ref="E3:G3"/>
    <mergeCell ref="D3:D4"/>
    <mergeCell ref="C3:C4"/>
    <mergeCell ref="B3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D.Normal</vt:lpstr>
      <vt:lpstr>a25020230</vt:lpstr>
      <vt:lpstr>P</vt:lpstr>
      <vt:lpstr>Tr</vt:lpstr>
      <vt:lpstr>W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P70</dc:creator>
  <cp:lastModifiedBy>[ R ]</cp:lastModifiedBy>
  <dcterms:created xsi:type="dcterms:W3CDTF">2019-05-07T18:31:52Z</dcterms:created>
  <dcterms:modified xsi:type="dcterms:W3CDTF">2021-11-24T20:49:34Z</dcterms:modified>
</cp:coreProperties>
</file>