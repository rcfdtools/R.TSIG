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585299BB-B60E-4872-B8BE-4721C87DDF89}" xr6:coauthVersionLast="47" xr6:coauthVersionMax="47" xr10:uidLastSave="{00000000-0000-0000-0000-000000000000}"/>
  <bookViews>
    <workbookView xWindow="-98" yWindow="-98" windowWidth="28996" windowHeight="15675" activeTab="3" xr2:uid="{06774941-88E4-4D40-B677-D122BF77DAEC}"/>
  </bookViews>
  <sheets>
    <sheet name="Main" sheetId="6" r:id="rId1"/>
    <sheet name="CNLag" sheetId="2" r:id="rId2"/>
    <sheet name="Ref" sheetId="5" r:id="rId3"/>
    <sheet name="Data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H3" i="2" s="1"/>
  <c r="F4" i="2"/>
  <c r="G4" i="2" s="1"/>
  <c r="H4" i="2" s="1"/>
  <c r="F5" i="2"/>
  <c r="G5" i="2" s="1"/>
  <c r="H5" i="2" s="1"/>
  <c r="F6" i="2"/>
  <c r="G6" i="2" s="1"/>
  <c r="H6" i="2" s="1"/>
  <c r="F7" i="2"/>
  <c r="G7" i="2" s="1"/>
  <c r="H7" i="2" s="1"/>
  <c r="F8" i="2"/>
  <c r="G8" i="2" s="1"/>
  <c r="H8" i="2" s="1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F15" i="2"/>
  <c r="F16" i="2"/>
  <c r="F17" i="2"/>
  <c r="F18" i="2"/>
  <c r="F19" i="2"/>
  <c r="G19" i="2" s="1"/>
  <c r="H19" i="2" s="1"/>
  <c r="F20" i="2"/>
  <c r="G20" i="2" s="1"/>
  <c r="H20" i="2" s="1"/>
  <c r="F21" i="2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F26" i="2"/>
  <c r="F27" i="2"/>
  <c r="G27" i="2" s="1"/>
  <c r="F28" i="2"/>
  <c r="G28" i="2" s="1"/>
  <c r="H28" i="2" s="1"/>
  <c r="F29" i="2"/>
  <c r="G29" i="2" s="1"/>
  <c r="H29" i="2" s="1"/>
  <c r="F30" i="2"/>
  <c r="F31" i="2"/>
  <c r="F32" i="2"/>
  <c r="F33" i="2"/>
  <c r="F34" i="2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G39" i="2" s="1"/>
  <c r="H39" i="2" s="1"/>
  <c r="F40" i="2"/>
  <c r="F41" i="2"/>
  <c r="F42" i="2"/>
  <c r="G42" i="2" s="1"/>
  <c r="H42" i="2" s="1"/>
  <c r="F43" i="2"/>
  <c r="G43" i="2" s="1"/>
  <c r="H43" i="2" s="1"/>
  <c r="F44" i="2"/>
  <c r="F45" i="2"/>
  <c r="F46" i="2"/>
  <c r="F47" i="2"/>
  <c r="F48" i="2"/>
  <c r="F49" i="2"/>
  <c r="F50" i="2"/>
  <c r="F51" i="2"/>
  <c r="G51" i="2" s="1"/>
  <c r="H51" i="2" s="1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G57" i="2" s="1"/>
  <c r="H57" i="2" s="1"/>
  <c r="F58" i="2"/>
  <c r="G58" i="2" s="1"/>
  <c r="F59" i="2"/>
  <c r="F60" i="2"/>
  <c r="G60" i="2" s="1"/>
  <c r="F61" i="2"/>
  <c r="G61" i="2" s="1"/>
  <c r="F62" i="2"/>
  <c r="F63" i="2"/>
  <c r="F64" i="2"/>
  <c r="F65" i="2"/>
  <c r="F66" i="2"/>
  <c r="F67" i="2"/>
  <c r="G67" i="2" s="1"/>
  <c r="H67" i="2" s="1"/>
  <c r="F68" i="2"/>
  <c r="G68" i="2" s="1"/>
  <c r="H68" i="2" s="1"/>
  <c r="F69" i="2"/>
  <c r="G69" i="2" s="1"/>
  <c r="H69" i="2" s="1"/>
  <c r="F70" i="2"/>
  <c r="G70" i="2" s="1"/>
  <c r="H70" i="2" s="1"/>
  <c r="F71" i="2"/>
  <c r="G71" i="2" s="1"/>
  <c r="H71" i="2" s="1"/>
  <c r="F72" i="2"/>
  <c r="G72" i="2" s="1"/>
  <c r="H72" i="2" s="1"/>
  <c r="F73" i="2"/>
  <c r="G73" i="2" s="1"/>
  <c r="H73" i="2" s="1"/>
  <c r="F74" i="2"/>
  <c r="G74" i="2" s="1"/>
  <c r="H74" i="2" s="1"/>
  <c r="F75" i="2"/>
  <c r="G75" i="2" s="1"/>
  <c r="H75" i="2" s="1"/>
  <c r="F76" i="2"/>
  <c r="G76" i="2" s="1"/>
  <c r="H76" i="2" s="1"/>
  <c r="F77" i="2"/>
  <c r="G77" i="2" s="1"/>
  <c r="H77" i="2" s="1"/>
  <c r="F78" i="2"/>
  <c r="F79" i="2"/>
  <c r="F80" i="2"/>
  <c r="F81" i="2"/>
  <c r="F82" i="2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G87" i="2" s="1"/>
  <c r="H87" i="2" s="1"/>
  <c r="F88" i="2"/>
  <c r="G88" i="2" s="1"/>
  <c r="H88" i="2" s="1"/>
  <c r="F89" i="2"/>
  <c r="G89" i="2" s="1"/>
  <c r="H89" i="2" s="1"/>
  <c r="F90" i="2"/>
  <c r="G90" i="2" s="1"/>
  <c r="H90" i="2" s="1"/>
  <c r="F91" i="2"/>
  <c r="G91" i="2" s="1"/>
  <c r="H91" i="2" s="1"/>
  <c r="F92" i="2"/>
  <c r="G92" i="2" s="1"/>
  <c r="F93" i="2"/>
  <c r="G93" i="2" s="1"/>
  <c r="H93" i="2" s="1"/>
  <c r="F94" i="2"/>
  <c r="F95" i="2"/>
  <c r="F96" i="2"/>
  <c r="F97" i="2"/>
  <c r="F98" i="2"/>
  <c r="F99" i="2"/>
  <c r="G99" i="2" s="1"/>
  <c r="H99" i="2" s="1"/>
  <c r="F100" i="2"/>
  <c r="F101" i="2"/>
  <c r="G101" i="2" s="1"/>
  <c r="H101" i="2" s="1"/>
  <c r="F102" i="2"/>
  <c r="G102" i="2" s="1"/>
  <c r="H102" i="2" s="1"/>
  <c r="F103" i="2"/>
  <c r="G103" i="2" s="1"/>
  <c r="H103" i="2" s="1"/>
  <c r="F104" i="2"/>
  <c r="G104" i="2" s="1"/>
  <c r="H104" i="2" s="1"/>
  <c r="F105" i="2"/>
  <c r="G105" i="2" s="1"/>
  <c r="F106" i="2"/>
  <c r="G106" i="2" s="1"/>
  <c r="H106" i="2" s="1"/>
  <c r="F107" i="2"/>
  <c r="G107" i="2" s="1"/>
  <c r="H107" i="2" s="1"/>
  <c r="F108" i="2"/>
  <c r="F109" i="2"/>
  <c r="G109" i="2" s="1"/>
  <c r="F110" i="2"/>
  <c r="F111" i="2"/>
  <c r="F112" i="2"/>
  <c r="F113" i="2"/>
  <c r="F114" i="2"/>
  <c r="F2" i="2"/>
  <c r="G2" i="2" s="1"/>
  <c r="H2" i="2" s="1"/>
  <c r="G14" i="2" l="1"/>
  <c r="H14" i="2" s="1"/>
  <c r="G15" i="2"/>
  <c r="H15" i="2" s="1"/>
  <c r="G16" i="2"/>
  <c r="G17" i="2"/>
  <c r="G18" i="2"/>
  <c r="G30" i="2"/>
  <c r="G31" i="2"/>
  <c r="G32" i="2"/>
  <c r="G33" i="2"/>
  <c r="G34" i="2"/>
  <c r="G46" i="2"/>
  <c r="G47" i="2"/>
  <c r="G48" i="2"/>
  <c r="G49" i="2"/>
  <c r="G50" i="2"/>
  <c r="G62" i="2"/>
  <c r="G63" i="2"/>
  <c r="G110" i="2"/>
  <c r="G113" i="2"/>
  <c r="G64" i="2"/>
  <c r="G65" i="2"/>
  <c r="G66" i="2"/>
  <c r="G78" i="2"/>
  <c r="G79" i="2"/>
  <c r="G80" i="2"/>
  <c r="G81" i="2"/>
  <c r="G82" i="2"/>
  <c r="G94" i="2"/>
  <c r="H94" i="2" s="1"/>
  <c r="G95" i="2"/>
  <c r="G96" i="2"/>
  <c r="G97" i="2"/>
  <c r="G98" i="2"/>
  <c r="G111" i="2"/>
  <c r="G112" i="2"/>
  <c r="G114" i="2"/>
  <c r="G45" i="2"/>
  <c r="H45" i="2" s="1"/>
  <c r="G108" i="2"/>
  <c r="H108" i="2" s="1"/>
  <c r="G44" i="2"/>
  <c r="H44" i="2" s="1"/>
  <c r="H40" i="2"/>
  <c r="G59" i="2"/>
  <c r="H59" i="2" s="1"/>
  <c r="H21" i="2"/>
  <c r="G26" i="2"/>
  <c r="H26" i="2" s="1"/>
  <c r="H27" i="2"/>
  <c r="H100" i="2"/>
  <c r="G41" i="2"/>
  <c r="H41" i="2" s="1"/>
  <c r="H58" i="2"/>
  <c r="G40" i="2"/>
  <c r="H92" i="2"/>
  <c r="G21" i="2"/>
  <c r="H61" i="2"/>
  <c r="H25" i="2"/>
  <c r="G100" i="2"/>
  <c r="H109" i="2"/>
  <c r="H60" i="2"/>
  <c r="H105" i="2"/>
  <c r="H110" i="2"/>
  <c r="H78" i="2"/>
  <c r="H62" i="2"/>
  <c r="H46" i="2"/>
  <c r="H30" i="2"/>
  <c r="H98" i="2"/>
  <c r="H82" i="2"/>
  <c r="H66" i="2"/>
  <c r="H50" i="2"/>
  <c r="H34" i="2"/>
  <c r="H18" i="2"/>
  <c r="H113" i="2"/>
  <c r="H97" i="2"/>
  <c r="H81" i="2"/>
  <c r="H65" i="2"/>
  <c r="H49" i="2"/>
  <c r="H33" i="2"/>
  <c r="H112" i="2"/>
  <c r="H96" i="2"/>
  <c r="H80" i="2"/>
  <c r="H64" i="2"/>
  <c r="H48" i="2"/>
  <c r="H32" i="2"/>
  <c r="H111" i="2"/>
  <c r="H95" i="2"/>
  <c r="H79" i="2"/>
  <c r="H63" i="2"/>
  <c r="H47" i="2"/>
  <c r="H31" i="2"/>
  <c r="H16" i="2" l="1"/>
  <c r="H17" i="2"/>
  <c r="H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A1" authorId="0" shapeId="0" xr:uid="{5304428B-9B59-474D-A889-B1A8922725C4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From HEC-GeoHMS Subbasin layer, Name.</t>
        </r>
      </text>
    </comment>
    <comment ref="B1" authorId="0" shapeId="0" xr:uid="{D87DFC16-8F89-4266-9BC7-5DF6ADE12A61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From HEC-GeoHMS Subbasin layer, DrainID.
Common code value for Basins, Rivers, LongestFlowPath…</t>
        </r>
      </text>
    </comment>
    <comment ref="C1" authorId="0" shapeId="0" xr:uid="{A1CFE6EB-98BB-420F-A8A9-DC99B2F303D5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CN Value, normal moisture.
From HEC-GeoHMS Subbasin layer, BasinCN.</t>
        </r>
      </text>
    </comment>
    <comment ref="D1" authorId="0" shapeId="0" xr:uid="{F2A0677E-E9A3-4710-9013-5B52E5056E7D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Basin slope (%)
From HEC-GeoHMS Subbasin layer, BasinSlope</t>
        </r>
      </text>
    </comment>
    <comment ref="E1" authorId="0" shapeId="0" xr:uid="{8F06F8FA-6CE6-4455-BA4D-BB6F9C689177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Hydraulic length of the watershed (meter).
Value from HEC-GeoHMS LongestFlowPath layer, Shape_Length or updated value over LongestFL field.</t>
        </r>
      </text>
    </comment>
    <comment ref="F1" authorId="0" shapeId="0" xr:uid="{A4889C5A-3F28-494D-8D48-B92DDF742E6D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hydraulic length of the watershed (feet)</t>
        </r>
      </text>
    </comment>
  </commentList>
</comments>
</file>

<file path=xl/sharedStrings.xml><?xml version="1.0" encoding="utf-8"?>
<sst xmlns="http://schemas.openxmlformats.org/spreadsheetml/2006/main" count="4776" uniqueCount="190">
  <si>
    <t>OBJECTID *</t>
  </si>
  <si>
    <t>Shape *</t>
  </si>
  <si>
    <t>FID_Subbasin2584b</t>
  </si>
  <si>
    <t>FID_Subbasin2584_v1</t>
  </si>
  <si>
    <t>gridcode</t>
  </si>
  <si>
    <t>HydroID</t>
  </si>
  <si>
    <t>DrainID</t>
  </si>
  <si>
    <t>Name</t>
  </si>
  <si>
    <t>Description</t>
  </si>
  <si>
    <t>PrecipGage</t>
  </si>
  <si>
    <t>TotStormP</t>
  </si>
  <si>
    <t>BasinSlope</t>
  </si>
  <si>
    <t>LossMet</t>
  </si>
  <si>
    <t>TransMet</t>
  </si>
  <si>
    <t>BaseMet</t>
  </si>
  <si>
    <t>PctImp</t>
  </si>
  <si>
    <t>InitAbst</t>
  </si>
  <si>
    <t>BasinCN</t>
  </si>
  <si>
    <t>Rain2Yr</t>
  </si>
  <si>
    <t>LagMethod</t>
  </si>
  <si>
    <t>Tc</t>
  </si>
  <si>
    <t>BasinLag</t>
  </si>
  <si>
    <t>MaxDeficit</t>
  </si>
  <si>
    <t>IDeficit</t>
  </si>
  <si>
    <t>InitLoss</t>
  </si>
  <si>
    <t>LossRate</t>
  </si>
  <si>
    <t>HyConduct</t>
  </si>
  <si>
    <t>WetDeficit</t>
  </si>
  <si>
    <t>WFSuction</t>
  </si>
  <si>
    <t>InitContent</t>
  </si>
  <si>
    <t>SatConduct</t>
  </si>
  <si>
    <t>ResiContent</t>
  </si>
  <si>
    <t>SatContent</t>
  </si>
  <si>
    <t>BubbPress</t>
  </si>
  <si>
    <t>PoreDist</t>
  </si>
  <si>
    <t>MaxCanopS</t>
  </si>
  <si>
    <t>MaxSurfS</t>
  </si>
  <si>
    <t>MaxSurfI</t>
  </si>
  <si>
    <t>MaxSoilPer</t>
  </si>
  <si>
    <t>SoilTensS</t>
  </si>
  <si>
    <t>MaxSoilS</t>
  </si>
  <si>
    <t>GW1MaxS</t>
  </si>
  <si>
    <t>GW2MaxS</t>
  </si>
  <si>
    <t>GW1MaxPer</t>
  </si>
  <si>
    <t>GW2MaxPer</t>
  </si>
  <si>
    <t>PctUrban</t>
  </si>
  <si>
    <t>PctSand</t>
  </si>
  <si>
    <t>PctChannel</t>
  </si>
  <si>
    <t>CuencaName</t>
  </si>
  <si>
    <t>Area_HMS</t>
  </si>
  <si>
    <t>FID_BasinArroyoSanAntonio_v0a</t>
  </si>
  <si>
    <t>BasinName</t>
  </si>
  <si>
    <t>FID_W28680</t>
  </si>
  <si>
    <t>Shape_Length</t>
  </si>
  <si>
    <t>Shape_Area</t>
  </si>
  <si>
    <t>Polígono ZM</t>
  </si>
  <si>
    <t>W26710</t>
  </si>
  <si>
    <t>&lt;Nulo&gt;</t>
  </si>
  <si>
    <t>SCS</t>
  </si>
  <si>
    <t>CNLag</t>
  </si>
  <si>
    <t>Arroyo San Antonio</t>
  </si>
  <si>
    <t>ARROYO SAN ANTONIO</t>
  </si>
  <si>
    <t>W26720</t>
  </si>
  <si>
    <t>W26730</t>
  </si>
  <si>
    <t>W26740</t>
  </si>
  <si>
    <t>W26750</t>
  </si>
  <si>
    <t>W26760</t>
  </si>
  <si>
    <t>W26770</t>
  </si>
  <si>
    <t>W26780</t>
  </si>
  <si>
    <t>W26790</t>
  </si>
  <si>
    <t>W26800</t>
  </si>
  <si>
    <t>W26810</t>
  </si>
  <si>
    <t>W26820</t>
  </si>
  <si>
    <t>W26840</t>
  </si>
  <si>
    <t>W26850</t>
  </si>
  <si>
    <t>W26860</t>
  </si>
  <si>
    <t>W26880</t>
  </si>
  <si>
    <t>W26900</t>
  </si>
  <si>
    <t>W26910</t>
  </si>
  <si>
    <t>W26920</t>
  </si>
  <si>
    <t>W26930</t>
  </si>
  <si>
    <t>W26940</t>
  </si>
  <si>
    <t>W26960</t>
  </si>
  <si>
    <t>W26970</t>
  </si>
  <si>
    <t>W26990</t>
  </si>
  <si>
    <t>W27000</t>
  </si>
  <si>
    <t>W27010</t>
  </si>
  <si>
    <t>W27020</t>
  </si>
  <si>
    <t>W27030</t>
  </si>
  <si>
    <t>W27040</t>
  </si>
  <si>
    <t>W27060</t>
  </si>
  <si>
    <t>W27080</t>
  </si>
  <si>
    <t>W27100</t>
  </si>
  <si>
    <t>W27120</t>
  </si>
  <si>
    <t>Arroyo Las Animas</t>
  </si>
  <si>
    <t>W27130</t>
  </si>
  <si>
    <t>W27140</t>
  </si>
  <si>
    <t>W27150</t>
  </si>
  <si>
    <t>W27160</t>
  </si>
  <si>
    <t>W27170</t>
  </si>
  <si>
    <t>W27180</t>
  </si>
  <si>
    <t>W27200</t>
  </si>
  <si>
    <t>W27220</t>
  </si>
  <si>
    <t>W27250</t>
  </si>
  <si>
    <t>W27260</t>
  </si>
  <si>
    <t>W27270</t>
  </si>
  <si>
    <t>W27280</t>
  </si>
  <si>
    <t>W27290</t>
  </si>
  <si>
    <t>W27300</t>
  </si>
  <si>
    <t>W27310</t>
  </si>
  <si>
    <t>W27320</t>
  </si>
  <si>
    <t>W27330</t>
  </si>
  <si>
    <t>W27340</t>
  </si>
  <si>
    <t>W27350</t>
  </si>
  <si>
    <t>W27360</t>
  </si>
  <si>
    <t>W27370</t>
  </si>
  <si>
    <t>W27380</t>
  </si>
  <si>
    <t>W27390</t>
  </si>
  <si>
    <t>W27400</t>
  </si>
  <si>
    <t>W27410</t>
  </si>
  <si>
    <t>W27420</t>
  </si>
  <si>
    <t>W27430</t>
  </si>
  <si>
    <t>W27440</t>
  </si>
  <si>
    <t>W27450</t>
  </si>
  <si>
    <t>W27460</t>
  </si>
  <si>
    <t>W27470</t>
  </si>
  <si>
    <t>W27480</t>
  </si>
  <si>
    <t>W27490</t>
  </si>
  <si>
    <t>W27500</t>
  </si>
  <si>
    <t>W27510</t>
  </si>
  <si>
    <t>W27520</t>
  </si>
  <si>
    <t>W27530</t>
  </si>
  <si>
    <t>W27540</t>
  </si>
  <si>
    <t>W27550</t>
  </si>
  <si>
    <t>W27570</t>
  </si>
  <si>
    <t>W27620</t>
  </si>
  <si>
    <t>W27630</t>
  </si>
  <si>
    <t>Caño Muñoz</t>
  </si>
  <si>
    <t>W27670</t>
  </si>
  <si>
    <t>W27680</t>
  </si>
  <si>
    <t>W27730</t>
  </si>
  <si>
    <t>W27780</t>
  </si>
  <si>
    <t>W27830</t>
  </si>
  <si>
    <t>W27870</t>
  </si>
  <si>
    <t>W27880</t>
  </si>
  <si>
    <t>W27930</t>
  </si>
  <si>
    <t>W27970</t>
  </si>
  <si>
    <t>W27980</t>
  </si>
  <si>
    <t>W28030</t>
  </si>
  <si>
    <t>W28080</t>
  </si>
  <si>
    <t>W28130</t>
  </si>
  <si>
    <t>W28180</t>
  </si>
  <si>
    <t>W28220</t>
  </si>
  <si>
    <t>W28230</t>
  </si>
  <si>
    <t>W28280</t>
  </si>
  <si>
    <t>W28330</t>
  </si>
  <si>
    <t>W28380</t>
  </si>
  <si>
    <t>W28430</t>
  </si>
  <si>
    <t>W28480</t>
  </si>
  <si>
    <t>W28520</t>
  </si>
  <si>
    <t>W28530</t>
  </si>
  <si>
    <t>W28570</t>
  </si>
  <si>
    <t>W28580</t>
  </si>
  <si>
    <t>W28630</t>
  </si>
  <si>
    <t>W28670</t>
  </si>
  <si>
    <t>W28680</t>
  </si>
  <si>
    <t>W28720</t>
  </si>
  <si>
    <t>Caño Piñal</t>
  </si>
  <si>
    <t>W28730</t>
  </si>
  <si>
    <t>W28780</t>
  </si>
  <si>
    <t>W28830</t>
  </si>
  <si>
    <t>W28870</t>
  </si>
  <si>
    <t>W28880</t>
  </si>
  <si>
    <t>W28920</t>
  </si>
  <si>
    <t>W28930</t>
  </si>
  <si>
    <t>W36180</t>
  </si>
  <si>
    <t>W36190</t>
  </si>
  <si>
    <t>L_ft</t>
  </si>
  <si>
    <t>L_m</t>
  </si>
  <si>
    <t>CNII</t>
  </si>
  <si>
    <t>Y</t>
  </si>
  <si>
    <t>CNLag_min</t>
  </si>
  <si>
    <t>CNLag_hr</t>
  </si>
  <si>
    <t>HEC-GeoHMS
Geospatial Hydrologic Modeling Extension</t>
  </si>
  <si>
    <t>User's Manual</t>
  </si>
  <si>
    <t>Version 5.0, 
October 2010</t>
  </si>
  <si>
    <t>CPD-77</t>
  </si>
  <si>
    <t>ESTIMACIÓN DEL CNLag O TIEMPO DE RETARDO HIDROLÓGICO A PARTIR DE INFORMACIÓN MORFOMÉTRICA DE CUENCAS EN HEC-HMS</t>
  </si>
  <si>
    <t>SubBasinName</t>
  </si>
  <si>
    <t>r.cfdtools@gmail.com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</si>
</sst>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499984740745262"/>
      <name val="Segoe UI Light"/>
      <family val="2"/>
    </font>
    <font>
      <sz val="11"/>
      <color theme="1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95250</xdr:rowOff>
    </xdr:from>
    <xdr:to>
      <xdr:col>11</xdr:col>
      <xdr:colOff>189428</xdr:colOff>
      <xdr:row>38</xdr:row>
      <xdr:rowOff>199074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1AE5D5-604C-43CA-A061-B221256E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8571428" cy="7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BB16-5D6F-4B7D-BCE4-86C3594E242A}">
  <dimension ref="B1:B2"/>
  <sheetViews>
    <sheetView showGridLines="0" zoomScale="130" zoomScaleNormal="130" workbookViewId="0">
      <selection activeCell="B13" sqref="B13"/>
    </sheetView>
  </sheetViews>
  <sheetFormatPr defaultColWidth="11.3984375" defaultRowHeight="16.5" x14ac:dyDescent="0.6"/>
  <cols>
    <col min="1" max="1" width="2.73046875" style="2" customWidth="1"/>
    <col min="2" max="2" width="77" style="2" customWidth="1"/>
    <col min="3" max="16384" width="11.3984375" style="2"/>
  </cols>
  <sheetData>
    <row r="1" spans="2:2" x14ac:dyDescent="0.6">
      <c r="B1" s="1" t="s">
        <v>189</v>
      </c>
    </row>
    <row r="2" spans="2:2" ht="33" x14ac:dyDescent="0.6">
      <c r="B2" s="3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C442-ED4B-4D19-8FE7-DE101875A6C6}">
  <dimension ref="A1:I299"/>
  <sheetViews>
    <sheetView showGridLines="0" zoomScale="145" zoomScaleNormal="145" workbookViewId="0">
      <pane ySplit="1" topLeftCell="A2" activePane="bottomLeft" state="frozen"/>
      <selection pane="bottomLeft" activeCell="A2" sqref="A2"/>
    </sheetView>
  </sheetViews>
  <sheetFormatPr defaultColWidth="11.3984375" defaultRowHeight="16.5" x14ac:dyDescent="0.6"/>
  <cols>
    <col min="1" max="1" width="14" style="10" bestFit="1" customWidth="1"/>
    <col min="2" max="6" width="11.3984375" style="10"/>
    <col min="7" max="7" width="13" style="15" bestFit="1" customWidth="1"/>
    <col min="8" max="8" width="15.265625" style="15" bestFit="1" customWidth="1"/>
    <col min="9" max="9" width="11.3984375" style="10"/>
    <col min="10" max="16384" width="11.3984375" style="2"/>
  </cols>
  <sheetData>
    <row r="1" spans="1:9" s="6" customFormat="1" x14ac:dyDescent="0.6">
      <c r="A1" s="4" t="s">
        <v>188</v>
      </c>
      <c r="B1" s="4" t="s">
        <v>6</v>
      </c>
      <c r="C1" s="4" t="s">
        <v>179</v>
      </c>
      <c r="D1" s="4" t="s">
        <v>180</v>
      </c>
      <c r="E1" s="4" t="s">
        <v>178</v>
      </c>
      <c r="F1" s="4" t="s">
        <v>177</v>
      </c>
      <c r="G1" s="4" t="s">
        <v>182</v>
      </c>
      <c r="H1" s="4" t="s">
        <v>181</v>
      </c>
      <c r="I1" s="5"/>
    </row>
    <row r="2" spans="1:9" x14ac:dyDescent="0.6">
      <c r="A2" s="7" t="s">
        <v>56</v>
      </c>
      <c r="B2" s="7">
        <v>2671</v>
      </c>
      <c r="C2" s="7">
        <v>71.384354999999999</v>
      </c>
      <c r="D2" s="7">
        <v>6.1314339999999996</v>
      </c>
      <c r="E2" s="7">
        <v>9806.5047749999994</v>
      </c>
      <c r="F2" s="8">
        <f t="shared" ref="F2:F33" si="0">E2/0.3048</f>
        <v>32173.57209645669</v>
      </c>
      <c r="G2" s="9">
        <f>(F2^0.8*(((1000/C2)-10)+1)^0.7)/(1900*D2^0.5)</f>
        <v>2.6501508608936355</v>
      </c>
      <c r="H2" s="9">
        <f t="shared" ref="H2:H33" si="1">+G2*60</f>
        <v>159.00905165361814</v>
      </c>
    </row>
    <row r="3" spans="1:9" x14ac:dyDescent="0.6">
      <c r="A3" s="7" t="s">
        <v>62</v>
      </c>
      <c r="B3" s="7">
        <v>2672</v>
      </c>
      <c r="C3" s="7">
        <v>71.730182999999997</v>
      </c>
      <c r="D3" s="7">
        <v>6.295947</v>
      </c>
      <c r="E3" s="7">
        <v>9961.6062359999996</v>
      </c>
      <c r="F3" s="8">
        <f t="shared" si="0"/>
        <v>32682.435157480311</v>
      </c>
      <c r="G3" s="9">
        <f t="shared" ref="G3:G66" si="2">(F3^0.8*(((1000/C3)-10)+1)^0.7)/(1900*D3^0.5)</f>
        <v>2.6232879017673056</v>
      </c>
      <c r="H3" s="9">
        <f t="shared" si="1"/>
        <v>157.39727410603834</v>
      </c>
    </row>
    <row r="4" spans="1:9" x14ac:dyDescent="0.6">
      <c r="A4" s="7" t="s">
        <v>63</v>
      </c>
      <c r="B4" s="7">
        <v>2673</v>
      </c>
      <c r="C4" s="7">
        <v>71.145126000000005</v>
      </c>
      <c r="D4" s="7">
        <v>6.5631130000000004</v>
      </c>
      <c r="E4" s="7">
        <v>5123.3572299999996</v>
      </c>
      <c r="F4" s="8">
        <f t="shared" si="0"/>
        <v>16808.914796587924</v>
      </c>
      <c r="G4" s="9">
        <f t="shared" si="2"/>
        <v>1.5338211216470277</v>
      </c>
      <c r="H4" s="9">
        <f t="shared" si="1"/>
        <v>92.029267298821665</v>
      </c>
    </row>
    <row r="5" spans="1:9" x14ac:dyDescent="0.6">
      <c r="A5" s="7" t="s">
        <v>64</v>
      </c>
      <c r="B5" s="7">
        <v>2674</v>
      </c>
      <c r="C5" s="7">
        <v>69.153345000000002</v>
      </c>
      <c r="D5" s="7">
        <v>6.4637479999999998</v>
      </c>
      <c r="E5" s="7">
        <v>10881.567908000001</v>
      </c>
      <c r="F5" s="8">
        <f t="shared" si="0"/>
        <v>35700.682112860894</v>
      </c>
      <c r="G5" s="9">
        <f t="shared" si="2"/>
        <v>2.9799884072044662</v>
      </c>
      <c r="H5" s="9">
        <f t="shared" si="1"/>
        <v>178.79930443226797</v>
      </c>
    </row>
    <row r="6" spans="1:9" x14ac:dyDescent="0.6">
      <c r="A6" s="7" t="s">
        <v>65</v>
      </c>
      <c r="B6" s="7">
        <v>2675</v>
      </c>
      <c r="C6" s="7">
        <v>70.151087000000004</v>
      </c>
      <c r="D6" s="7">
        <v>9.1491369999999996</v>
      </c>
      <c r="E6" s="7">
        <v>9919.0940580000006</v>
      </c>
      <c r="F6" s="8">
        <f t="shared" si="0"/>
        <v>32542.959507874017</v>
      </c>
      <c r="G6" s="9">
        <f t="shared" si="2"/>
        <v>2.2642260675747479</v>
      </c>
      <c r="H6" s="9">
        <f t="shared" si="1"/>
        <v>135.85356405448488</v>
      </c>
    </row>
    <row r="7" spans="1:9" x14ac:dyDescent="0.6">
      <c r="A7" s="7" t="s">
        <v>66</v>
      </c>
      <c r="B7" s="7">
        <v>2676</v>
      </c>
      <c r="C7" s="7">
        <v>55.100985000000001</v>
      </c>
      <c r="D7" s="7">
        <v>8.0648850000000003</v>
      </c>
      <c r="E7" s="7">
        <v>9770.2480130000004</v>
      </c>
      <c r="F7" s="8">
        <f t="shared" si="0"/>
        <v>32054.619465223095</v>
      </c>
      <c r="G7" s="9">
        <f t="shared" si="2"/>
        <v>3.512405092969082</v>
      </c>
      <c r="H7" s="9">
        <f t="shared" si="1"/>
        <v>210.74430557814492</v>
      </c>
    </row>
    <row r="8" spans="1:9" x14ac:dyDescent="0.6">
      <c r="A8" s="7" t="s">
        <v>67</v>
      </c>
      <c r="B8" s="7">
        <v>2677</v>
      </c>
      <c r="C8" s="7">
        <v>70.578530999999998</v>
      </c>
      <c r="D8" s="7">
        <v>5.3799320000000002</v>
      </c>
      <c r="E8" s="7">
        <v>11956.809608</v>
      </c>
      <c r="F8" s="8">
        <f t="shared" si="0"/>
        <v>39228.377979002624</v>
      </c>
      <c r="G8" s="9">
        <f t="shared" si="2"/>
        <v>3.3892233347706888</v>
      </c>
      <c r="H8" s="9">
        <f t="shared" si="1"/>
        <v>203.35340008624132</v>
      </c>
    </row>
    <row r="9" spans="1:9" x14ac:dyDescent="0.6">
      <c r="A9" s="7" t="s">
        <v>68</v>
      </c>
      <c r="B9" s="7">
        <v>2678</v>
      </c>
      <c r="C9" s="7">
        <v>51.228304000000001</v>
      </c>
      <c r="D9" s="7">
        <v>6.0713999999999997</v>
      </c>
      <c r="E9" s="7">
        <v>14503.027593000001</v>
      </c>
      <c r="F9" s="8">
        <f t="shared" si="0"/>
        <v>47582.111525590553</v>
      </c>
      <c r="G9" s="9">
        <f t="shared" si="2"/>
        <v>6.1232391503782333</v>
      </c>
      <c r="H9" s="9">
        <f t="shared" si="1"/>
        <v>367.39434902269397</v>
      </c>
    </row>
    <row r="10" spans="1:9" x14ac:dyDescent="0.6">
      <c r="A10" s="7" t="s">
        <v>69</v>
      </c>
      <c r="B10" s="7">
        <v>2679</v>
      </c>
      <c r="C10" s="7">
        <v>39.081141000000002</v>
      </c>
      <c r="D10" s="7">
        <v>7.0799580000000004</v>
      </c>
      <c r="E10" s="7">
        <v>10291.707698</v>
      </c>
      <c r="F10" s="8">
        <f t="shared" si="0"/>
        <v>33765.44520341207</v>
      </c>
      <c r="G10" s="9">
        <f t="shared" si="2"/>
        <v>5.9273558246691556</v>
      </c>
      <c r="H10" s="9">
        <f t="shared" si="1"/>
        <v>355.64134948014936</v>
      </c>
    </row>
    <row r="11" spans="1:9" x14ac:dyDescent="0.6">
      <c r="A11" s="7" t="s">
        <v>70</v>
      </c>
      <c r="B11" s="7">
        <v>2680</v>
      </c>
      <c r="C11" s="7">
        <v>41.851002000000001</v>
      </c>
      <c r="D11" s="7">
        <v>5.4957039999999999</v>
      </c>
      <c r="E11" s="7">
        <v>1889.3139470000001</v>
      </c>
      <c r="F11" s="8">
        <f t="shared" si="0"/>
        <v>6198.5365715223097</v>
      </c>
      <c r="G11" s="9">
        <f t="shared" si="2"/>
        <v>1.6076071939045629</v>
      </c>
      <c r="H11" s="9">
        <f t="shared" si="1"/>
        <v>96.45643163427377</v>
      </c>
    </row>
    <row r="12" spans="1:9" x14ac:dyDescent="0.6">
      <c r="A12" s="7" t="s">
        <v>71</v>
      </c>
      <c r="B12" s="7">
        <v>2681</v>
      </c>
      <c r="C12" s="7">
        <v>49.471257999999999</v>
      </c>
      <c r="D12" s="7">
        <v>10.214828000000001</v>
      </c>
      <c r="E12" s="7">
        <v>10666.263524</v>
      </c>
      <c r="F12" s="8">
        <f t="shared" si="0"/>
        <v>34994.302900262468</v>
      </c>
      <c r="G12" s="9">
        <f t="shared" si="2"/>
        <v>3.8605977435927428</v>
      </c>
      <c r="H12" s="9">
        <f t="shared" si="1"/>
        <v>231.63586461556457</v>
      </c>
    </row>
    <row r="13" spans="1:9" x14ac:dyDescent="0.6">
      <c r="A13" s="7" t="s">
        <v>72</v>
      </c>
      <c r="B13" s="7">
        <v>2682</v>
      </c>
      <c r="C13" s="7">
        <v>60.27693</v>
      </c>
      <c r="D13" s="7">
        <v>6.9818879999999996</v>
      </c>
      <c r="E13" s="7">
        <v>11695.121746999999</v>
      </c>
      <c r="F13" s="8">
        <f t="shared" si="0"/>
        <v>38369.822004593174</v>
      </c>
      <c r="G13" s="9">
        <f t="shared" si="2"/>
        <v>3.8249418698424416</v>
      </c>
      <c r="H13" s="9">
        <f t="shared" si="1"/>
        <v>229.4965121905465</v>
      </c>
    </row>
    <row r="14" spans="1:9" x14ac:dyDescent="0.6">
      <c r="A14" s="7" t="s">
        <v>73</v>
      </c>
      <c r="B14" s="7">
        <v>2684</v>
      </c>
      <c r="C14" s="7">
        <v>50.018188000000002</v>
      </c>
      <c r="D14" s="7">
        <v>7.1284280000000004</v>
      </c>
      <c r="E14" s="7">
        <v>5670.6921869999996</v>
      </c>
      <c r="F14" s="8">
        <f t="shared" si="0"/>
        <v>18604.633159448818</v>
      </c>
      <c r="G14" s="9">
        <f t="shared" si="2"/>
        <v>2.7492879360812417</v>
      </c>
      <c r="H14" s="9">
        <f t="shared" si="1"/>
        <v>164.95727616487449</v>
      </c>
    </row>
    <row r="15" spans="1:9" x14ac:dyDescent="0.6">
      <c r="A15" s="7" t="s">
        <v>74</v>
      </c>
      <c r="B15" s="7">
        <v>2685</v>
      </c>
      <c r="C15" s="7">
        <v>75.818399999999997</v>
      </c>
      <c r="D15" s="7">
        <v>6.6544299999999996</v>
      </c>
      <c r="E15" s="7">
        <v>3484.372292</v>
      </c>
      <c r="F15" s="8">
        <f t="shared" si="0"/>
        <v>11431.667624671916</v>
      </c>
      <c r="G15" s="9">
        <f t="shared" si="2"/>
        <v>0.98103766247854784</v>
      </c>
      <c r="H15" s="9">
        <f t="shared" si="1"/>
        <v>58.862259748712873</v>
      </c>
    </row>
    <row r="16" spans="1:9" x14ac:dyDescent="0.6">
      <c r="A16" s="7" t="s">
        <v>75</v>
      </c>
      <c r="B16" s="7">
        <v>2686</v>
      </c>
      <c r="C16" s="7">
        <v>64.621261000000004</v>
      </c>
      <c r="D16" s="7">
        <v>8.0698570000000007</v>
      </c>
      <c r="E16" s="7">
        <v>6304.4101719999999</v>
      </c>
      <c r="F16" s="8">
        <f t="shared" si="0"/>
        <v>20683.760406824145</v>
      </c>
      <c r="G16" s="9">
        <f t="shared" si="2"/>
        <v>1.9416669446664907</v>
      </c>
      <c r="H16" s="9">
        <f t="shared" si="1"/>
        <v>116.50001667998944</v>
      </c>
    </row>
    <row r="17" spans="1:8" x14ac:dyDescent="0.6">
      <c r="A17" s="7" t="s">
        <v>76</v>
      </c>
      <c r="B17" s="7">
        <v>2688</v>
      </c>
      <c r="C17" s="7">
        <v>65.474864999999994</v>
      </c>
      <c r="D17" s="7">
        <v>7.5503309999999999</v>
      </c>
      <c r="E17" s="7">
        <v>19987.710133</v>
      </c>
      <c r="F17" s="8">
        <f t="shared" si="0"/>
        <v>65576.476814304464</v>
      </c>
      <c r="G17" s="9">
        <f t="shared" si="2"/>
        <v>4.9419271074518889</v>
      </c>
      <c r="H17" s="9">
        <f t="shared" si="1"/>
        <v>296.51562644711333</v>
      </c>
    </row>
    <row r="18" spans="1:8" x14ac:dyDescent="0.6">
      <c r="A18" s="7" t="s">
        <v>77</v>
      </c>
      <c r="B18" s="7">
        <v>2690</v>
      </c>
      <c r="C18" s="7">
        <v>72.699996999999996</v>
      </c>
      <c r="D18" s="7">
        <v>4.5718860000000001</v>
      </c>
      <c r="E18" s="7">
        <v>757.13834799999995</v>
      </c>
      <c r="F18" s="8">
        <f t="shared" si="0"/>
        <v>2484.0496981627293</v>
      </c>
      <c r="G18" s="9">
        <f t="shared" si="2"/>
        <v>0.38136641249763137</v>
      </c>
      <c r="H18" s="9">
        <f t="shared" si="1"/>
        <v>22.881984749857882</v>
      </c>
    </row>
    <row r="19" spans="1:8" x14ac:dyDescent="0.6">
      <c r="A19" s="7" t="s">
        <v>78</v>
      </c>
      <c r="B19" s="7">
        <v>2691</v>
      </c>
      <c r="C19" s="7">
        <v>79.563889000000003</v>
      </c>
      <c r="D19" s="7">
        <v>6.7504479999999996</v>
      </c>
      <c r="E19" s="7">
        <v>1753.445616</v>
      </c>
      <c r="F19" s="8">
        <f t="shared" si="0"/>
        <v>5752.7743307086612</v>
      </c>
      <c r="G19" s="9">
        <f t="shared" si="2"/>
        <v>0.50260095833605889</v>
      </c>
      <c r="H19" s="9">
        <f t="shared" si="1"/>
        <v>30.156057500163534</v>
      </c>
    </row>
    <row r="20" spans="1:8" x14ac:dyDescent="0.6">
      <c r="A20" s="7" t="s">
        <v>79</v>
      </c>
      <c r="B20" s="7">
        <v>2692</v>
      </c>
      <c r="C20" s="7">
        <v>70.131901999999997</v>
      </c>
      <c r="D20" s="7">
        <v>5.686795</v>
      </c>
      <c r="E20" s="7">
        <v>11627.735834999999</v>
      </c>
      <c r="F20" s="8">
        <f t="shared" si="0"/>
        <v>38148.739616141727</v>
      </c>
      <c r="G20" s="9">
        <f t="shared" si="2"/>
        <v>3.2630226843148535</v>
      </c>
      <c r="H20" s="9">
        <f t="shared" si="1"/>
        <v>195.78136105889121</v>
      </c>
    </row>
    <row r="21" spans="1:8" x14ac:dyDescent="0.6">
      <c r="A21" s="7" t="s">
        <v>80</v>
      </c>
      <c r="B21" s="7">
        <v>2693</v>
      </c>
      <c r="C21" s="7">
        <v>72.417297000000005</v>
      </c>
      <c r="D21" s="7">
        <v>6.5256309999999997</v>
      </c>
      <c r="E21" s="7">
        <v>7555.6926359999998</v>
      </c>
      <c r="F21" s="8">
        <f t="shared" si="0"/>
        <v>24789.017834645667</v>
      </c>
      <c r="G21" s="9">
        <f t="shared" si="2"/>
        <v>2.0266176312615345</v>
      </c>
      <c r="H21" s="9">
        <f t="shared" si="1"/>
        <v>121.59705787569207</v>
      </c>
    </row>
    <row r="22" spans="1:8" x14ac:dyDescent="0.6">
      <c r="A22" s="7" t="s">
        <v>81</v>
      </c>
      <c r="B22" s="7">
        <v>2694</v>
      </c>
      <c r="C22" s="7">
        <v>71.069999999999993</v>
      </c>
      <c r="D22" s="7">
        <v>5.3707039999999999</v>
      </c>
      <c r="E22" s="7">
        <v>3486.8849190000001</v>
      </c>
      <c r="F22" s="8">
        <f t="shared" si="0"/>
        <v>11439.911151574803</v>
      </c>
      <c r="G22" s="9">
        <f t="shared" si="2"/>
        <v>1.2488564798449462</v>
      </c>
      <c r="H22" s="9">
        <f t="shared" si="1"/>
        <v>74.931388790696772</v>
      </c>
    </row>
    <row r="23" spans="1:8" x14ac:dyDescent="0.6">
      <c r="A23" s="7" t="s">
        <v>82</v>
      </c>
      <c r="B23" s="7">
        <v>2696</v>
      </c>
      <c r="C23" s="7">
        <v>82</v>
      </c>
      <c r="D23" s="7">
        <v>4.737921</v>
      </c>
      <c r="E23" s="7">
        <v>394.27038199999998</v>
      </c>
      <c r="F23" s="8">
        <f t="shared" si="0"/>
        <v>1293.537998687664</v>
      </c>
      <c r="G23" s="9">
        <f t="shared" si="2"/>
        <v>0.16827401286823551</v>
      </c>
      <c r="H23" s="9">
        <f t="shared" si="1"/>
        <v>10.09644077209413</v>
      </c>
    </row>
    <row r="24" spans="1:8" x14ac:dyDescent="0.6">
      <c r="A24" s="7" t="s">
        <v>83</v>
      </c>
      <c r="B24" s="7">
        <v>2697</v>
      </c>
      <c r="C24" s="7">
        <v>82</v>
      </c>
      <c r="D24" s="7">
        <v>7.0815530000000004</v>
      </c>
      <c r="E24" s="7">
        <v>620.52669500000002</v>
      </c>
      <c r="F24" s="8">
        <f t="shared" si="0"/>
        <v>2035.8487368766405</v>
      </c>
      <c r="G24" s="9">
        <f t="shared" si="2"/>
        <v>0.19784257544080511</v>
      </c>
      <c r="H24" s="9">
        <f t="shared" si="1"/>
        <v>11.870554526448306</v>
      </c>
    </row>
    <row r="25" spans="1:8" x14ac:dyDescent="0.6">
      <c r="A25" s="7" t="s">
        <v>84</v>
      </c>
      <c r="B25" s="7">
        <v>2699</v>
      </c>
      <c r="C25" s="7">
        <v>72.403936999999999</v>
      </c>
      <c r="D25" s="7">
        <v>5.7517290000000001</v>
      </c>
      <c r="E25" s="7">
        <v>6079.4101719999999</v>
      </c>
      <c r="F25" s="8">
        <f t="shared" si="0"/>
        <v>19945.571430446194</v>
      </c>
      <c r="G25" s="9">
        <f t="shared" si="2"/>
        <v>1.81474092515686</v>
      </c>
      <c r="H25" s="9">
        <f t="shared" si="1"/>
        <v>108.88445550941159</v>
      </c>
    </row>
    <row r="26" spans="1:8" x14ac:dyDescent="0.6">
      <c r="A26" s="7" t="s">
        <v>85</v>
      </c>
      <c r="B26" s="7">
        <v>2700</v>
      </c>
      <c r="C26" s="7">
        <v>69.797680999999997</v>
      </c>
      <c r="D26" s="7">
        <v>7.4855590000000003</v>
      </c>
      <c r="E26" s="7">
        <v>4375.3494739999996</v>
      </c>
      <c r="F26" s="8">
        <f t="shared" si="0"/>
        <v>14354.821108923883</v>
      </c>
      <c r="G26" s="9">
        <f t="shared" si="2"/>
        <v>1.3130384598760059</v>
      </c>
      <c r="H26" s="9">
        <f t="shared" si="1"/>
        <v>78.782307592560358</v>
      </c>
    </row>
    <row r="27" spans="1:8" x14ac:dyDescent="0.6">
      <c r="A27" s="7" t="s">
        <v>86</v>
      </c>
      <c r="B27" s="7">
        <v>2701</v>
      </c>
      <c r="C27" s="7">
        <v>66.575958999999997</v>
      </c>
      <c r="D27" s="7">
        <v>11.368865</v>
      </c>
      <c r="E27" s="7">
        <v>8430.7426930000001</v>
      </c>
      <c r="F27" s="8">
        <f t="shared" si="0"/>
        <v>27659.916971784776</v>
      </c>
      <c r="G27" s="9">
        <f t="shared" si="2"/>
        <v>1.9615896209439969</v>
      </c>
      <c r="H27" s="9">
        <f t="shared" si="1"/>
        <v>117.69537725663982</v>
      </c>
    </row>
    <row r="28" spans="1:8" x14ac:dyDescent="0.6">
      <c r="A28" s="7" t="s">
        <v>87</v>
      </c>
      <c r="B28" s="7">
        <v>2702</v>
      </c>
      <c r="C28" s="7">
        <v>79.266812999999999</v>
      </c>
      <c r="D28" s="7">
        <v>6.1396189999999997</v>
      </c>
      <c r="E28" s="7">
        <v>3146.5674589999999</v>
      </c>
      <c r="F28" s="8">
        <f t="shared" si="0"/>
        <v>10323.384051837269</v>
      </c>
      <c r="G28" s="9">
        <f t="shared" si="2"/>
        <v>0.84910482927687714</v>
      </c>
      <c r="H28" s="9">
        <f t="shared" si="1"/>
        <v>50.946289756612629</v>
      </c>
    </row>
    <row r="29" spans="1:8" x14ac:dyDescent="0.6">
      <c r="A29" s="7" t="s">
        <v>88</v>
      </c>
      <c r="B29" s="7">
        <v>2703</v>
      </c>
      <c r="C29" s="7">
        <v>71.069999999999993</v>
      </c>
      <c r="D29" s="7">
        <v>9.2714680000000005</v>
      </c>
      <c r="E29" s="7">
        <v>352.40485200000001</v>
      </c>
      <c r="F29" s="8">
        <f t="shared" si="0"/>
        <v>1156.1838976377953</v>
      </c>
      <c r="G29" s="9">
        <f t="shared" si="2"/>
        <v>0.15192781799356611</v>
      </c>
      <c r="H29" s="9">
        <f t="shared" si="1"/>
        <v>9.1156690796139674</v>
      </c>
    </row>
    <row r="30" spans="1:8" x14ac:dyDescent="0.6">
      <c r="A30" s="7" t="s">
        <v>89</v>
      </c>
      <c r="B30" s="7">
        <v>2704</v>
      </c>
      <c r="C30" s="7">
        <v>47.373494000000001</v>
      </c>
      <c r="D30" s="7">
        <v>6.3269659999999996</v>
      </c>
      <c r="E30" s="7">
        <v>8148.8014039999998</v>
      </c>
      <c r="F30" s="8">
        <f t="shared" si="0"/>
        <v>26734.912742782151</v>
      </c>
      <c r="G30" s="9">
        <f t="shared" si="2"/>
        <v>4.1733394077660027</v>
      </c>
      <c r="H30" s="9">
        <f t="shared" si="1"/>
        <v>250.40036446596017</v>
      </c>
    </row>
    <row r="31" spans="1:8" x14ac:dyDescent="0.6">
      <c r="A31" s="7" t="s">
        <v>90</v>
      </c>
      <c r="B31" s="7">
        <v>2706</v>
      </c>
      <c r="C31" s="7">
        <v>71.908848000000006</v>
      </c>
      <c r="D31" s="7">
        <v>5.9760799999999996</v>
      </c>
      <c r="E31" s="7">
        <v>4142.506762</v>
      </c>
      <c r="F31" s="8">
        <f t="shared" si="0"/>
        <v>13590.901450131232</v>
      </c>
      <c r="G31" s="9">
        <f t="shared" si="2"/>
        <v>1.3279347337048157</v>
      </c>
      <c r="H31" s="9">
        <f t="shared" si="1"/>
        <v>79.676084022288947</v>
      </c>
    </row>
    <row r="32" spans="1:8" x14ac:dyDescent="0.6">
      <c r="A32" s="7" t="s">
        <v>91</v>
      </c>
      <c r="B32" s="7">
        <v>2708</v>
      </c>
      <c r="C32" s="7">
        <v>71.129267999999996</v>
      </c>
      <c r="D32" s="7">
        <v>5.2239899999999997</v>
      </c>
      <c r="E32" s="7">
        <v>2354.2577550000001</v>
      </c>
      <c r="F32" s="8">
        <f t="shared" si="0"/>
        <v>7723.942765748031</v>
      </c>
      <c r="G32" s="9">
        <f t="shared" si="2"/>
        <v>0.92332874186241498</v>
      </c>
      <c r="H32" s="9">
        <f t="shared" si="1"/>
        <v>55.3997245117449</v>
      </c>
    </row>
    <row r="33" spans="1:8" x14ac:dyDescent="0.6">
      <c r="A33" s="7" t="s">
        <v>92</v>
      </c>
      <c r="B33" s="7">
        <v>2710</v>
      </c>
      <c r="C33" s="7">
        <v>73.880624999999995</v>
      </c>
      <c r="D33" s="7">
        <v>4.6666249999999998</v>
      </c>
      <c r="E33" s="7">
        <v>3653.122292</v>
      </c>
      <c r="F33" s="8">
        <f t="shared" si="0"/>
        <v>11985.30935695538</v>
      </c>
      <c r="G33" s="9">
        <f t="shared" si="2"/>
        <v>1.2861505411597836</v>
      </c>
      <c r="H33" s="9">
        <f t="shared" si="1"/>
        <v>77.169032469587009</v>
      </c>
    </row>
    <row r="34" spans="1:8" x14ac:dyDescent="0.6">
      <c r="A34" s="7" t="s">
        <v>93</v>
      </c>
      <c r="B34" s="7">
        <v>2712</v>
      </c>
      <c r="C34" s="7">
        <v>76.546854999999994</v>
      </c>
      <c r="D34" s="7">
        <v>5.5487000000000002</v>
      </c>
      <c r="E34" s="7">
        <v>10813.293648000001</v>
      </c>
      <c r="F34" s="8">
        <f t="shared" ref="F34:F65" si="3">E34/0.3048</f>
        <v>35476.685196850398</v>
      </c>
      <c r="G34" s="9">
        <f t="shared" si="2"/>
        <v>2.6023449572480053</v>
      </c>
      <c r="H34" s="9">
        <f t="shared" ref="H34:H65" si="4">+G34*60</f>
        <v>156.14069743488031</v>
      </c>
    </row>
    <row r="35" spans="1:8" x14ac:dyDescent="0.6">
      <c r="A35" s="7" t="s">
        <v>95</v>
      </c>
      <c r="B35" s="7">
        <v>2713</v>
      </c>
      <c r="C35" s="7">
        <v>71.095646000000002</v>
      </c>
      <c r="D35" s="7">
        <v>5.9695119999999999</v>
      </c>
      <c r="E35" s="7">
        <v>8438.4460650000001</v>
      </c>
      <c r="F35" s="8">
        <f t="shared" si="3"/>
        <v>27685.190501968504</v>
      </c>
      <c r="G35" s="9">
        <f t="shared" si="2"/>
        <v>2.4005688093080786</v>
      </c>
      <c r="H35" s="9">
        <f t="shared" si="4"/>
        <v>144.03412855848472</v>
      </c>
    </row>
    <row r="36" spans="1:8" x14ac:dyDescent="0.6">
      <c r="A36" s="7" t="s">
        <v>96</v>
      </c>
      <c r="B36" s="7">
        <v>2714</v>
      </c>
      <c r="C36" s="7">
        <v>71.272730999999993</v>
      </c>
      <c r="D36" s="7">
        <v>6.1268840000000004</v>
      </c>
      <c r="E36" s="7">
        <v>3170.6791119999998</v>
      </c>
      <c r="F36" s="8">
        <f t="shared" si="3"/>
        <v>10402.490524934383</v>
      </c>
      <c r="G36" s="9">
        <f t="shared" si="2"/>
        <v>1.0776332411502152</v>
      </c>
      <c r="H36" s="9">
        <f t="shared" si="4"/>
        <v>64.657994469012905</v>
      </c>
    </row>
    <row r="37" spans="1:8" x14ac:dyDescent="0.6">
      <c r="A37" s="7" t="s">
        <v>97</v>
      </c>
      <c r="B37" s="7">
        <v>2715</v>
      </c>
      <c r="C37" s="7">
        <v>52.406064000000001</v>
      </c>
      <c r="D37" s="7">
        <v>6.7032410000000002</v>
      </c>
      <c r="E37" s="7">
        <v>11353.306275000001</v>
      </c>
      <c r="F37" s="8">
        <f t="shared" si="3"/>
        <v>37248.380167322837</v>
      </c>
      <c r="G37" s="9">
        <f t="shared" si="2"/>
        <v>4.6501330628835928</v>
      </c>
      <c r="H37" s="9">
        <f t="shared" si="4"/>
        <v>279.00798377301555</v>
      </c>
    </row>
    <row r="38" spans="1:8" x14ac:dyDescent="0.6">
      <c r="A38" s="7" t="s">
        <v>98</v>
      </c>
      <c r="B38" s="7">
        <v>2716</v>
      </c>
      <c r="C38" s="7">
        <v>72.173192999999998</v>
      </c>
      <c r="D38" s="7">
        <v>5.6818169999999997</v>
      </c>
      <c r="E38" s="7">
        <v>12155.908185</v>
      </c>
      <c r="F38" s="8">
        <f t="shared" si="3"/>
        <v>39881.588533464565</v>
      </c>
      <c r="G38" s="9">
        <f t="shared" si="2"/>
        <v>3.1988086315531761</v>
      </c>
      <c r="H38" s="9">
        <f t="shared" si="4"/>
        <v>191.92851789319056</v>
      </c>
    </row>
    <row r="39" spans="1:8" x14ac:dyDescent="0.6">
      <c r="A39" s="7" t="s">
        <v>99</v>
      </c>
      <c r="B39" s="7">
        <v>2717</v>
      </c>
      <c r="C39" s="7">
        <v>73.326965999999999</v>
      </c>
      <c r="D39" s="7">
        <v>7.5378429999999996</v>
      </c>
      <c r="E39" s="7">
        <v>18226.631937999999</v>
      </c>
      <c r="F39" s="8">
        <f t="shared" si="3"/>
        <v>59798.661213910753</v>
      </c>
      <c r="G39" s="9">
        <f t="shared" si="2"/>
        <v>3.7185865993668177</v>
      </c>
      <c r="H39" s="9">
        <f t="shared" si="4"/>
        <v>223.11519596200907</v>
      </c>
    </row>
    <row r="40" spans="1:8" x14ac:dyDescent="0.6">
      <c r="A40" s="7" t="s">
        <v>100</v>
      </c>
      <c r="B40" s="7">
        <v>2718</v>
      </c>
      <c r="C40" s="7">
        <v>43.356600999999998</v>
      </c>
      <c r="D40" s="7">
        <v>8.0663029999999996</v>
      </c>
      <c r="E40" s="7">
        <v>11714.639245</v>
      </c>
      <c r="F40" s="8">
        <f t="shared" si="3"/>
        <v>38433.855790682413</v>
      </c>
      <c r="G40" s="9">
        <f t="shared" si="2"/>
        <v>5.4874192453188986</v>
      </c>
      <c r="H40" s="9">
        <f t="shared" si="4"/>
        <v>329.24515471913389</v>
      </c>
    </row>
    <row r="41" spans="1:8" x14ac:dyDescent="0.6">
      <c r="A41" s="7" t="s">
        <v>101</v>
      </c>
      <c r="B41" s="7">
        <v>2720</v>
      </c>
      <c r="C41" s="7">
        <v>70.605486999999997</v>
      </c>
      <c r="D41" s="7">
        <v>34.827506999999997</v>
      </c>
      <c r="E41" s="7">
        <v>15876.52958</v>
      </c>
      <c r="F41" s="8">
        <f t="shared" si="3"/>
        <v>52088.351640419947</v>
      </c>
      <c r="G41" s="9">
        <f t="shared" si="2"/>
        <v>1.670018436327857</v>
      </c>
      <c r="H41" s="9">
        <f t="shared" si="4"/>
        <v>100.20110617967141</v>
      </c>
    </row>
    <row r="42" spans="1:8" x14ac:dyDescent="0.6">
      <c r="A42" s="7" t="s">
        <v>102</v>
      </c>
      <c r="B42" s="7">
        <v>2722</v>
      </c>
      <c r="C42" s="7">
        <v>79.456571999999994</v>
      </c>
      <c r="D42" s="7">
        <v>10.729322</v>
      </c>
      <c r="E42" s="7">
        <v>5046.9354249999997</v>
      </c>
      <c r="F42" s="8">
        <f t="shared" si="3"/>
        <v>16558.187089895011</v>
      </c>
      <c r="G42" s="9">
        <f t="shared" si="2"/>
        <v>0.93186835413664959</v>
      </c>
      <c r="H42" s="9">
        <f t="shared" si="4"/>
        <v>55.912101248198972</v>
      </c>
    </row>
    <row r="43" spans="1:8" x14ac:dyDescent="0.6">
      <c r="A43" s="7" t="s">
        <v>103</v>
      </c>
      <c r="B43" s="7">
        <v>2725</v>
      </c>
      <c r="C43" s="7">
        <v>70.134662000000006</v>
      </c>
      <c r="D43" s="7">
        <v>35.327927000000003</v>
      </c>
      <c r="E43" s="7">
        <v>8696.2125689999993</v>
      </c>
      <c r="F43" s="8">
        <f t="shared" si="3"/>
        <v>28530.881131889761</v>
      </c>
      <c r="G43" s="9">
        <f t="shared" si="2"/>
        <v>1.0376009362417384</v>
      </c>
      <c r="H43" s="9">
        <f t="shared" si="4"/>
        <v>62.256056174504309</v>
      </c>
    </row>
    <row r="44" spans="1:8" x14ac:dyDescent="0.6">
      <c r="A44" s="7" t="s">
        <v>104</v>
      </c>
      <c r="B44" s="7">
        <v>2726</v>
      </c>
      <c r="C44" s="7">
        <v>82.074866</v>
      </c>
      <c r="D44" s="7">
        <v>11.379713000000001</v>
      </c>
      <c r="E44" s="7">
        <v>904.99368700000002</v>
      </c>
      <c r="F44" s="8">
        <f t="shared" si="3"/>
        <v>2969.1393930446193</v>
      </c>
      <c r="G44" s="9">
        <f t="shared" si="2"/>
        <v>0.21055529176231075</v>
      </c>
      <c r="H44" s="9">
        <f t="shared" si="4"/>
        <v>12.633317505738646</v>
      </c>
    </row>
    <row r="45" spans="1:8" x14ac:dyDescent="0.6">
      <c r="A45" s="7" t="s">
        <v>105</v>
      </c>
      <c r="B45" s="7">
        <v>2727</v>
      </c>
      <c r="C45" s="7">
        <v>71.069999999999993</v>
      </c>
      <c r="D45" s="7">
        <v>8.5446109999999997</v>
      </c>
      <c r="E45" s="7">
        <v>8155.4008780000004</v>
      </c>
      <c r="F45" s="8">
        <f t="shared" si="3"/>
        <v>26756.564560367453</v>
      </c>
      <c r="G45" s="9">
        <f t="shared" si="2"/>
        <v>1.9538362002984768</v>
      </c>
      <c r="H45" s="9">
        <f t="shared" si="4"/>
        <v>117.23017201790861</v>
      </c>
    </row>
    <row r="46" spans="1:8" x14ac:dyDescent="0.6">
      <c r="A46" s="7" t="s">
        <v>106</v>
      </c>
      <c r="B46" s="7">
        <v>2728</v>
      </c>
      <c r="C46" s="7">
        <v>70</v>
      </c>
      <c r="D46" s="7">
        <v>57.538780000000003</v>
      </c>
      <c r="E46" s="7">
        <v>5031.9358739999998</v>
      </c>
      <c r="F46" s="8">
        <f t="shared" si="3"/>
        <v>16508.975964566929</v>
      </c>
      <c r="G46" s="9">
        <f t="shared" si="2"/>
        <v>0.52676239240805012</v>
      </c>
      <c r="H46" s="9">
        <f t="shared" si="4"/>
        <v>31.605743544483008</v>
      </c>
    </row>
    <row r="47" spans="1:8" x14ac:dyDescent="0.6">
      <c r="A47" s="7" t="s">
        <v>107</v>
      </c>
      <c r="B47" s="7">
        <v>2729</v>
      </c>
      <c r="C47" s="7">
        <v>62.767052999999997</v>
      </c>
      <c r="D47" s="7">
        <v>10.426360000000001</v>
      </c>
      <c r="E47" s="7">
        <v>7476.0091979999997</v>
      </c>
      <c r="F47" s="8">
        <f t="shared" si="3"/>
        <v>24527.589232283462</v>
      </c>
      <c r="G47" s="9">
        <f t="shared" si="2"/>
        <v>2.0535328023712784</v>
      </c>
      <c r="H47" s="9">
        <f t="shared" si="4"/>
        <v>123.2119681422767</v>
      </c>
    </row>
    <row r="48" spans="1:8" x14ac:dyDescent="0.6">
      <c r="A48" s="7" t="s">
        <v>108</v>
      </c>
      <c r="B48" s="7">
        <v>2730</v>
      </c>
      <c r="C48" s="7">
        <v>70.272814999999994</v>
      </c>
      <c r="D48" s="7">
        <v>6.9536410000000002</v>
      </c>
      <c r="E48" s="7">
        <v>9556.7965330000006</v>
      </c>
      <c r="F48" s="8">
        <f t="shared" si="3"/>
        <v>31354.319333989501</v>
      </c>
      <c r="G48" s="9">
        <f t="shared" si="2"/>
        <v>2.5127200706416093</v>
      </c>
      <c r="H48" s="9">
        <f t="shared" si="4"/>
        <v>150.76320423849657</v>
      </c>
    </row>
    <row r="49" spans="1:8" x14ac:dyDescent="0.6">
      <c r="A49" s="7" t="s">
        <v>109</v>
      </c>
      <c r="B49" s="7">
        <v>2731</v>
      </c>
      <c r="C49" s="7">
        <v>71.069999999999993</v>
      </c>
      <c r="D49" s="7">
        <v>9.0852350000000008</v>
      </c>
      <c r="E49" s="7">
        <v>8628.2562170000001</v>
      </c>
      <c r="F49" s="8">
        <f t="shared" si="3"/>
        <v>28307.927221128608</v>
      </c>
      <c r="G49" s="9">
        <f t="shared" si="2"/>
        <v>1.9822042032289495</v>
      </c>
      <c r="H49" s="9">
        <f t="shared" si="4"/>
        <v>118.93225219373697</v>
      </c>
    </row>
    <row r="50" spans="1:8" x14ac:dyDescent="0.6">
      <c r="A50" s="7" t="s">
        <v>110</v>
      </c>
      <c r="B50" s="7">
        <v>2732</v>
      </c>
      <c r="C50" s="7">
        <v>70</v>
      </c>
      <c r="D50" s="7">
        <v>67.912239</v>
      </c>
      <c r="E50" s="7">
        <v>1665.057268</v>
      </c>
      <c r="F50" s="8">
        <f t="shared" si="3"/>
        <v>5462.7863123359575</v>
      </c>
      <c r="G50" s="9">
        <f t="shared" si="2"/>
        <v>0.20015955344888287</v>
      </c>
      <c r="H50" s="9">
        <f t="shared" si="4"/>
        <v>12.009573206932972</v>
      </c>
    </row>
    <row r="51" spans="1:8" x14ac:dyDescent="0.6">
      <c r="A51" s="7" t="s">
        <v>111</v>
      </c>
      <c r="B51" s="7">
        <v>2733</v>
      </c>
      <c r="C51" s="7">
        <v>70</v>
      </c>
      <c r="D51" s="7">
        <v>53.987476000000001</v>
      </c>
      <c r="E51" s="7">
        <v>8741.1111079999991</v>
      </c>
      <c r="F51" s="8">
        <f t="shared" si="3"/>
        <v>28678.186049868764</v>
      </c>
      <c r="G51" s="9">
        <f t="shared" si="2"/>
        <v>0.8458898391109253</v>
      </c>
      <c r="H51" s="9">
        <f t="shared" si="4"/>
        <v>50.753390346655522</v>
      </c>
    </row>
    <row r="52" spans="1:8" x14ac:dyDescent="0.6">
      <c r="A52" s="7" t="s">
        <v>112</v>
      </c>
      <c r="B52" s="7">
        <v>2734</v>
      </c>
      <c r="C52" s="7">
        <v>70</v>
      </c>
      <c r="D52" s="7">
        <v>70.247658000000001</v>
      </c>
      <c r="E52" s="7">
        <v>1468.382034</v>
      </c>
      <c r="F52" s="8">
        <f t="shared" si="3"/>
        <v>4817.5263582677162</v>
      </c>
      <c r="G52" s="9">
        <f t="shared" si="2"/>
        <v>0.17797636504951558</v>
      </c>
      <c r="H52" s="9">
        <f t="shared" si="4"/>
        <v>10.678581902970935</v>
      </c>
    </row>
    <row r="53" spans="1:8" x14ac:dyDescent="0.6">
      <c r="A53" s="7" t="s">
        <v>113</v>
      </c>
      <c r="B53" s="7">
        <v>2735</v>
      </c>
      <c r="C53" s="7">
        <v>70</v>
      </c>
      <c r="D53" s="7">
        <v>66.824280000000002</v>
      </c>
      <c r="E53" s="7">
        <v>1699.448052</v>
      </c>
      <c r="F53" s="8">
        <f t="shared" si="3"/>
        <v>5575.6169685039367</v>
      </c>
      <c r="G53" s="9">
        <f t="shared" si="2"/>
        <v>0.20510969022856348</v>
      </c>
      <c r="H53" s="9">
        <f t="shared" si="4"/>
        <v>12.306581413713809</v>
      </c>
    </row>
    <row r="54" spans="1:8" x14ac:dyDescent="0.6">
      <c r="A54" s="7" t="s">
        <v>114</v>
      </c>
      <c r="B54" s="7">
        <v>2736</v>
      </c>
      <c r="C54" s="7">
        <v>70</v>
      </c>
      <c r="D54" s="7">
        <v>70.323807000000002</v>
      </c>
      <c r="E54" s="7">
        <v>9583.3576790000006</v>
      </c>
      <c r="F54" s="8">
        <f t="shared" si="3"/>
        <v>31441.46220144357</v>
      </c>
      <c r="G54" s="9">
        <f t="shared" si="2"/>
        <v>0.79775581611814816</v>
      </c>
      <c r="H54" s="9">
        <f t="shared" si="4"/>
        <v>47.865348967088892</v>
      </c>
    </row>
    <row r="55" spans="1:8" x14ac:dyDescent="0.6">
      <c r="A55" s="7" t="s">
        <v>115</v>
      </c>
      <c r="B55" s="7">
        <v>2737</v>
      </c>
      <c r="C55" s="7">
        <v>71.069999999999993</v>
      </c>
      <c r="D55" s="7">
        <v>10.635876</v>
      </c>
      <c r="E55" s="7">
        <v>1762.4684339999999</v>
      </c>
      <c r="F55" s="8">
        <f t="shared" si="3"/>
        <v>5782.3767519685034</v>
      </c>
      <c r="G55" s="9">
        <f t="shared" si="2"/>
        <v>0.51414840659655081</v>
      </c>
      <c r="H55" s="9">
        <f t="shared" si="4"/>
        <v>30.848904395793049</v>
      </c>
    </row>
    <row r="56" spans="1:8" x14ac:dyDescent="0.6">
      <c r="A56" s="7" t="s">
        <v>116</v>
      </c>
      <c r="B56" s="7">
        <v>2738</v>
      </c>
      <c r="C56" s="7">
        <v>70.013059999999996</v>
      </c>
      <c r="D56" s="7">
        <v>46.150452000000001</v>
      </c>
      <c r="E56" s="7">
        <v>11432.075215000001</v>
      </c>
      <c r="F56" s="8">
        <f t="shared" si="3"/>
        <v>37506.80844816273</v>
      </c>
      <c r="G56" s="9">
        <f t="shared" si="2"/>
        <v>1.1336155186313308</v>
      </c>
      <c r="H56" s="9">
        <f t="shared" si="4"/>
        <v>68.016931117879849</v>
      </c>
    </row>
    <row r="57" spans="1:8" x14ac:dyDescent="0.6">
      <c r="A57" s="7" t="s">
        <v>117</v>
      </c>
      <c r="B57" s="7">
        <v>2739</v>
      </c>
      <c r="C57" s="7">
        <v>70.947086999999996</v>
      </c>
      <c r="D57" s="7">
        <v>12.381575</v>
      </c>
      <c r="E57" s="7">
        <v>5697.5450899999996</v>
      </c>
      <c r="F57" s="8">
        <f t="shared" si="3"/>
        <v>18692.733234908133</v>
      </c>
      <c r="G57" s="9">
        <f t="shared" si="2"/>
        <v>1.2223576961175202</v>
      </c>
      <c r="H57" s="9">
        <f t="shared" si="4"/>
        <v>73.341461767051214</v>
      </c>
    </row>
    <row r="58" spans="1:8" x14ac:dyDescent="0.6">
      <c r="A58" s="7" t="s">
        <v>118</v>
      </c>
      <c r="B58" s="7">
        <v>2740</v>
      </c>
      <c r="C58" s="7">
        <v>70.003658000000001</v>
      </c>
      <c r="D58" s="7">
        <v>40.351799</v>
      </c>
      <c r="E58" s="7">
        <v>7517.3674209999999</v>
      </c>
      <c r="F58" s="8">
        <f t="shared" si="3"/>
        <v>24663.278940288714</v>
      </c>
      <c r="G58" s="9">
        <f t="shared" si="2"/>
        <v>0.86713205644395641</v>
      </c>
      <c r="H58" s="9">
        <f t="shared" si="4"/>
        <v>52.027923386637383</v>
      </c>
    </row>
    <row r="59" spans="1:8" x14ac:dyDescent="0.6">
      <c r="A59" s="7" t="s">
        <v>119</v>
      </c>
      <c r="B59" s="7">
        <v>2741</v>
      </c>
      <c r="C59" s="7">
        <v>60.214055999999999</v>
      </c>
      <c r="D59" s="7">
        <v>7.5630550000000003</v>
      </c>
      <c r="E59" s="7">
        <v>4286.7325019999998</v>
      </c>
      <c r="F59" s="8">
        <f t="shared" si="3"/>
        <v>14064.083011811023</v>
      </c>
      <c r="G59" s="9">
        <f t="shared" si="2"/>
        <v>1.6491228306514822</v>
      </c>
      <c r="H59" s="9">
        <f t="shared" si="4"/>
        <v>98.947369839088935</v>
      </c>
    </row>
    <row r="60" spans="1:8" x14ac:dyDescent="0.6">
      <c r="A60" s="7" t="s">
        <v>120</v>
      </c>
      <c r="B60" s="7">
        <v>2742</v>
      </c>
      <c r="C60" s="7">
        <v>71.069999999999993</v>
      </c>
      <c r="D60" s="7">
        <v>8.0182409999999997</v>
      </c>
      <c r="E60" s="7">
        <v>4778.9790730000004</v>
      </c>
      <c r="F60" s="8">
        <f t="shared" si="3"/>
        <v>15679.065200131234</v>
      </c>
      <c r="G60" s="9">
        <f t="shared" si="2"/>
        <v>1.315244817515983</v>
      </c>
      <c r="H60" s="9">
        <f t="shared" si="4"/>
        <v>78.914689050958984</v>
      </c>
    </row>
    <row r="61" spans="1:8" x14ac:dyDescent="0.6">
      <c r="A61" s="7" t="s">
        <v>121</v>
      </c>
      <c r="B61" s="7">
        <v>2743</v>
      </c>
      <c r="C61" s="7">
        <v>70</v>
      </c>
      <c r="D61" s="7">
        <v>63.624263999999997</v>
      </c>
      <c r="E61" s="7">
        <v>6825.5780990000003</v>
      </c>
      <c r="F61" s="8">
        <f t="shared" si="3"/>
        <v>22393.628933727035</v>
      </c>
      <c r="G61" s="9">
        <f t="shared" si="2"/>
        <v>0.63930363563525205</v>
      </c>
      <c r="H61" s="9">
        <f t="shared" si="4"/>
        <v>38.35821813811512</v>
      </c>
    </row>
    <row r="62" spans="1:8" x14ac:dyDescent="0.6">
      <c r="A62" s="7" t="s">
        <v>122</v>
      </c>
      <c r="B62" s="7">
        <v>2744</v>
      </c>
      <c r="C62" s="7">
        <v>70</v>
      </c>
      <c r="D62" s="7">
        <v>59.664515999999999</v>
      </c>
      <c r="E62" s="7">
        <v>5281.707249</v>
      </c>
      <c r="F62" s="8">
        <f t="shared" si="3"/>
        <v>17328.435856299213</v>
      </c>
      <c r="G62" s="9">
        <f t="shared" si="2"/>
        <v>0.53773512714444605</v>
      </c>
      <c r="H62" s="9">
        <f t="shared" si="4"/>
        <v>32.264107628666764</v>
      </c>
    </row>
    <row r="63" spans="1:8" x14ac:dyDescent="0.6">
      <c r="A63" s="7" t="s">
        <v>123</v>
      </c>
      <c r="B63" s="7">
        <v>2745</v>
      </c>
      <c r="C63" s="7">
        <v>70.520849999999996</v>
      </c>
      <c r="D63" s="7">
        <v>20.879367999999999</v>
      </c>
      <c r="E63" s="7">
        <v>6818.4081850000002</v>
      </c>
      <c r="F63" s="8">
        <f t="shared" si="3"/>
        <v>22370.105593832021</v>
      </c>
      <c r="G63" s="9">
        <f t="shared" si="2"/>
        <v>1.0994232660406489</v>
      </c>
      <c r="H63" s="9">
        <f t="shared" si="4"/>
        <v>65.965395962438933</v>
      </c>
    </row>
    <row r="64" spans="1:8" x14ac:dyDescent="0.6">
      <c r="A64" s="7" t="s">
        <v>124</v>
      </c>
      <c r="B64" s="7">
        <v>2746</v>
      </c>
      <c r="C64" s="7">
        <v>63.68777</v>
      </c>
      <c r="D64" s="7">
        <v>7.5721879999999997</v>
      </c>
      <c r="E64" s="7">
        <v>2609.587841</v>
      </c>
      <c r="F64" s="8">
        <f t="shared" si="3"/>
        <v>8561.6398982939627</v>
      </c>
      <c r="G64" s="9">
        <f t="shared" si="2"/>
        <v>1.0139260974980784</v>
      </c>
      <c r="H64" s="9">
        <f t="shared" si="4"/>
        <v>60.835565849884702</v>
      </c>
    </row>
    <row r="65" spans="1:8" x14ac:dyDescent="0.6">
      <c r="A65" s="7" t="s">
        <v>125</v>
      </c>
      <c r="B65" s="7">
        <v>2747</v>
      </c>
      <c r="C65" s="7">
        <v>68.406901000000005</v>
      </c>
      <c r="D65" s="7">
        <v>46.918467999999997</v>
      </c>
      <c r="E65" s="7">
        <v>19812.342167999999</v>
      </c>
      <c r="F65" s="8">
        <f t="shared" si="3"/>
        <v>65001.122598425194</v>
      </c>
      <c r="G65" s="9">
        <f t="shared" si="2"/>
        <v>1.822386433948002</v>
      </c>
      <c r="H65" s="9">
        <f t="shared" si="4"/>
        <v>109.34318603688013</v>
      </c>
    </row>
    <row r="66" spans="1:8" x14ac:dyDescent="0.6">
      <c r="A66" s="7" t="s">
        <v>126</v>
      </c>
      <c r="B66" s="7">
        <v>2748</v>
      </c>
      <c r="C66" s="7">
        <v>45.871436000000003</v>
      </c>
      <c r="D66" s="7">
        <v>6.369529</v>
      </c>
      <c r="E66" s="7">
        <v>2691.0218239999999</v>
      </c>
      <c r="F66" s="8">
        <f t="shared" ref="F66:F97" si="5">E66/0.3048</f>
        <v>8828.8117585301825</v>
      </c>
      <c r="G66" s="9">
        <f t="shared" si="2"/>
        <v>1.782226592257363</v>
      </c>
      <c r="H66" s="9">
        <f t="shared" ref="H66:H97" si="6">+G66*60</f>
        <v>106.93359553544178</v>
      </c>
    </row>
    <row r="67" spans="1:8" x14ac:dyDescent="0.6">
      <c r="A67" s="7" t="s">
        <v>127</v>
      </c>
      <c r="B67" s="7">
        <v>2749</v>
      </c>
      <c r="C67" s="7">
        <v>68.463594999999998</v>
      </c>
      <c r="D67" s="7">
        <v>29.566500000000001</v>
      </c>
      <c r="E67" s="7">
        <v>7210.6286049999999</v>
      </c>
      <c r="F67" s="8">
        <f t="shared" si="5"/>
        <v>23656.917995406824</v>
      </c>
      <c r="G67" s="9">
        <f t="shared" ref="G67:G114" si="7">(F67^0.8*(((1000/C67)-10)+1)^0.7)/(1900*D67^0.5)</f>
        <v>1.0211429845851454</v>
      </c>
      <c r="H67" s="9">
        <f t="shared" si="6"/>
        <v>61.268579075108725</v>
      </c>
    </row>
    <row r="68" spans="1:8" x14ac:dyDescent="0.6">
      <c r="A68" s="7" t="s">
        <v>128</v>
      </c>
      <c r="B68" s="7">
        <v>2750</v>
      </c>
      <c r="C68" s="7">
        <v>70</v>
      </c>
      <c r="D68" s="7">
        <v>71.780936999999994</v>
      </c>
      <c r="E68" s="7">
        <v>4487.5577169999997</v>
      </c>
      <c r="F68" s="8">
        <f t="shared" si="5"/>
        <v>14722.958389107609</v>
      </c>
      <c r="G68" s="9">
        <f t="shared" si="7"/>
        <v>0.43033877972880247</v>
      </c>
      <c r="H68" s="9">
        <f t="shared" si="6"/>
        <v>25.820326783728149</v>
      </c>
    </row>
    <row r="69" spans="1:8" x14ac:dyDescent="0.6">
      <c r="A69" s="7" t="s">
        <v>129</v>
      </c>
      <c r="B69" s="7">
        <v>2751</v>
      </c>
      <c r="C69" s="7">
        <v>70</v>
      </c>
      <c r="D69" s="7">
        <v>58.073425</v>
      </c>
      <c r="E69" s="7">
        <v>5028.1669339999999</v>
      </c>
      <c r="F69" s="8">
        <f t="shared" si="5"/>
        <v>16496.610675853019</v>
      </c>
      <c r="G69" s="9">
        <f t="shared" si="7"/>
        <v>0.52401779800894144</v>
      </c>
      <c r="H69" s="9">
        <f t="shared" si="6"/>
        <v>31.441067880536487</v>
      </c>
    </row>
    <row r="70" spans="1:8" x14ac:dyDescent="0.6">
      <c r="A70" s="7" t="s">
        <v>130</v>
      </c>
      <c r="B70" s="7">
        <v>2752</v>
      </c>
      <c r="C70" s="7">
        <v>70</v>
      </c>
      <c r="D70" s="7">
        <v>51.381439</v>
      </c>
      <c r="E70" s="7">
        <v>4427.4941349999999</v>
      </c>
      <c r="F70" s="8">
        <f t="shared" si="5"/>
        <v>14525.899393044618</v>
      </c>
      <c r="G70" s="9">
        <f t="shared" si="7"/>
        <v>0.50318799576668782</v>
      </c>
      <c r="H70" s="9">
        <f t="shared" si="6"/>
        <v>30.191279746001271</v>
      </c>
    </row>
    <row r="71" spans="1:8" x14ac:dyDescent="0.6">
      <c r="A71" s="7" t="s">
        <v>131</v>
      </c>
      <c r="B71" s="7">
        <v>2753</v>
      </c>
      <c r="C71" s="7">
        <v>70</v>
      </c>
      <c r="D71" s="7">
        <v>61.750518999999997</v>
      </c>
      <c r="E71" s="7">
        <v>1075.336399</v>
      </c>
      <c r="F71" s="8">
        <f t="shared" si="5"/>
        <v>3528.0065583989499</v>
      </c>
      <c r="G71" s="9">
        <f t="shared" si="7"/>
        <v>0.14795245601899121</v>
      </c>
      <c r="H71" s="9">
        <f t="shared" si="6"/>
        <v>8.8771473611394729</v>
      </c>
    </row>
    <row r="72" spans="1:8" x14ac:dyDescent="0.6">
      <c r="A72" s="7" t="s">
        <v>132</v>
      </c>
      <c r="B72" s="7">
        <v>2754</v>
      </c>
      <c r="C72" s="7">
        <v>70</v>
      </c>
      <c r="D72" s="7">
        <v>52.117244999999997</v>
      </c>
      <c r="E72" s="7">
        <v>5352.0499620000001</v>
      </c>
      <c r="F72" s="8">
        <f t="shared" si="5"/>
        <v>17559.219035433071</v>
      </c>
      <c r="G72" s="9">
        <f t="shared" si="7"/>
        <v>0.58147682422912883</v>
      </c>
      <c r="H72" s="9">
        <f t="shared" si="6"/>
        <v>34.888609453747733</v>
      </c>
    </row>
    <row r="73" spans="1:8" x14ac:dyDescent="0.6">
      <c r="A73" s="7" t="s">
        <v>133</v>
      </c>
      <c r="B73" s="7">
        <v>2755</v>
      </c>
      <c r="C73" s="7">
        <v>70</v>
      </c>
      <c r="D73" s="7">
        <v>64.322677999999996</v>
      </c>
      <c r="E73" s="7">
        <v>7521.0732280000002</v>
      </c>
      <c r="F73" s="8">
        <f t="shared" si="5"/>
        <v>24675.437099737534</v>
      </c>
      <c r="G73" s="9">
        <f t="shared" si="7"/>
        <v>0.68714565192564259</v>
      </c>
      <c r="H73" s="9">
        <f t="shared" si="6"/>
        <v>41.228739115538552</v>
      </c>
    </row>
    <row r="74" spans="1:8" x14ac:dyDescent="0.6">
      <c r="A74" s="7" t="s">
        <v>134</v>
      </c>
      <c r="B74" s="7">
        <v>2757</v>
      </c>
      <c r="C74" s="7">
        <v>71.069999999999993</v>
      </c>
      <c r="D74" s="7">
        <v>6.0419879999999999</v>
      </c>
      <c r="E74" s="7">
        <v>1342.646103</v>
      </c>
      <c r="F74" s="8">
        <f t="shared" si="5"/>
        <v>4405.0068996062992</v>
      </c>
      <c r="G74" s="9">
        <f t="shared" si="7"/>
        <v>0.54872830667411221</v>
      </c>
      <c r="H74" s="9">
        <f t="shared" si="6"/>
        <v>32.923698400446732</v>
      </c>
    </row>
    <row r="75" spans="1:8" x14ac:dyDescent="0.6">
      <c r="A75" s="7" t="s">
        <v>135</v>
      </c>
      <c r="B75" s="7">
        <v>2762</v>
      </c>
      <c r="C75" s="7">
        <v>71.069999999999993</v>
      </c>
      <c r="D75" s="7">
        <v>5.292243</v>
      </c>
      <c r="E75" s="7">
        <v>2023.7121199999999</v>
      </c>
      <c r="F75" s="8">
        <f t="shared" si="5"/>
        <v>6639.4754593175849</v>
      </c>
      <c r="G75" s="9">
        <f t="shared" si="7"/>
        <v>0.8140988598400889</v>
      </c>
      <c r="H75" s="9">
        <f t="shared" si="6"/>
        <v>48.845931590405335</v>
      </c>
    </row>
    <row r="76" spans="1:8" x14ac:dyDescent="0.6">
      <c r="A76" s="7" t="s">
        <v>136</v>
      </c>
      <c r="B76" s="7">
        <v>2763</v>
      </c>
      <c r="C76" s="7">
        <v>74.337410000000006</v>
      </c>
      <c r="D76" s="7">
        <v>5.3798219999999999</v>
      </c>
      <c r="E76" s="7">
        <v>8797.0247080000008</v>
      </c>
      <c r="F76" s="8">
        <f t="shared" si="5"/>
        <v>28861.629619422572</v>
      </c>
      <c r="G76" s="9">
        <f t="shared" si="7"/>
        <v>2.3884701771359333</v>
      </c>
      <c r="H76" s="9">
        <f t="shared" si="6"/>
        <v>143.30821062815599</v>
      </c>
    </row>
    <row r="77" spans="1:8" x14ac:dyDescent="0.6">
      <c r="A77" s="7" t="s">
        <v>138</v>
      </c>
      <c r="B77" s="7">
        <v>2767</v>
      </c>
      <c r="C77" s="7">
        <v>71.069999999999993</v>
      </c>
      <c r="D77" s="7">
        <v>5.6416529999999998</v>
      </c>
      <c r="E77" s="7">
        <v>2418.6106589999999</v>
      </c>
      <c r="F77" s="8">
        <f t="shared" si="5"/>
        <v>7935.0743405511803</v>
      </c>
      <c r="G77" s="9">
        <f t="shared" si="7"/>
        <v>0.90934280244397558</v>
      </c>
      <c r="H77" s="9">
        <f t="shared" si="6"/>
        <v>54.560568146638538</v>
      </c>
    </row>
    <row r="78" spans="1:8" x14ac:dyDescent="0.6">
      <c r="A78" s="7" t="s">
        <v>139</v>
      </c>
      <c r="B78" s="7">
        <v>2768</v>
      </c>
      <c r="C78" s="7">
        <v>71.836309999999997</v>
      </c>
      <c r="D78" s="7">
        <v>5.0071009999999996</v>
      </c>
      <c r="E78" s="7">
        <v>2876.668921</v>
      </c>
      <c r="F78" s="8">
        <f t="shared" si="5"/>
        <v>9437.8901607611551</v>
      </c>
      <c r="G78" s="9">
        <f t="shared" si="7"/>
        <v>1.0858301580191607</v>
      </c>
      <c r="H78" s="9">
        <f t="shared" si="6"/>
        <v>65.149809481149646</v>
      </c>
    </row>
    <row r="79" spans="1:8" x14ac:dyDescent="0.6">
      <c r="A79" s="7" t="s">
        <v>140</v>
      </c>
      <c r="B79" s="7">
        <v>2773</v>
      </c>
      <c r="C79" s="7">
        <v>57.405239999999999</v>
      </c>
      <c r="D79" s="7">
        <v>6.3363139999999998</v>
      </c>
      <c r="E79" s="7">
        <v>6833.4077360000001</v>
      </c>
      <c r="F79" s="8">
        <f t="shared" si="5"/>
        <v>22419.316719160106</v>
      </c>
      <c r="G79" s="9">
        <f t="shared" si="7"/>
        <v>2.8089555568836007</v>
      </c>
      <c r="H79" s="9">
        <f t="shared" si="6"/>
        <v>168.53733341301603</v>
      </c>
    </row>
    <row r="80" spans="1:8" x14ac:dyDescent="0.6">
      <c r="A80" s="7" t="s">
        <v>141</v>
      </c>
      <c r="B80" s="7">
        <v>2778</v>
      </c>
      <c r="C80" s="7">
        <v>61.188766999999999</v>
      </c>
      <c r="D80" s="7">
        <v>8.2658430000000003</v>
      </c>
      <c r="E80" s="7">
        <v>6865.2096849999998</v>
      </c>
      <c r="F80" s="8">
        <f t="shared" si="5"/>
        <v>22523.653822178476</v>
      </c>
      <c r="G80" s="9">
        <f t="shared" si="7"/>
        <v>2.2429518055628015</v>
      </c>
      <c r="H80" s="9">
        <f t="shared" si="6"/>
        <v>134.57710833376808</v>
      </c>
    </row>
    <row r="81" spans="1:8" x14ac:dyDescent="0.6">
      <c r="A81" s="7" t="s">
        <v>142</v>
      </c>
      <c r="B81" s="7">
        <v>2783</v>
      </c>
      <c r="C81" s="7">
        <v>73.666695000000004</v>
      </c>
      <c r="D81" s="7">
        <v>5.6006689999999999</v>
      </c>
      <c r="E81" s="7">
        <v>4300.488816</v>
      </c>
      <c r="F81" s="8">
        <f t="shared" si="5"/>
        <v>14109.21527559055</v>
      </c>
      <c r="G81" s="9">
        <f t="shared" si="7"/>
        <v>1.3457971493280994</v>
      </c>
      <c r="H81" s="9">
        <f t="shared" si="6"/>
        <v>80.747828959685961</v>
      </c>
    </row>
    <row r="82" spans="1:8" x14ac:dyDescent="0.6">
      <c r="A82" s="7" t="s">
        <v>143</v>
      </c>
      <c r="B82" s="7">
        <v>2787</v>
      </c>
      <c r="C82" s="7">
        <v>82</v>
      </c>
      <c r="D82" s="7">
        <v>5.3205239999999998</v>
      </c>
      <c r="E82" s="7">
        <v>1271.1232849999999</v>
      </c>
      <c r="F82" s="8">
        <f t="shared" si="5"/>
        <v>4170.3519849081358</v>
      </c>
      <c r="G82" s="9">
        <f t="shared" si="7"/>
        <v>0.40508724840622007</v>
      </c>
      <c r="H82" s="9">
        <f t="shared" si="6"/>
        <v>24.305234904373204</v>
      </c>
    </row>
    <row r="83" spans="1:8" x14ac:dyDescent="0.6">
      <c r="A83" s="7" t="s">
        <v>144</v>
      </c>
      <c r="B83" s="7">
        <v>2788</v>
      </c>
      <c r="C83" s="7">
        <v>80.108091999999999</v>
      </c>
      <c r="D83" s="7">
        <v>4.80586</v>
      </c>
      <c r="E83" s="7">
        <v>2926.0091980000002</v>
      </c>
      <c r="F83" s="8">
        <f t="shared" si="5"/>
        <v>9599.7677099737539</v>
      </c>
      <c r="G83" s="9">
        <f t="shared" si="7"/>
        <v>0.8821623075881424</v>
      </c>
      <c r="H83" s="9">
        <f t="shared" si="6"/>
        <v>52.929738455288543</v>
      </c>
    </row>
    <row r="84" spans="1:8" x14ac:dyDescent="0.6">
      <c r="A84" s="7" t="s">
        <v>145</v>
      </c>
      <c r="B84" s="7">
        <v>2793</v>
      </c>
      <c r="C84" s="7">
        <v>74.051355000000001</v>
      </c>
      <c r="D84" s="7">
        <v>5.7728229999999998</v>
      </c>
      <c r="E84" s="7">
        <v>9080.3878029999996</v>
      </c>
      <c r="F84" s="8">
        <f t="shared" si="5"/>
        <v>29791.298566272962</v>
      </c>
      <c r="G84" s="9">
        <f t="shared" si="7"/>
        <v>2.3842526004484488</v>
      </c>
      <c r="H84" s="9">
        <f t="shared" si="6"/>
        <v>143.05515602690693</v>
      </c>
    </row>
    <row r="85" spans="1:8" x14ac:dyDescent="0.6">
      <c r="A85" s="7" t="s">
        <v>146</v>
      </c>
      <c r="B85" s="7">
        <v>2797</v>
      </c>
      <c r="C85" s="7">
        <v>76.318134999999998</v>
      </c>
      <c r="D85" s="7">
        <v>7.482469</v>
      </c>
      <c r="E85" s="7">
        <v>1645.1587300000001</v>
      </c>
      <c r="F85" s="8">
        <f t="shared" si="5"/>
        <v>5397.5023950131235</v>
      </c>
      <c r="G85" s="9">
        <f t="shared" si="7"/>
        <v>0.50021032109699215</v>
      </c>
      <c r="H85" s="9">
        <f t="shared" si="6"/>
        <v>30.012619265819531</v>
      </c>
    </row>
    <row r="86" spans="1:8" x14ac:dyDescent="0.6">
      <c r="A86" s="7" t="s">
        <v>147</v>
      </c>
      <c r="B86" s="7">
        <v>2798</v>
      </c>
      <c r="C86" s="7">
        <v>71.732423999999995</v>
      </c>
      <c r="D86" s="7">
        <v>6.0291980000000001</v>
      </c>
      <c r="E86" s="7">
        <v>427.84902599999998</v>
      </c>
      <c r="F86" s="8">
        <f t="shared" si="5"/>
        <v>1403.704153543307</v>
      </c>
      <c r="G86" s="9">
        <f t="shared" si="7"/>
        <v>0.21606720720902065</v>
      </c>
      <c r="H86" s="9">
        <f t="shared" si="6"/>
        <v>12.964032432541238</v>
      </c>
    </row>
    <row r="87" spans="1:8" x14ac:dyDescent="0.6">
      <c r="A87" s="7" t="s">
        <v>148</v>
      </c>
      <c r="B87" s="7">
        <v>2803</v>
      </c>
      <c r="C87" s="7">
        <v>76.325147999999999</v>
      </c>
      <c r="D87" s="7">
        <v>5.8808090000000002</v>
      </c>
      <c r="E87" s="7">
        <v>3404.5625879999998</v>
      </c>
      <c r="F87" s="8">
        <f t="shared" si="5"/>
        <v>11169.824763779527</v>
      </c>
      <c r="G87" s="9">
        <f t="shared" si="7"/>
        <v>1.0093694828319049</v>
      </c>
      <c r="H87" s="9">
        <f t="shared" si="6"/>
        <v>60.562168969914289</v>
      </c>
    </row>
    <row r="88" spans="1:8" x14ac:dyDescent="0.6">
      <c r="A88" s="7" t="s">
        <v>149</v>
      </c>
      <c r="B88" s="7">
        <v>2808</v>
      </c>
      <c r="C88" s="7">
        <v>78.725970000000004</v>
      </c>
      <c r="D88" s="7">
        <v>5.7502219999999999</v>
      </c>
      <c r="E88" s="7">
        <v>3708.699494</v>
      </c>
      <c r="F88" s="8">
        <f t="shared" si="5"/>
        <v>12167.649258530182</v>
      </c>
      <c r="G88" s="9">
        <f t="shared" si="7"/>
        <v>1.0174161729593669</v>
      </c>
      <c r="H88" s="9">
        <f t="shared" si="6"/>
        <v>61.044970377562016</v>
      </c>
    </row>
    <row r="89" spans="1:8" x14ac:dyDescent="0.6">
      <c r="A89" s="7" t="s">
        <v>150</v>
      </c>
      <c r="B89" s="7">
        <v>2813</v>
      </c>
      <c r="C89" s="7">
        <v>81.542010000000005</v>
      </c>
      <c r="D89" s="7">
        <v>5.5842349999999996</v>
      </c>
      <c r="E89" s="7">
        <v>1715.133476</v>
      </c>
      <c r="F89" s="8">
        <f t="shared" si="5"/>
        <v>5627.0783333333329</v>
      </c>
      <c r="G89" s="9">
        <f t="shared" si="7"/>
        <v>0.5100119805279707</v>
      </c>
      <c r="H89" s="9">
        <f t="shared" si="6"/>
        <v>30.600718831678243</v>
      </c>
    </row>
    <row r="90" spans="1:8" x14ac:dyDescent="0.6">
      <c r="A90" s="7" t="s">
        <v>151</v>
      </c>
      <c r="B90" s="7">
        <v>2818</v>
      </c>
      <c r="C90" s="7">
        <v>82</v>
      </c>
      <c r="D90" s="7">
        <v>10.75117</v>
      </c>
      <c r="E90" s="7">
        <v>139.460678</v>
      </c>
      <c r="F90" s="8">
        <f t="shared" si="5"/>
        <v>457.54815616797896</v>
      </c>
      <c r="G90" s="9">
        <f t="shared" si="7"/>
        <v>4.8641749789078023E-2</v>
      </c>
      <c r="H90" s="9">
        <f t="shared" si="6"/>
        <v>2.9185049873446816</v>
      </c>
    </row>
    <row r="91" spans="1:8" x14ac:dyDescent="0.6">
      <c r="A91" s="7" t="s">
        <v>152</v>
      </c>
      <c r="B91" s="7">
        <v>2822</v>
      </c>
      <c r="C91" s="7">
        <v>82</v>
      </c>
      <c r="D91" s="7">
        <v>6.333272</v>
      </c>
      <c r="E91" s="7">
        <v>667.49368700000002</v>
      </c>
      <c r="F91" s="8">
        <f t="shared" si="5"/>
        <v>2189.9399179790025</v>
      </c>
      <c r="G91" s="9">
        <f t="shared" si="7"/>
        <v>0.221778425568745</v>
      </c>
      <c r="H91" s="9">
        <f t="shared" si="6"/>
        <v>13.306705534124699</v>
      </c>
    </row>
    <row r="92" spans="1:8" x14ac:dyDescent="0.6">
      <c r="A92" s="7" t="s">
        <v>153</v>
      </c>
      <c r="B92" s="7">
        <v>2823</v>
      </c>
      <c r="C92" s="7">
        <v>82</v>
      </c>
      <c r="D92" s="7">
        <v>5.1048840000000002</v>
      </c>
      <c r="E92" s="7">
        <v>1853.369408</v>
      </c>
      <c r="F92" s="8">
        <f t="shared" si="5"/>
        <v>6080.6082939632543</v>
      </c>
      <c r="G92" s="9">
        <f t="shared" si="7"/>
        <v>0.55918084931096468</v>
      </c>
      <c r="H92" s="9">
        <f t="shared" si="6"/>
        <v>33.550850958657882</v>
      </c>
    </row>
    <row r="93" spans="1:8" x14ac:dyDescent="0.6">
      <c r="A93" s="7" t="s">
        <v>154</v>
      </c>
      <c r="B93" s="7">
        <v>2828</v>
      </c>
      <c r="C93" s="7">
        <v>82</v>
      </c>
      <c r="D93" s="7">
        <v>6.0815700000000001</v>
      </c>
      <c r="E93" s="7">
        <v>1334.4354249999999</v>
      </c>
      <c r="F93" s="8">
        <f t="shared" si="5"/>
        <v>4378.0689796587922</v>
      </c>
      <c r="G93" s="9">
        <f t="shared" si="7"/>
        <v>0.39391800454899428</v>
      </c>
      <c r="H93" s="9">
        <f t="shared" si="6"/>
        <v>23.635080272939657</v>
      </c>
    </row>
    <row r="94" spans="1:8" x14ac:dyDescent="0.6">
      <c r="A94" s="7" t="s">
        <v>155</v>
      </c>
      <c r="B94" s="7">
        <v>2833</v>
      </c>
      <c r="C94" s="7">
        <v>82</v>
      </c>
      <c r="D94" s="7">
        <v>6.8870589999999998</v>
      </c>
      <c r="E94" s="7">
        <v>1187.3160170000001</v>
      </c>
      <c r="F94" s="8">
        <f t="shared" si="5"/>
        <v>3895.3937565616798</v>
      </c>
      <c r="G94" s="9">
        <f t="shared" si="7"/>
        <v>0.33714117464692861</v>
      </c>
      <c r="H94" s="9">
        <f t="shared" si="6"/>
        <v>20.228470478815716</v>
      </c>
    </row>
    <row r="95" spans="1:8" x14ac:dyDescent="0.6">
      <c r="A95" s="7" t="s">
        <v>156</v>
      </c>
      <c r="B95" s="7">
        <v>2838</v>
      </c>
      <c r="C95" s="7">
        <v>82</v>
      </c>
      <c r="D95" s="7">
        <v>7.3214750000000004</v>
      </c>
      <c r="E95" s="7">
        <v>582.13834799999995</v>
      </c>
      <c r="F95" s="8">
        <f t="shared" si="5"/>
        <v>1909.9027165354328</v>
      </c>
      <c r="G95" s="9">
        <f t="shared" si="7"/>
        <v>0.18488314132275874</v>
      </c>
      <c r="H95" s="9">
        <f t="shared" si="6"/>
        <v>11.092988479365523</v>
      </c>
    </row>
    <row r="96" spans="1:8" x14ac:dyDescent="0.6">
      <c r="A96" s="7" t="s">
        <v>157</v>
      </c>
      <c r="B96" s="7">
        <v>2843</v>
      </c>
      <c r="C96" s="7">
        <v>82</v>
      </c>
      <c r="D96" s="7">
        <v>6.9590579999999997</v>
      </c>
      <c r="E96" s="7">
        <v>738.20436500000005</v>
      </c>
      <c r="F96" s="8">
        <f t="shared" si="5"/>
        <v>2421.9303313648293</v>
      </c>
      <c r="G96" s="9">
        <f t="shared" si="7"/>
        <v>0.22931987437386514</v>
      </c>
      <c r="H96" s="9">
        <f t="shared" si="6"/>
        <v>13.759192462431908</v>
      </c>
    </row>
    <row r="97" spans="1:8" x14ac:dyDescent="0.6">
      <c r="A97" s="7" t="s">
        <v>158</v>
      </c>
      <c r="B97" s="7">
        <v>2848</v>
      </c>
      <c r="C97" s="7">
        <v>82</v>
      </c>
      <c r="D97" s="7">
        <v>8.3212100000000007</v>
      </c>
      <c r="E97" s="7">
        <v>618.38203399999998</v>
      </c>
      <c r="F97" s="8">
        <f t="shared" si="5"/>
        <v>2028.8124475065615</v>
      </c>
      <c r="G97" s="9">
        <f t="shared" si="7"/>
        <v>0.18200691386088533</v>
      </c>
      <c r="H97" s="9">
        <f t="shared" si="6"/>
        <v>10.920414831653119</v>
      </c>
    </row>
    <row r="98" spans="1:8" x14ac:dyDescent="0.6">
      <c r="A98" s="7" t="s">
        <v>159</v>
      </c>
      <c r="B98" s="7">
        <v>2852</v>
      </c>
      <c r="C98" s="7">
        <v>82</v>
      </c>
      <c r="D98" s="7">
        <v>6.6692999999999998</v>
      </c>
      <c r="E98" s="7">
        <v>4190.5014419999998</v>
      </c>
      <c r="F98" s="8">
        <f t="shared" ref="F98:F129" si="8">E98/0.3048</f>
        <v>13748.364311023621</v>
      </c>
      <c r="G98" s="9">
        <f t="shared" si="7"/>
        <v>0.9396114599951163</v>
      </c>
      <c r="H98" s="9">
        <f t="shared" ref="H98:H129" si="9">+G98*60</f>
        <v>56.376687599706976</v>
      </c>
    </row>
    <row r="99" spans="1:8" x14ac:dyDescent="0.6">
      <c r="A99" s="7" t="s">
        <v>160</v>
      </c>
      <c r="B99" s="7">
        <v>2853</v>
      </c>
      <c r="C99" s="7">
        <v>82</v>
      </c>
      <c r="D99" s="7">
        <v>5.0890300000000002</v>
      </c>
      <c r="E99" s="7">
        <v>2828.0014420000002</v>
      </c>
      <c r="F99" s="8">
        <f t="shared" si="8"/>
        <v>9278.2199540682413</v>
      </c>
      <c r="G99" s="9">
        <f t="shared" si="7"/>
        <v>0.78531127332595208</v>
      </c>
      <c r="H99" s="9">
        <f t="shared" si="9"/>
        <v>47.118676399557124</v>
      </c>
    </row>
    <row r="100" spans="1:8" x14ac:dyDescent="0.6">
      <c r="A100" s="7" t="s">
        <v>161</v>
      </c>
      <c r="B100" s="7">
        <v>2857</v>
      </c>
      <c r="C100" s="7">
        <v>82</v>
      </c>
      <c r="D100" s="7">
        <v>5.2735599999999998</v>
      </c>
      <c r="E100" s="7">
        <v>2630.146103</v>
      </c>
      <c r="F100" s="8">
        <f t="shared" si="8"/>
        <v>8629.0882644356952</v>
      </c>
      <c r="G100" s="9">
        <f t="shared" si="7"/>
        <v>0.72796012273609467</v>
      </c>
      <c r="H100" s="9">
        <f t="shared" si="9"/>
        <v>43.677607364165681</v>
      </c>
    </row>
    <row r="101" spans="1:8" x14ac:dyDescent="0.6">
      <c r="A101" s="7" t="s">
        <v>162</v>
      </c>
      <c r="B101" s="7">
        <v>2858</v>
      </c>
      <c r="C101" s="7">
        <v>82</v>
      </c>
      <c r="D101" s="7">
        <v>4.8828659999999999</v>
      </c>
      <c r="E101" s="7">
        <v>2292.646103</v>
      </c>
      <c r="F101" s="8">
        <f t="shared" si="8"/>
        <v>7521.8047998687662</v>
      </c>
      <c r="G101" s="9">
        <f t="shared" si="7"/>
        <v>0.67780981016110298</v>
      </c>
      <c r="H101" s="9">
        <f t="shared" si="9"/>
        <v>40.66858860966618</v>
      </c>
    </row>
    <row r="102" spans="1:8" x14ac:dyDescent="0.6">
      <c r="A102" s="7" t="s">
        <v>163</v>
      </c>
      <c r="B102" s="7">
        <v>2863</v>
      </c>
      <c r="C102" s="7">
        <v>72.358436999999995</v>
      </c>
      <c r="D102" s="7">
        <v>8.7316079999999996</v>
      </c>
      <c r="E102" s="7">
        <v>892.63677700000005</v>
      </c>
      <c r="F102" s="8">
        <f t="shared" si="8"/>
        <v>2928.5983497375328</v>
      </c>
      <c r="G102" s="9">
        <f t="shared" si="7"/>
        <v>0.31780859661763133</v>
      </c>
      <c r="H102" s="9">
        <f t="shared" si="9"/>
        <v>19.068515797057881</v>
      </c>
    </row>
    <row r="103" spans="1:8" x14ac:dyDescent="0.6">
      <c r="A103" s="7" t="s">
        <v>164</v>
      </c>
      <c r="B103" s="7">
        <v>2867</v>
      </c>
      <c r="C103" s="7">
        <v>73.884996999999998</v>
      </c>
      <c r="D103" s="7">
        <v>4.5487770000000003</v>
      </c>
      <c r="E103" s="7">
        <v>2580.4825019999998</v>
      </c>
      <c r="F103" s="8">
        <f t="shared" si="8"/>
        <v>8466.1499409448807</v>
      </c>
      <c r="G103" s="9">
        <f t="shared" si="7"/>
        <v>0.98632855866152247</v>
      </c>
      <c r="H103" s="9">
        <f t="shared" si="9"/>
        <v>59.179713519691347</v>
      </c>
    </row>
    <row r="104" spans="1:8" x14ac:dyDescent="0.6">
      <c r="A104" s="7" t="s">
        <v>165</v>
      </c>
      <c r="B104" s="7">
        <v>2868</v>
      </c>
      <c r="C104" s="7">
        <v>73.884996999999998</v>
      </c>
      <c r="D104" s="7">
        <v>5.1843690000000002</v>
      </c>
      <c r="E104" s="7">
        <v>1100.2776249999999</v>
      </c>
      <c r="F104" s="8">
        <f t="shared" si="8"/>
        <v>3609.8347276902882</v>
      </c>
      <c r="G104" s="9">
        <f t="shared" si="7"/>
        <v>0.46715614829708629</v>
      </c>
      <c r="H104" s="9">
        <f t="shared" si="9"/>
        <v>28.029368897825179</v>
      </c>
    </row>
    <row r="105" spans="1:8" x14ac:dyDescent="0.6">
      <c r="A105" s="7" t="s">
        <v>166</v>
      </c>
      <c r="B105" s="7">
        <v>2872</v>
      </c>
      <c r="C105" s="7">
        <v>82</v>
      </c>
      <c r="D105" s="7">
        <v>5.5249920000000001</v>
      </c>
      <c r="E105" s="7">
        <v>3610.476189</v>
      </c>
      <c r="F105" s="8">
        <f t="shared" si="8"/>
        <v>11845.39432086614</v>
      </c>
      <c r="G105" s="9">
        <f t="shared" si="7"/>
        <v>0.91635002820358136</v>
      </c>
      <c r="H105" s="9">
        <f t="shared" si="9"/>
        <v>54.981001692214882</v>
      </c>
    </row>
    <row r="106" spans="1:8" x14ac:dyDescent="0.6">
      <c r="A106" s="7" t="s">
        <v>168</v>
      </c>
      <c r="B106" s="7">
        <v>2873</v>
      </c>
      <c r="C106" s="7">
        <v>76.426765000000003</v>
      </c>
      <c r="D106" s="7">
        <v>5.8230680000000001</v>
      </c>
      <c r="E106" s="7">
        <v>5204.8543460000001</v>
      </c>
      <c r="F106" s="8">
        <f t="shared" si="8"/>
        <v>17076.293786089238</v>
      </c>
      <c r="G106" s="9">
        <f t="shared" si="7"/>
        <v>1.4202890642000507</v>
      </c>
      <c r="H106" s="9">
        <f t="shared" si="9"/>
        <v>85.21734385200304</v>
      </c>
    </row>
    <row r="107" spans="1:8" x14ac:dyDescent="0.6">
      <c r="A107" s="7" t="s">
        <v>169</v>
      </c>
      <c r="B107" s="7">
        <v>2878</v>
      </c>
      <c r="C107" s="7">
        <v>71.777004000000005</v>
      </c>
      <c r="D107" s="7">
        <v>5.9111820000000002</v>
      </c>
      <c r="E107" s="7">
        <v>1382.3347940000001</v>
      </c>
      <c r="F107" s="8">
        <f t="shared" si="8"/>
        <v>4535.2191404199475</v>
      </c>
      <c r="G107" s="9">
        <f t="shared" si="7"/>
        <v>0.55693740911565726</v>
      </c>
      <c r="H107" s="9">
        <f t="shared" si="9"/>
        <v>33.416244546939438</v>
      </c>
    </row>
    <row r="108" spans="1:8" x14ac:dyDescent="0.6">
      <c r="A108" s="7" t="s">
        <v>170</v>
      </c>
      <c r="B108" s="7">
        <v>2883</v>
      </c>
      <c r="C108" s="7">
        <v>72.300003000000004</v>
      </c>
      <c r="D108" s="7">
        <v>7.3879700000000001</v>
      </c>
      <c r="E108" s="7">
        <v>3363.356781</v>
      </c>
      <c r="F108" s="8">
        <f t="shared" si="8"/>
        <v>11034.635108267716</v>
      </c>
      <c r="G108" s="9">
        <f t="shared" si="7"/>
        <v>1.0000745705852725</v>
      </c>
      <c r="H108" s="9">
        <f t="shared" si="9"/>
        <v>60.004474235116348</v>
      </c>
    </row>
    <row r="109" spans="1:8" x14ac:dyDescent="0.6">
      <c r="A109" s="7" t="s">
        <v>171</v>
      </c>
      <c r="B109" s="7">
        <v>2887</v>
      </c>
      <c r="C109" s="7">
        <v>71.203349000000003</v>
      </c>
      <c r="D109" s="7">
        <v>5.6505179999999999</v>
      </c>
      <c r="E109" s="7">
        <v>13210.870305</v>
      </c>
      <c r="F109" s="8">
        <f t="shared" si="8"/>
        <v>43342.750344488188</v>
      </c>
      <c r="G109" s="9">
        <f t="shared" si="7"/>
        <v>3.521235446770246</v>
      </c>
      <c r="H109" s="9">
        <f t="shared" si="9"/>
        <v>211.27412680621475</v>
      </c>
    </row>
    <row r="110" spans="1:8" x14ac:dyDescent="0.6">
      <c r="A110" s="7" t="s">
        <v>172</v>
      </c>
      <c r="B110" s="7">
        <v>2888</v>
      </c>
      <c r="C110" s="7">
        <v>72.698490000000007</v>
      </c>
      <c r="D110" s="7">
        <v>5.6877449999999996</v>
      </c>
      <c r="E110" s="7">
        <v>987.02426000000003</v>
      </c>
      <c r="F110" s="8">
        <f t="shared" si="8"/>
        <v>3238.2685695538057</v>
      </c>
      <c r="G110" s="9">
        <f t="shared" si="7"/>
        <v>0.42272737736904381</v>
      </c>
      <c r="H110" s="9">
        <f t="shared" si="9"/>
        <v>25.363642642142629</v>
      </c>
    </row>
    <row r="111" spans="1:8" x14ac:dyDescent="0.6">
      <c r="A111" s="7" t="s">
        <v>173</v>
      </c>
      <c r="B111" s="7">
        <v>2892</v>
      </c>
      <c r="C111" s="7">
        <v>73.539095000000003</v>
      </c>
      <c r="D111" s="7">
        <v>5.9788050000000004</v>
      </c>
      <c r="E111" s="7">
        <v>547.31116999999995</v>
      </c>
      <c r="F111" s="8">
        <f t="shared" si="8"/>
        <v>1795.6403215223095</v>
      </c>
      <c r="G111" s="9">
        <f t="shared" si="7"/>
        <v>0.25126198914556247</v>
      </c>
      <c r="H111" s="9">
        <f t="shared" si="9"/>
        <v>15.075719348733749</v>
      </c>
    </row>
    <row r="112" spans="1:8" x14ac:dyDescent="0.6">
      <c r="A112" s="7" t="s">
        <v>174</v>
      </c>
      <c r="B112" s="7">
        <v>2893</v>
      </c>
      <c r="C112" s="7">
        <v>77.887591999999998</v>
      </c>
      <c r="D112" s="7">
        <v>6.0279090000000002</v>
      </c>
      <c r="E112" s="7">
        <v>2121.7830090000002</v>
      </c>
      <c r="F112" s="8">
        <f t="shared" si="8"/>
        <v>6961.2303444881891</v>
      </c>
      <c r="G112" s="9">
        <f t="shared" si="7"/>
        <v>0.65202727634265556</v>
      </c>
      <c r="H112" s="9">
        <f t="shared" si="9"/>
        <v>39.121636580559333</v>
      </c>
    </row>
    <row r="113" spans="1:8" x14ac:dyDescent="0.6">
      <c r="A113" s="7" t="s">
        <v>175</v>
      </c>
      <c r="B113" s="7">
        <v>3618</v>
      </c>
      <c r="C113" s="7">
        <v>81.902933000000004</v>
      </c>
      <c r="D113" s="7">
        <v>5.6749780000000003</v>
      </c>
      <c r="E113" s="7">
        <v>7020.6159790000002</v>
      </c>
      <c r="F113" s="8">
        <f t="shared" si="8"/>
        <v>23033.516991469816</v>
      </c>
      <c r="G113" s="9">
        <f t="shared" si="7"/>
        <v>1.5440657107287301</v>
      </c>
      <c r="H113" s="9">
        <f t="shared" si="9"/>
        <v>92.643942643723804</v>
      </c>
    </row>
    <row r="114" spans="1:8" x14ac:dyDescent="0.6">
      <c r="A114" s="7" t="s">
        <v>176</v>
      </c>
      <c r="B114" s="7">
        <v>3619</v>
      </c>
      <c r="C114" s="7">
        <v>80.727868999999998</v>
      </c>
      <c r="D114" s="7">
        <v>6.4654379999999998</v>
      </c>
      <c r="E114" s="7">
        <v>714.90485200000001</v>
      </c>
      <c r="F114" s="8">
        <f t="shared" si="8"/>
        <v>2345.4883595800525</v>
      </c>
      <c r="G114" s="9">
        <f t="shared" si="7"/>
        <v>0.24156346117087396</v>
      </c>
      <c r="H114" s="9">
        <f t="shared" si="9"/>
        <v>14.493807670252437</v>
      </c>
    </row>
    <row r="115" spans="1:8" x14ac:dyDescent="0.6">
      <c r="A115" s="7"/>
      <c r="B115" s="7"/>
      <c r="C115" s="7"/>
      <c r="D115" s="7"/>
      <c r="E115" s="7"/>
      <c r="F115" s="8"/>
      <c r="G115" s="9"/>
      <c r="H115" s="9"/>
    </row>
    <row r="116" spans="1:8" x14ac:dyDescent="0.6">
      <c r="A116" s="7"/>
      <c r="B116" s="7"/>
      <c r="C116" s="7"/>
      <c r="D116" s="7"/>
      <c r="E116" s="7"/>
      <c r="F116" s="8"/>
      <c r="G116" s="9"/>
      <c r="H116" s="9"/>
    </row>
    <row r="117" spans="1:8" x14ac:dyDescent="0.6">
      <c r="A117" s="7"/>
      <c r="B117" s="7"/>
      <c r="C117" s="7"/>
      <c r="D117" s="7"/>
      <c r="E117" s="7"/>
      <c r="F117" s="8"/>
      <c r="G117" s="9"/>
      <c r="H117" s="9"/>
    </row>
    <row r="118" spans="1:8" x14ac:dyDescent="0.6">
      <c r="A118" s="7"/>
      <c r="B118" s="7"/>
      <c r="C118" s="7"/>
      <c r="D118" s="7"/>
      <c r="E118" s="7"/>
      <c r="F118" s="8"/>
      <c r="G118" s="9"/>
      <c r="H118" s="9"/>
    </row>
    <row r="119" spans="1:8" x14ac:dyDescent="0.6">
      <c r="A119" s="7"/>
      <c r="B119" s="7"/>
      <c r="C119" s="7"/>
      <c r="D119" s="7"/>
      <c r="E119" s="7"/>
      <c r="F119" s="8"/>
      <c r="G119" s="9"/>
      <c r="H119" s="9"/>
    </row>
    <row r="120" spans="1:8" x14ac:dyDescent="0.6">
      <c r="A120" s="7"/>
      <c r="B120" s="7"/>
      <c r="C120" s="7"/>
      <c r="D120" s="7"/>
      <c r="E120" s="7"/>
      <c r="F120" s="8"/>
      <c r="G120" s="9"/>
      <c r="H120" s="9"/>
    </row>
    <row r="121" spans="1:8" x14ac:dyDescent="0.6">
      <c r="A121" s="7"/>
      <c r="B121" s="7"/>
      <c r="C121" s="7"/>
      <c r="D121" s="7"/>
      <c r="E121" s="7"/>
      <c r="F121" s="8"/>
      <c r="G121" s="9"/>
      <c r="H121" s="9"/>
    </row>
    <row r="122" spans="1:8" x14ac:dyDescent="0.6">
      <c r="A122" s="7"/>
      <c r="B122" s="7"/>
      <c r="C122" s="7"/>
      <c r="D122" s="7"/>
      <c r="E122" s="7"/>
      <c r="F122" s="8"/>
      <c r="G122" s="9"/>
      <c r="H122" s="9"/>
    </row>
    <row r="123" spans="1:8" x14ac:dyDescent="0.6">
      <c r="A123" s="7"/>
      <c r="B123" s="7"/>
      <c r="C123" s="7"/>
      <c r="D123" s="7"/>
      <c r="E123" s="7"/>
      <c r="F123" s="8"/>
      <c r="G123" s="9"/>
      <c r="H123" s="9"/>
    </row>
    <row r="124" spans="1:8" x14ac:dyDescent="0.6">
      <c r="A124" s="7"/>
      <c r="B124" s="7"/>
      <c r="C124" s="7"/>
      <c r="D124" s="7"/>
      <c r="E124" s="7"/>
      <c r="F124" s="8"/>
      <c r="G124" s="9"/>
      <c r="H124" s="9"/>
    </row>
    <row r="125" spans="1:8" x14ac:dyDescent="0.6">
      <c r="A125" s="7"/>
      <c r="B125" s="7"/>
      <c r="C125" s="7"/>
      <c r="D125" s="7"/>
      <c r="E125" s="7"/>
      <c r="F125" s="8"/>
      <c r="G125" s="9"/>
      <c r="H125" s="9"/>
    </row>
    <row r="126" spans="1:8" x14ac:dyDescent="0.6">
      <c r="A126" s="7"/>
      <c r="B126" s="7"/>
      <c r="C126" s="7"/>
      <c r="D126" s="7"/>
      <c r="E126" s="7"/>
      <c r="F126" s="8"/>
      <c r="G126" s="9"/>
      <c r="H126" s="9"/>
    </row>
    <row r="127" spans="1:8" x14ac:dyDescent="0.6">
      <c r="A127" s="7"/>
      <c r="B127" s="7"/>
      <c r="C127" s="7"/>
      <c r="D127" s="7"/>
      <c r="E127" s="7"/>
      <c r="F127" s="8"/>
      <c r="G127" s="9"/>
      <c r="H127" s="9"/>
    </row>
    <row r="128" spans="1:8" x14ac:dyDescent="0.6">
      <c r="A128" s="7"/>
      <c r="B128" s="7"/>
      <c r="C128" s="7"/>
      <c r="D128" s="7"/>
      <c r="E128" s="7"/>
      <c r="F128" s="8"/>
      <c r="G128" s="9"/>
      <c r="H128" s="9"/>
    </row>
    <row r="129" spans="1:8" x14ac:dyDescent="0.6">
      <c r="A129" s="7"/>
      <c r="B129" s="7"/>
      <c r="C129" s="7"/>
      <c r="D129" s="7"/>
      <c r="E129" s="7"/>
      <c r="F129" s="8"/>
      <c r="G129" s="9"/>
      <c r="H129" s="9"/>
    </row>
    <row r="130" spans="1:8" x14ac:dyDescent="0.6">
      <c r="A130" s="7"/>
      <c r="B130" s="7"/>
      <c r="C130" s="7"/>
      <c r="D130" s="7"/>
      <c r="E130" s="7"/>
      <c r="F130" s="8"/>
      <c r="G130" s="9"/>
      <c r="H130" s="9"/>
    </row>
    <row r="131" spans="1:8" x14ac:dyDescent="0.6">
      <c r="A131" s="7"/>
      <c r="B131" s="7"/>
      <c r="C131" s="7"/>
      <c r="D131" s="7"/>
      <c r="E131" s="7"/>
      <c r="F131" s="8"/>
      <c r="G131" s="9"/>
      <c r="H131" s="9"/>
    </row>
    <row r="132" spans="1:8" x14ac:dyDescent="0.6">
      <c r="A132" s="7"/>
      <c r="B132" s="7"/>
      <c r="C132" s="7"/>
      <c r="D132" s="7"/>
      <c r="E132" s="7"/>
      <c r="F132" s="8"/>
      <c r="G132" s="9"/>
      <c r="H132" s="9"/>
    </row>
    <row r="133" spans="1:8" x14ac:dyDescent="0.6">
      <c r="A133" s="7"/>
      <c r="B133" s="7"/>
      <c r="C133" s="7"/>
      <c r="D133" s="7"/>
      <c r="E133" s="7"/>
      <c r="F133" s="8"/>
      <c r="G133" s="9"/>
      <c r="H133" s="9"/>
    </row>
    <row r="134" spans="1:8" x14ac:dyDescent="0.6">
      <c r="A134" s="7"/>
      <c r="B134" s="7"/>
      <c r="C134" s="7"/>
      <c r="D134" s="7"/>
      <c r="E134" s="7"/>
      <c r="F134" s="8"/>
      <c r="G134" s="9"/>
      <c r="H134" s="9"/>
    </row>
    <row r="135" spans="1:8" x14ac:dyDescent="0.6">
      <c r="A135" s="7"/>
      <c r="B135" s="7"/>
      <c r="C135" s="7"/>
      <c r="D135" s="7"/>
      <c r="E135" s="7"/>
      <c r="F135" s="8"/>
      <c r="G135" s="9"/>
      <c r="H135" s="9"/>
    </row>
    <row r="136" spans="1:8" x14ac:dyDescent="0.6">
      <c r="A136" s="7"/>
      <c r="B136" s="7"/>
      <c r="C136" s="7"/>
      <c r="D136" s="7"/>
      <c r="E136" s="7"/>
      <c r="F136" s="8"/>
      <c r="G136" s="9"/>
      <c r="H136" s="9"/>
    </row>
    <row r="137" spans="1:8" x14ac:dyDescent="0.6">
      <c r="A137" s="7"/>
      <c r="B137" s="7"/>
      <c r="C137" s="7"/>
      <c r="D137" s="7"/>
      <c r="E137" s="7"/>
      <c r="F137" s="8"/>
      <c r="G137" s="9"/>
      <c r="H137" s="9"/>
    </row>
    <row r="138" spans="1:8" x14ac:dyDescent="0.6">
      <c r="A138" s="7"/>
      <c r="B138" s="7"/>
      <c r="C138" s="7"/>
      <c r="D138" s="7"/>
      <c r="E138" s="7"/>
      <c r="F138" s="8"/>
      <c r="G138" s="9"/>
      <c r="H138" s="9"/>
    </row>
    <row r="139" spans="1:8" x14ac:dyDescent="0.6">
      <c r="A139" s="7"/>
      <c r="B139" s="7"/>
      <c r="C139" s="7"/>
      <c r="D139" s="7"/>
      <c r="E139" s="7"/>
      <c r="F139" s="8"/>
      <c r="G139" s="9"/>
      <c r="H139" s="9"/>
    </row>
    <row r="140" spans="1:8" x14ac:dyDescent="0.6">
      <c r="A140" s="7"/>
      <c r="B140" s="7"/>
      <c r="C140" s="7"/>
      <c r="D140" s="7"/>
      <c r="E140" s="7"/>
      <c r="F140" s="8"/>
      <c r="G140" s="9"/>
      <c r="H140" s="9"/>
    </row>
    <row r="141" spans="1:8" x14ac:dyDescent="0.6">
      <c r="A141" s="7"/>
      <c r="B141" s="7"/>
      <c r="C141" s="7"/>
      <c r="D141" s="7"/>
      <c r="E141" s="7"/>
      <c r="F141" s="8"/>
      <c r="G141" s="9"/>
      <c r="H141" s="9"/>
    </row>
    <row r="142" spans="1:8" x14ac:dyDescent="0.6">
      <c r="A142" s="7"/>
      <c r="B142" s="7"/>
      <c r="C142" s="7"/>
      <c r="D142" s="7"/>
      <c r="E142" s="7"/>
      <c r="F142" s="8"/>
      <c r="G142" s="9"/>
      <c r="H142" s="9"/>
    </row>
    <row r="143" spans="1:8" x14ac:dyDescent="0.6">
      <c r="A143" s="7"/>
      <c r="B143" s="7"/>
      <c r="C143" s="7"/>
      <c r="D143" s="7"/>
      <c r="E143" s="7"/>
      <c r="F143" s="8"/>
      <c r="G143" s="9"/>
      <c r="H143" s="9"/>
    </row>
    <row r="144" spans="1:8" x14ac:dyDescent="0.6">
      <c r="A144" s="7"/>
      <c r="B144" s="7"/>
      <c r="C144" s="7"/>
      <c r="D144" s="7"/>
      <c r="E144" s="7"/>
      <c r="F144" s="8"/>
      <c r="G144" s="9"/>
      <c r="H144" s="9"/>
    </row>
    <row r="145" spans="1:8" x14ac:dyDescent="0.6">
      <c r="A145" s="7"/>
      <c r="B145" s="7"/>
      <c r="C145" s="7"/>
      <c r="D145" s="7"/>
      <c r="E145" s="7"/>
      <c r="F145" s="8"/>
      <c r="G145" s="9"/>
      <c r="H145" s="9"/>
    </row>
    <row r="146" spans="1:8" x14ac:dyDescent="0.6">
      <c r="A146" s="7"/>
      <c r="B146" s="7"/>
      <c r="C146" s="7"/>
      <c r="D146" s="7"/>
      <c r="E146" s="7"/>
      <c r="F146" s="8"/>
      <c r="G146" s="9"/>
      <c r="H146" s="9"/>
    </row>
    <row r="147" spans="1:8" x14ac:dyDescent="0.6">
      <c r="A147" s="7"/>
      <c r="B147" s="7"/>
      <c r="C147" s="7"/>
      <c r="D147" s="7"/>
      <c r="E147" s="7"/>
      <c r="F147" s="8"/>
      <c r="G147" s="9"/>
      <c r="H147" s="9"/>
    </row>
    <row r="148" spans="1:8" x14ac:dyDescent="0.6">
      <c r="A148" s="7"/>
      <c r="B148" s="7"/>
      <c r="C148" s="7"/>
      <c r="D148" s="7"/>
      <c r="E148" s="7"/>
      <c r="F148" s="8"/>
      <c r="G148" s="9"/>
      <c r="H148" s="9"/>
    </row>
    <row r="149" spans="1:8" x14ac:dyDescent="0.6">
      <c r="A149" s="7"/>
      <c r="B149" s="7"/>
      <c r="C149" s="7"/>
      <c r="D149" s="7"/>
      <c r="E149" s="7"/>
      <c r="F149" s="8"/>
      <c r="G149" s="9"/>
      <c r="H149" s="9"/>
    </row>
    <row r="150" spans="1:8" x14ac:dyDescent="0.6">
      <c r="A150" s="7"/>
      <c r="B150" s="7"/>
      <c r="C150" s="7"/>
      <c r="D150" s="7"/>
      <c r="E150" s="7"/>
      <c r="F150" s="8"/>
      <c r="G150" s="9"/>
      <c r="H150" s="9"/>
    </row>
    <row r="151" spans="1:8" x14ac:dyDescent="0.6">
      <c r="A151" s="11"/>
      <c r="B151" s="11"/>
      <c r="C151" s="11"/>
      <c r="D151" s="11"/>
      <c r="E151" s="11"/>
      <c r="F151" s="12"/>
      <c r="G151" s="13"/>
      <c r="H151" s="13"/>
    </row>
    <row r="152" spans="1:8" x14ac:dyDescent="0.6">
      <c r="A152" s="14"/>
      <c r="B152" s="14"/>
      <c r="C152" s="14"/>
      <c r="D152" s="14"/>
      <c r="E152" s="14"/>
    </row>
    <row r="153" spans="1:8" x14ac:dyDescent="0.6">
      <c r="A153" s="14"/>
      <c r="B153" s="14"/>
      <c r="C153" s="14"/>
      <c r="D153" s="14"/>
      <c r="E153" s="14"/>
    </row>
    <row r="154" spans="1:8" x14ac:dyDescent="0.6">
      <c r="A154" s="14"/>
      <c r="B154" s="14"/>
      <c r="C154" s="14"/>
      <c r="D154" s="14"/>
      <c r="E154" s="14"/>
    </row>
    <row r="155" spans="1:8" x14ac:dyDescent="0.6">
      <c r="A155" s="14"/>
      <c r="B155" s="14"/>
      <c r="C155" s="14"/>
      <c r="D155" s="14"/>
      <c r="E155" s="14"/>
    </row>
    <row r="156" spans="1:8" x14ac:dyDescent="0.6">
      <c r="A156" s="14"/>
      <c r="B156" s="14"/>
      <c r="C156" s="14"/>
      <c r="D156" s="14"/>
      <c r="E156" s="14"/>
    </row>
    <row r="157" spans="1:8" x14ac:dyDescent="0.6">
      <c r="A157" s="14"/>
      <c r="B157" s="14"/>
      <c r="C157" s="14"/>
      <c r="D157" s="14"/>
      <c r="E157" s="14"/>
    </row>
    <row r="158" spans="1:8" x14ac:dyDescent="0.6">
      <c r="A158" s="14"/>
      <c r="B158" s="14"/>
      <c r="C158" s="14"/>
      <c r="D158" s="14"/>
      <c r="E158" s="14"/>
    </row>
    <row r="159" spans="1:8" x14ac:dyDescent="0.6">
      <c r="A159" s="14"/>
      <c r="B159" s="14"/>
      <c r="C159" s="14"/>
      <c r="D159" s="14"/>
      <c r="E159" s="14"/>
    </row>
    <row r="160" spans="1:8" x14ac:dyDescent="0.6">
      <c r="A160" s="14"/>
      <c r="B160" s="14"/>
      <c r="C160" s="14"/>
      <c r="D160" s="14"/>
      <c r="E160" s="14"/>
    </row>
    <row r="161" spans="1:5" x14ac:dyDescent="0.6">
      <c r="A161" s="14"/>
      <c r="B161" s="14"/>
      <c r="C161" s="14"/>
      <c r="D161" s="14"/>
      <c r="E161" s="14"/>
    </row>
    <row r="162" spans="1:5" x14ac:dyDescent="0.6">
      <c r="A162" s="14"/>
      <c r="B162" s="14"/>
      <c r="C162" s="14"/>
      <c r="D162" s="14"/>
      <c r="E162" s="14"/>
    </row>
    <row r="163" spans="1:5" x14ac:dyDescent="0.6">
      <c r="A163" s="14"/>
      <c r="B163" s="14"/>
      <c r="C163" s="14"/>
      <c r="D163" s="14"/>
      <c r="E163" s="14"/>
    </row>
    <row r="164" spans="1:5" x14ac:dyDescent="0.6">
      <c r="A164" s="14"/>
      <c r="B164" s="14"/>
      <c r="C164" s="14"/>
      <c r="D164" s="14"/>
      <c r="E164" s="14"/>
    </row>
    <row r="165" spans="1:5" x14ac:dyDescent="0.6">
      <c r="A165" s="14"/>
      <c r="B165" s="14"/>
      <c r="C165" s="14"/>
      <c r="D165" s="14"/>
      <c r="E165" s="14"/>
    </row>
    <row r="166" spans="1:5" x14ac:dyDescent="0.6">
      <c r="A166" s="14"/>
      <c r="B166" s="14"/>
      <c r="C166" s="14"/>
      <c r="D166" s="14"/>
      <c r="E166" s="14"/>
    </row>
    <row r="167" spans="1:5" x14ac:dyDescent="0.6">
      <c r="A167" s="14"/>
      <c r="B167" s="14"/>
      <c r="C167" s="14"/>
      <c r="D167" s="14"/>
      <c r="E167" s="14"/>
    </row>
    <row r="168" spans="1:5" x14ac:dyDescent="0.6">
      <c r="A168" s="14"/>
      <c r="B168" s="14"/>
      <c r="C168" s="14"/>
      <c r="D168" s="14"/>
      <c r="E168" s="14"/>
    </row>
    <row r="169" spans="1:5" x14ac:dyDescent="0.6">
      <c r="A169" s="14"/>
      <c r="B169" s="14"/>
      <c r="C169" s="14"/>
      <c r="D169" s="14"/>
      <c r="E169" s="14"/>
    </row>
    <row r="170" spans="1:5" x14ac:dyDescent="0.6">
      <c r="A170" s="14"/>
      <c r="B170" s="14"/>
      <c r="C170" s="14"/>
      <c r="D170" s="14"/>
      <c r="E170" s="14"/>
    </row>
    <row r="171" spans="1:5" x14ac:dyDescent="0.6">
      <c r="A171" s="14"/>
      <c r="B171" s="14"/>
      <c r="C171" s="14"/>
      <c r="D171" s="14"/>
      <c r="E171" s="14"/>
    </row>
    <row r="172" spans="1:5" x14ac:dyDescent="0.6">
      <c r="A172" s="14"/>
      <c r="B172" s="14"/>
      <c r="C172" s="14"/>
      <c r="D172" s="14"/>
      <c r="E172" s="14"/>
    </row>
    <row r="173" spans="1:5" x14ac:dyDescent="0.6">
      <c r="A173" s="14"/>
      <c r="B173" s="14"/>
      <c r="C173" s="14"/>
      <c r="D173" s="14"/>
      <c r="E173" s="14"/>
    </row>
    <row r="174" spans="1:5" x14ac:dyDescent="0.6">
      <c r="A174" s="14"/>
      <c r="B174" s="14"/>
      <c r="C174" s="14"/>
      <c r="D174" s="14"/>
      <c r="E174" s="14"/>
    </row>
    <row r="175" spans="1:5" x14ac:dyDescent="0.6">
      <c r="A175" s="14"/>
      <c r="B175" s="14"/>
      <c r="C175" s="14"/>
      <c r="D175" s="14"/>
      <c r="E175" s="14"/>
    </row>
    <row r="176" spans="1:5" x14ac:dyDescent="0.6">
      <c r="A176" s="14"/>
      <c r="B176" s="14"/>
      <c r="C176" s="14"/>
      <c r="D176" s="14"/>
      <c r="E176" s="14"/>
    </row>
    <row r="177" spans="1:5" x14ac:dyDescent="0.6">
      <c r="A177" s="14"/>
      <c r="B177" s="14"/>
      <c r="C177" s="14"/>
      <c r="D177" s="14"/>
      <c r="E177" s="14"/>
    </row>
    <row r="178" spans="1:5" x14ac:dyDescent="0.6">
      <c r="A178" s="14"/>
      <c r="B178" s="14"/>
      <c r="C178" s="14"/>
      <c r="D178" s="14"/>
      <c r="E178" s="14"/>
    </row>
    <row r="179" spans="1:5" x14ac:dyDescent="0.6">
      <c r="A179" s="14"/>
      <c r="B179" s="14"/>
      <c r="C179" s="14"/>
      <c r="D179" s="14"/>
      <c r="E179" s="14"/>
    </row>
    <row r="180" spans="1:5" x14ac:dyDescent="0.6">
      <c r="A180" s="14"/>
      <c r="B180" s="14"/>
      <c r="C180" s="14"/>
      <c r="D180" s="14"/>
      <c r="E180" s="14"/>
    </row>
    <row r="181" spans="1:5" x14ac:dyDescent="0.6">
      <c r="A181" s="14"/>
      <c r="B181" s="14"/>
      <c r="C181" s="14"/>
      <c r="D181" s="14"/>
      <c r="E181" s="14"/>
    </row>
    <row r="182" spans="1:5" x14ac:dyDescent="0.6">
      <c r="A182" s="14"/>
      <c r="B182" s="14"/>
      <c r="C182" s="14"/>
      <c r="D182" s="14"/>
      <c r="E182" s="14"/>
    </row>
    <row r="183" spans="1:5" x14ac:dyDescent="0.6">
      <c r="A183" s="14"/>
      <c r="B183" s="14"/>
      <c r="C183" s="14"/>
      <c r="D183" s="14"/>
      <c r="E183" s="14"/>
    </row>
    <row r="184" spans="1:5" x14ac:dyDescent="0.6">
      <c r="A184" s="14"/>
      <c r="B184" s="14"/>
      <c r="C184" s="14"/>
      <c r="D184" s="14"/>
      <c r="E184" s="14"/>
    </row>
    <row r="185" spans="1:5" x14ac:dyDescent="0.6">
      <c r="A185" s="14"/>
      <c r="B185" s="14"/>
      <c r="C185" s="14"/>
      <c r="D185" s="14"/>
      <c r="E185" s="14"/>
    </row>
    <row r="186" spans="1:5" x14ac:dyDescent="0.6">
      <c r="A186" s="14"/>
      <c r="B186" s="14"/>
      <c r="C186" s="14"/>
      <c r="D186" s="14"/>
      <c r="E186" s="14"/>
    </row>
    <row r="187" spans="1:5" x14ac:dyDescent="0.6">
      <c r="A187" s="14"/>
      <c r="B187" s="14"/>
      <c r="C187" s="14"/>
      <c r="D187" s="14"/>
      <c r="E187" s="14"/>
    </row>
    <row r="188" spans="1:5" x14ac:dyDescent="0.6">
      <c r="A188" s="14"/>
      <c r="B188" s="14"/>
      <c r="C188" s="14"/>
      <c r="D188" s="14"/>
      <c r="E188" s="14"/>
    </row>
    <row r="189" spans="1:5" x14ac:dyDescent="0.6">
      <c r="A189" s="14"/>
      <c r="B189" s="14"/>
      <c r="C189" s="14"/>
      <c r="D189" s="14"/>
      <c r="E189" s="14"/>
    </row>
    <row r="190" spans="1:5" x14ac:dyDescent="0.6">
      <c r="A190" s="14"/>
      <c r="B190" s="14"/>
      <c r="C190" s="14"/>
      <c r="D190" s="14"/>
      <c r="E190" s="14"/>
    </row>
    <row r="191" spans="1:5" x14ac:dyDescent="0.6">
      <c r="A191" s="14"/>
      <c r="B191" s="14"/>
      <c r="C191" s="14"/>
      <c r="D191" s="14"/>
      <c r="E191" s="14"/>
    </row>
    <row r="192" spans="1:5" x14ac:dyDescent="0.6">
      <c r="A192" s="14"/>
      <c r="B192" s="14"/>
      <c r="C192" s="14"/>
      <c r="D192" s="14"/>
      <c r="E192" s="14"/>
    </row>
    <row r="193" spans="1:5" x14ac:dyDescent="0.6">
      <c r="A193" s="14"/>
      <c r="B193" s="14"/>
      <c r="C193" s="14"/>
      <c r="D193" s="14"/>
      <c r="E193" s="14"/>
    </row>
    <row r="194" spans="1:5" x14ac:dyDescent="0.6">
      <c r="A194" s="14"/>
      <c r="B194" s="14"/>
      <c r="C194" s="14"/>
      <c r="D194" s="14"/>
      <c r="E194" s="14"/>
    </row>
    <row r="195" spans="1:5" x14ac:dyDescent="0.6">
      <c r="A195" s="14"/>
      <c r="B195" s="14"/>
      <c r="C195" s="14"/>
      <c r="D195" s="14"/>
      <c r="E195" s="14"/>
    </row>
    <row r="196" spans="1:5" x14ac:dyDescent="0.6">
      <c r="A196" s="14"/>
      <c r="B196" s="14"/>
      <c r="C196" s="14"/>
      <c r="D196" s="14"/>
      <c r="E196" s="14"/>
    </row>
    <row r="197" spans="1:5" x14ac:dyDescent="0.6">
      <c r="A197" s="14"/>
      <c r="B197" s="14"/>
      <c r="C197" s="14"/>
      <c r="D197" s="14"/>
      <c r="E197" s="14"/>
    </row>
    <row r="198" spans="1:5" x14ac:dyDescent="0.6">
      <c r="A198" s="14"/>
      <c r="B198" s="14"/>
      <c r="C198" s="14"/>
      <c r="D198" s="14"/>
      <c r="E198" s="14"/>
    </row>
    <row r="199" spans="1:5" x14ac:dyDescent="0.6">
      <c r="A199" s="14"/>
      <c r="B199" s="14"/>
      <c r="C199" s="14"/>
      <c r="D199" s="14"/>
      <c r="E199" s="14"/>
    </row>
    <row r="200" spans="1:5" x14ac:dyDescent="0.6">
      <c r="A200" s="14"/>
      <c r="B200" s="14"/>
      <c r="C200" s="14"/>
      <c r="D200" s="14"/>
      <c r="E200" s="14"/>
    </row>
    <row r="201" spans="1:5" x14ac:dyDescent="0.6">
      <c r="A201" s="14"/>
      <c r="B201" s="14"/>
      <c r="C201" s="14"/>
      <c r="D201" s="14"/>
      <c r="E201" s="14"/>
    </row>
    <row r="202" spans="1:5" x14ac:dyDescent="0.6">
      <c r="A202" s="14"/>
      <c r="B202" s="14"/>
      <c r="C202" s="14"/>
      <c r="D202" s="14"/>
      <c r="E202" s="14"/>
    </row>
    <row r="203" spans="1:5" x14ac:dyDescent="0.6">
      <c r="A203" s="14"/>
      <c r="B203" s="14"/>
      <c r="C203" s="14"/>
      <c r="D203" s="14"/>
      <c r="E203" s="14"/>
    </row>
    <row r="204" spans="1:5" x14ac:dyDescent="0.6">
      <c r="A204" s="14"/>
      <c r="B204" s="14"/>
      <c r="C204" s="14"/>
      <c r="D204" s="14"/>
      <c r="E204" s="14"/>
    </row>
    <row r="205" spans="1:5" x14ac:dyDescent="0.6">
      <c r="A205" s="14"/>
      <c r="B205" s="14"/>
      <c r="C205" s="14"/>
      <c r="D205" s="14"/>
      <c r="E205" s="14"/>
    </row>
    <row r="206" spans="1:5" x14ac:dyDescent="0.6">
      <c r="A206" s="14"/>
      <c r="B206" s="14"/>
      <c r="C206" s="14"/>
      <c r="D206" s="14"/>
      <c r="E206" s="14"/>
    </row>
    <row r="207" spans="1:5" x14ac:dyDescent="0.6">
      <c r="A207" s="14"/>
      <c r="B207" s="14"/>
      <c r="C207" s="14"/>
      <c r="D207" s="14"/>
      <c r="E207" s="14"/>
    </row>
    <row r="208" spans="1:5" x14ac:dyDescent="0.6">
      <c r="A208" s="14"/>
      <c r="B208" s="14"/>
      <c r="C208" s="14"/>
      <c r="D208" s="14"/>
      <c r="E208" s="14"/>
    </row>
    <row r="209" spans="1:5" x14ac:dyDescent="0.6">
      <c r="A209" s="14"/>
      <c r="B209" s="14"/>
      <c r="C209" s="14"/>
      <c r="D209" s="14"/>
      <c r="E209" s="14"/>
    </row>
    <row r="210" spans="1:5" x14ac:dyDescent="0.6">
      <c r="A210" s="14"/>
      <c r="B210" s="14"/>
      <c r="C210" s="14"/>
      <c r="D210" s="14"/>
      <c r="E210" s="14"/>
    </row>
    <row r="211" spans="1:5" x14ac:dyDescent="0.6">
      <c r="A211" s="14"/>
      <c r="B211" s="14"/>
      <c r="C211" s="14"/>
      <c r="D211" s="14"/>
      <c r="E211" s="14"/>
    </row>
    <row r="212" spans="1:5" x14ac:dyDescent="0.6">
      <c r="A212" s="14"/>
      <c r="B212" s="14"/>
      <c r="C212" s="14"/>
      <c r="D212" s="14"/>
      <c r="E212" s="14"/>
    </row>
    <row r="213" spans="1:5" x14ac:dyDescent="0.6">
      <c r="A213" s="14"/>
      <c r="B213" s="14"/>
      <c r="C213" s="14"/>
      <c r="D213" s="14"/>
      <c r="E213" s="14"/>
    </row>
    <row r="214" spans="1:5" x14ac:dyDescent="0.6">
      <c r="A214" s="14"/>
      <c r="B214" s="14"/>
      <c r="C214" s="14"/>
      <c r="D214" s="14"/>
      <c r="E214" s="14"/>
    </row>
    <row r="215" spans="1:5" x14ac:dyDescent="0.6">
      <c r="A215" s="14"/>
      <c r="B215" s="14"/>
      <c r="C215" s="14"/>
      <c r="D215" s="14"/>
      <c r="E215" s="14"/>
    </row>
    <row r="216" spans="1:5" x14ac:dyDescent="0.6">
      <c r="A216" s="14"/>
      <c r="B216" s="14"/>
      <c r="C216" s="14"/>
      <c r="D216" s="14"/>
      <c r="E216" s="14"/>
    </row>
    <row r="217" spans="1:5" x14ac:dyDescent="0.6">
      <c r="A217" s="14"/>
      <c r="B217" s="14"/>
      <c r="C217" s="14"/>
      <c r="D217" s="14"/>
      <c r="E217" s="14"/>
    </row>
    <row r="218" spans="1:5" x14ac:dyDescent="0.6">
      <c r="A218" s="14"/>
      <c r="B218" s="14"/>
      <c r="C218" s="14"/>
      <c r="D218" s="14"/>
      <c r="E218" s="14"/>
    </row>
    <row r="219" spans="1:5" x14ac:dyDescent="0.6">
      <c r="A219" s="14"/>
      <c r="B219" s="14"/>
      <c r="C219" s="14"/>
      <c r="D219" s="14"/>
      <c r="E219" s="14"/>
    </row>
    <row r="220" spans="1:5" x14ac:dyDescent="0.6">
      <c r="A220" s="14"/>
      <c r="B220" s="14"/>
      <c r="C220" s="14"/>
      <c r="D220" s="14"/>
      <c r="E220" s="14"/>
    </row>
    <row r="221" spans="1:5" x14ac:dyDescent="0.6">
      <c r="A221" s="14"/>
      <c r="B221" s="14"/>
      <c r="C221" s="14"/>
      <c r="D221" s="14"/>
      <c r="E221" s="14"/>
    </row>
    <row r="222" spans="1:5" x14ac:dyDescent="0.6">
      <c r="A222" s="14"/>
      <c r="B222" s="14"/>
      <c r="C222" s="14"/>
      <c r="D222" s="14"/>
      <c r="E222" s="14"/>
    </row>
    <row r="223" spans="1:5" x14ac:dyDescent="0.6">
      <c r="A223" s="14"/>
      <c r="B223" s="14"/>
      <c r="C223" s="14"/>
      <c r="D223" s="14"/>
      <c r="E223" s="14"/>
    </row>
    <row r="224" spans="1:5" x14ac:dyDescent="0.6">
      <c r="A224" s="14"/>
      <c r="B224" s="14"/>
      <c r="C224" s="14"/>
      <c r="D224" s="14"/>
      <c r="E224" s="14"/>
    </row>
    <row r="225" spans="1:5" x14ac:dyDescent="0.6">
      <c r="A225" s="14"/>
      <c r="B225" s="14"/>
      <c r="C225" s="14"/>
      <c r="D225" s="14"/>
      <c r="E225" s="14"/>
    </row>
    <row r="226" spans="1:5" x14ac:dyDescent="0.6">
      <c r="A226" s="14"/>
      <c r="B226" s="14"/>
      <c r="C226" s="14"/>
      <c r="D226" s="14"/>
      <c r="E226" s="14"/>
    </row>
    <row r="227" spans="1:5" x14ac:dyDescent="0.6">
      <c r="A227" s="14"/>
      <c r="B227" s="14"/>
      <c r="C227" s="14"/>
      <c r="D227" s="14"/>
      <c r="E227" s="14"/>
    </row>
    <row r="228" spans="1:5" x14ac:dyDescent="0.6">
      <c r="A228" s="14"/>
      <c r="B228" s="14"/>
      <c r="C228" s="14"/>
      <c r="D228" s="14"/>
      <c r="E228" s="14"/>
    </row>
    <row r="229" spans="1:5" x14ac:dyDescent="0.6">
      <c r="A229" s="14"/>
      <c r="B229" s="14"/>
      <c r="C229" s="14"/>
      <c r="D229" s="14"/>
      <c r="E229" s="14"/>
    </row>
    <row r="230" spans="1:5" x14ac:dyDescent="0.6">
      <c r="A230" s="14"/>
      <c r="B230" s="14"/>
      <c r="C230" s="14"/>
      <c r="D230" s="14"/>
      <c r="E230" s="14"/>
    </row>
    <row r="231" spans="1:5" x14ac:dyDescent="0.6">
      <c r="A231" s="14"/>
      <c r="B231" s="14"/>
      <c r="C231" s="14"/>
      <c r="D231" s="14"/>
      <c r="E231" s="14"/>
    </row>
    <row r="232" spans="1:5" x14ac:dyDescent="0.6">
      <c r="A232" s="14"/>
      <c r="B232" s="14"/>
      <c r="C232" s="14"/>
      <c r="D232" s="14"/>
      <c r="E232" s="14"/>
    </row>
    <row r="233" spans="1:5" x14ac:dyDescent="0.6">
      <c r="A233" s="14"/>
      <c r="B233" s="14"/>
      <c r="C233" s="14"/>
      <c r="D233" s="14"/>
      <c r="E233" s="14"/>
    </row>
    <row r="234" spans="1:5" x14ac:dyDescent="0.6">
      <c r="A234" s="14"/>
      <c r="B234" s="14"/>
      <c r="C234" s="14"/>
      <c r="D234" s="14"/>
      <c r="E234" s="14"/>
    </row>
    <row r="235" spans="1:5" x14ac:dyDescent="0.6">
      <c r="A235" s="14"/>
      <c r="B235" s="14"/>
      <c r="C235" s="14"/>
      <c r="D235" s="14"/>
      <c r="E235" s="14"/>
    </row>
    <row r="236" spans="1:5" x14ac:dyDescent="0.6">
      <c r="A236" s="14"/>
      <c r="B236" s="14"/>
      <c r="C236" s="14"/>
      <c r="D236" s="14"/>
      <c r="E236" s="14"/>
    </row>
    <row r="237" spans="1:5" x14ac:dyDescent="0.6">
      <c r="A237" s="14"/>
      <c r="B237" s="14"/>
      <c r="C237" s="14"/>
      <c r="D237" s="14"/>
      <c r="E237" s="14"/>
    </row>
    <row r="238" spans="1:5" x14ac:dyDescent="0.6">
      <c r="A238" s="14"/>
      <c r="B238" s="14"/>
      <c r="C238" s="14"/>
      <c r="D238" s="14"/>
      <c r="E238" s="14"/>
    </row>
    <row r="239" spans="1:5" x14ac:dyDescent="0.6">
      <c r="A239" s="14"/>
      <c r="B239" s="14"/>
      <c r="C239" s="14"/>
      <c r="D239" s="14"/>
      <c r="E239" s="14"/>
    </row>
    <row r="240" spans="1:5" x14ac:dyDescent="0.6">
      <c r="A240" s="14"/>
      <c r="B240" s="14"/>
      <c r="C240" s="14"/>
      <c r="D240" s="14"/>
      <c r="E240" s="14"/>
    </row>
    <row r="241" spans="1:5" x14ac:dyDescent="0.6">
      <c r="A241" s="14"/>
      <c r="B241" s="14"/>
      <c r="C241" s="14"/>
      <c r="D241" s="14"/>
      <c r="E241" s="14"/>
    </row>
    <row r="242" spans="1:5" x14ac:dyDescent="0.6">
      <c r="A242" s="14"/>
      <c r="B242" s="14"/>
      <c r="C242" s="14"/>
      <c r="D242" s="14"/>
      <c r="E242" s="14"/>
    </row>
    <row r="243" spans="1:5" x14ac:dyDescent="0.6">
      <c r="A243" s="14"/>
      <c r="B243" s="14"/>
      <c r="C243" s="14"/>
      <c r="D243" s="14"/>
      <c r="E243" s="14"/>
    </row>
    <row r="244" spans="1:5" x14ac:dyDescent="0.6">
      <c r="A244" s="14"/>
      <c r="B244" s="14"/>
      <c r="C244" s="14"/>
      <c r="D244" s="14"/>
      <c r="E244" s="14"/>
    </row>
    <row r="245" spans="1:5" x14ac:dyDescent="0.6">
      <c r="A245" s="14"/>
      <c r="B245" s="14"/>
      <c r="C245" s="14"/>
      <c r="D245" s="14"/>
      <c r="E245" s="14"/>
    </row>
    <row r="246" spans="1:5" x14ac:dyDescent="0.6">
      <c r="A246" s="14"/>
      <c r="B246" s="14"/>
      <c r="C246" s="14"/>
      <c r="D246" s="14"/>
      <c r="E246" s="14"/>
    </row>
    <row r="247" spans="1:5" x14ac:dyDescent="0.6">
      <c r="A247" s="14"/>
      <c r="B247" s="14"/>
      <c r="C247" s="14"/>
      <c r="D247" s="14"/>
      <c r="E247" s="14"/>
    </row>
    <row r="248" spans="1:5" x14ac:dyDescent="0.6">
      <c r="A248" s="14"/>
      <c r="B248" s="14"/>
      <c r="C248" s="14"/>
      <c r="D248" s="14"/>
      <c r="E248" s="14"/>
    </row>
    <row r="249" spans="1:5" x14ac:dyDescent="0.6">
      <c r="A249" s="14"/>
      <c r="B249" s="14"/>
      <c r="C249" s="14"/>
      <c r="D249" s="14"/>
      <c r="E249" s="14"/>
    </row>
    <row r="250" spans="1:5" x14ac:dyDescent="0.6">
      <c r="A250" s="14"/>
      <c r="B250" s="14"/>
      <c r="C250" s="14"/>
      <c r="D250" s="14"/>
      <c r="E250" s="14"/>
    </row>
    <row r="251" spans="1:5" x14ac:dyDescent="0.6">
      <c r="A251" s="14"/>
      <c r="B251" s="14"/>
      <c r="C251" s="14"/>
      <c r="D251" s="14"/>
      <c r="E251" s="14"/>
    </row>
    <row r="252" spans="1:5" x14ac:dyDescent="0.6">
      <c r="A252" s="14"/>
      <c r="B252" s="14"/>
      <c r="C252" s="14"/>
      <c r="D252" s="14"/>
      <c r="E252" s="14"/>
    </row>
    <row r="253" spans="1:5" x14ac:dyDescent="0.6">
      <c r="A253" s="14"/>
      <c r="B253" s="14"/>
      <c r="C253" s="14"/>
      <c r="D253" s="14"/>
      <c r="E253" s="14"/>
    </row>
    <row r="254" spans="1:5" x14ac:dyDescent="0.6">
      <c r="A254" s="14"/>
      <c r="B254" s="14"/>
      <c r="C254" s="14"/>
      <c r="D254" s="14"/>
      <c r="E254" s="14"/>
    </row>
    <row r="255" spans="1:5" x14ac:dyDescent="0.6">
      <c r="A255" s="14"/>
      <c r="B255" s="14"/>
      <c r="C255" s="14"/>
      <c r="D255" s="14"/>
      <c r="E255" s="14"/>
    </row>
    <row r="256" spans="1:5" x14ac:dyDescent="0.6">
      <c r="A256" s="14"/>
      <c r="B256" s="14"/>
      <c r="C256" s="14"/>
      <c r="D256" s="14"/>
      <c r="E256" s="14"/>
    </row>
    <row r="257" spans="1:5" x14ac:dyDescent="0.6">
      <c r="A257" s="14"/>
      <c r="B257" s="14"/>
      <c r="C257" s="14"/>
      <c r="D257" s="14"/>
      <c r="E257" s="14"/>
    </row>
    <row r="258" spans="1:5" x14ac:dyDescent="0.6">
      <c r="A258" s="14"/>
      <c r="B258" s="14"/>
      <c r="C258" s="14"/>
      <c r="D258" s="14"/>
      <c r="E258" s="14"/>
    </row>
    <row r="259" spans="1:5" x14ac:dyDescent="0.6">
      <c r="A259" s="14"/>
      <c r="B259" s="14"/>
      <c r="C259" s="14"/>
      <c r="D259" s="14"/>
      <c r="E259" s="14"/>
    </row>
    <row r="260" spans="1:5" x14ac:dyDescent="0.6">
      <c r="A260" s="14"/>
      <c r="B260" s="14"/>
      <c r="C260" s="14"/>
      <c r="D260" s="14"/>
      <c r="E260" s="14"/>
    </row>
    <row r="261" spans="1:5" x14ac:dyDescent="0.6">
      <c r="A261" s="14"/>
      <c r="B261" s="14"/>
      <c r="C261" s="14"/>
      <c r="D261" s="14"/>
      <c r="E261" s="14"/>
    </row>
    <row r="262" spans="1:5" x14ac:dyDescent="0.6">
      <c r="A262" s="14"/>
      <c r="B262" s="14"/>
      <c r="C262" s="14"/>
      <c r="D262" s="14"/>
      <c r="E262" s="14"/>
    </row>
    <row r="263" spans="1:5" x14ac:dyDescent="0.6">
      <c r="A263" s="14"/>
      <c r="B263" s="14"/>
      <c r="C263" s="14"/>
      <c r="D263" s="14"/>
      <c r="E263" s="14"/>
    </row>
    <row r="264" spans="1:5" x14ac:dyDescent="0.6">
      <c r="A264" s="14"/>
      <c r="B264" s="14"/>
      <c r="C264" s="14"/>
      <c r="D264" s="14"/>
      <c r="E264" s="14"/>
    </row>
    <row r="265" spans="1:5" x14ac:dyDescent="0.6">
      <c r="A265" s="14"/>
      <c r="B265" s="14"/>
      <c r="C265" s="14"/>
      <c r="D265" s="14"/>
      <c r="E265" s="14"/>
    </row>
    <row r="266" spans="1:5" x14ac:dyDescent="0.6">
      <c r="A266" s="14"/>
      <c r="B266" s="14"/>
      <c r="C266" s="14"/>
      <c r="D266" s="14"/>
      <c r="E266" s="14"/>
    </row>
    <row r="267" spans="1:5" x14ac:dyDescent="0.6">
      <c r="A267" s="14"/>
      <c r="B267" s="14"/>
      <c r="C267" s="14"/>
      <c r="D267" s="14"/>
      <c r="E267" s="14"/>
    </row>
    <row r="268" spans="1:5" x14ac:dyDescent="0.6">
      <c r="A268" s="14"/>
      <c r="B268" s="14"/>
      <c r="C268" s="14"/>
      <c r="D268" s="14"/>
      <c r="E268" s="14"/>
    </row>
    <row r="269" spans="1:5" x14ac:dyDescent="0.6">
      <c r="A269" s="14"/>
      <c r="B269" s="14"/>
      <c r="C269" s="14"/>
      <c r="D269" s="14"/>
      <c r="E269" s="14"/>
    </row>
    <row r="270" spans="1:5" x14ac:dyDescent="0.6">
      <c r="A270" s="14"/>
      <c r="B270" s="14"/>
      <c r="C270" s="14"/>
      <c r="D270" s="14"/>
      <c r="E270" s="14"/>
    </row>
    <row r="271" spans="1:5" x14ac:dyDescent="0.6">
      <c r="A271" s="14"/>
      <c r="B271" s="14"/>
      <c r="C271" s="14"/>
      <c r="D271" s="14"/>
      <c r="E271" s="14"/>
    </row>
    <row r="272" spans="1:5" x14ac:dyDescent="0.6">
      <c r="A272" s="14"/>
      <c r="B272" s="14"/>
      <c r="C272" s="14"/>
      <c r="D272" s="14"/>
      <c r="E272" s="14"/>
    </row>
    <row r="273" spans="1:5" x14ac:dyDescent="0.6">
      <c r="A273" s="14"/>
      <c r="B273" s="14"/>
      <c r="C273" s="14"/>
      <c r="D273" s="14"/>
      <c r="E273" s="14"/>
    </row>
    <row r="274" spans="1:5" x14ac:dyDescent="0.6">
      <c r="A274" s="14"/>
      <c r="B274" s="14"/>
      <c r="C274" s="14"/>
      <c r="D274" s="14"/>
      <c r="E274" s="14"/>
    </row>
    <row r="275" spans="1:5" x14ac:dyDescent="0.6">
      <c r="A275" s="14"/>
      <c r="B275" s="14"/>
      <c r="C275" s="14"/>
      <c r="D275" s="14"/>
      <c r="E275" s="14"/>
    </row>
    <row r="276" spans="1:5" x14ac:dyDescent="0.6">
      <c r="A276" s="14"/>
      <c r="B276" s="14"/>
      <c r="C276" s="14"/>
      <c r="D276" s="14"/>
      <c r="E276" s="14"/>
    </row>
    <row r="277" spans="1:5" x14ac:dyDescent="0.6">
      <c r="A277" s="14"/>
      <c r="B277" s="14"/>
      <c r="C277" s="14"/>
      <c r="D277" s="14"/>
      <c r="E277" s="14"/>
    </row>
    <row r="278" spans="1:5" x14ac:dyDescent="0.6">
      <c r="A278" s="14"/>
      <c r="B278" s="14"/>
      <c r="C278" s="14"/>
      <c r="D278" s="14"/>
      <c r="E278" s="14"/>
    </row>
    <row r="279" spans="1:5" x14ac:dyDescent="0.6">
      <c r="A279" s="14"/>
      <c r="B279" s="14"/>
      <c r="C279" s="14"/>
      <c r="D279" s="14"/>
      <c r="E279" s="14"/>
    </row>
    <row r="280" spans="1:5" x14ac:dyDescent="0.6">
      <c r="A280" s="14"/>
      <c r="B280" s="14"/>
      <c r="C280" s="14"/>
      <c r="D280" s="14"/>
      <c r="E280" s="14"/>
    </row>
    <row r="281" spans="1:5" x14ac:dyDescent="0.6">
      <c r="A281" s="14"/>
      <c r="B281" s="14"/>
      <c r="C281" s="14"/>
      <c r="D281" s="14"/>
      <c r="E281" s="14"/>
    </row>
    <row r="282" spans="1:5" x14ac:dyDescent="0.6">
      <c r="A282" s="14"/>
      <c r="B282" s="14"/>
      <c r="C282" s="14"/>
      <c r="D282" s="14"/>
      <c r="E282" s="14"/>
    </row>
    <row r="283" spans="1:5" x14ac:dyDescent="0.6">
      <c r="A283" s="14"/>
      <c r="B283" s="14"/>
      <c r="C283" s="14"/>
      <c r="D283" s="14"/>
      <c r="E283" s="14"/>
    </row>
    <row r="284" spans="1:5" x14ac:dyDescent="0.6">
      <c r="A284" s="14"/>
      <c r="B284" s="14"/>
      <c r="C284" s="14"/>
      <c r="D284" s="14"/>
      <c r="E284" s="14"/>
    </row>
    <row r="285" spans="1:5" x14ac:dyDescent="0.6">
      <c r="A285" s="14"/>
      <c r="B285" s="14"/>
      <c r="C285" s="14"/>
      <c r="D285" s="14"/>
      <c r="E285" s="14"/>
    </row>
    <row r="286" spans="1:5" x14ac:dyDescent="0.6">
      <c r="A286" s="14"/>
      <c r="B286" s="14"/>
      <c r="C286" s="14"/>
      <c r="D286" s="14"/>
      <c r="E286" s="14"/>
    </row>
    <row r="287" spans="1:5" x14ac:dyDescent="0.6">
      <c r="A287" s="14"/>
      <c r="B287" s="14"/>
      <c r="C287" s="14"/>
      <c r="D287" s="14"/>
      <c r="E287" s="14"/>
    </row>
    <row r="288" spans="1:5" x14ac:dyDescent="0.6">
      <c r="A288" s="14"/>
      <c r="B288" s="14"/>
      <c r="C288" s="14"/>
      <c r="D288" s="14"/>
      <c r="E288" s="14"/>
    </row>
    <row r="289" spans="1:5" x14ac:dyDescent="0.6">
      <c r="A289" s="14"/>
      <c r="B289" s="14"/>
      <c r="C289" s="14"/>
      <c r="D289" s="14"/>
      <c r="E289" s="14"/>
    </row>
    <row r="290" spans="1:5" x14ac:dyDescent="0.6">
      <c r="A290" s="14"/>
      <c r="B290" s="14"/>
      <c r="C290" s="14"/>
      <c r="D290" s="14"/>
      <c r="E290" s="14"/>
    </row>
    <row r="291" spans="1:5" x14ac:dyDescent="0.6">
      <c r="A291" s="14"/>
      <c r="B291" s="14"/>
      <c r="C291" s="14"/>
      <c r="D291" s="14"/>
      <c r="E291" s="14"/>
    </row>
    <row r="292" spans="1:5" x14ac:dyDescent="0.6">
      <c r="A292" s="14"/>
      <c r="B292" s="14"/>
      <c r="C292" s="14"/>
      <c r="D292" s="14"/>
      <c r="E292" s="14"/>
    </row>
    <row r="293" spans="1:5" x14ac:dyDescent="0.6">
      <c r="A293" s="14"/>
      <c r="B293" s="14"/>
      <c r="C293" s="14"/>
      <c r="D293" s="14"/>
      <c r="E293" s="14"/>
    </row>
    <row r="294" spans="1:5" x14ac:dyDescent="0.6">
      <c r="A294" s="14"/>
      <c r="B294" s="14"/>
      <c r="C294" s="14"/>
      <c r="D294" s="14"/>
      <c r="E294" s="14"/>
    </row>
    <row r="295" spans="1:5" x14ac:dyDescent="0.6">
      <c r="A295" s="14"/>
      <c r="B295" s="14"/>
      <c r="C295" s="14"/>
      <c r="D295" s="14"/>
      <c r="E295" s="14"/>
    </row>
    <row r="296" spans="1:5" x14ac:dyDescent="0.6">
      <c r="A296" s="14"/>
      <c r="B296" s="14"/>
      <c r="C296" s="14"/>
      <c r="D296" s="14"/>
      <c r="E296" s="14"/>
    </row>
    <row r="297" spans="1:5" x14ac:dyDescent="0.6">
      <c r="A297" s="14"/>
      <c r="B297" s="14"/>
      <c r="C297" s="14"/>
      <c r="D297" s="14"/>
      <c r="E297" s="14"/>
    </row>
    <row r="298" spans="1:5" x14ac:dyDescent="0.6">
      <c r="A298" s="14"/>
      <c r="B298" s="14"/>
      <c r="C298" s="14"/>
      <c r="D298" s="14"/>
      <c r="E298" s="14"/>
    </row>
    <row r="299" spans="1:5" x14ac:dyDescent="0.6">
      <c r="A299" s="14"/>
      <c r="B299" s="14"/>
      <c r="C299" s="14"/>
      <c r="D299" s="14"/>
      <c r="E299" s="14"/>
    </row>
  </sheetData>
  <sortState xmlns:xlrd2="http://schemas.microsoft.com/office/spreadsheetml/2017/richdata2" ref="A2:H114">
    <sortCondition ref="A2:A114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9188-EAAF-492C-88B0-9A4DEC054946}">
  <dimension ref="A1:A4"/>
  <sheetViews>
    <sheetView showGridLines="0" workbookViewId="0">
      <selection activeCell="M14" sqref="M14"/>
    </sheetView>
  </sheetViews>
  <sheetFormatPr defaultColWidth="11.3984375" defaultRowHeight="16.5" x14ac:dyDescent="0.6"/>
  <cols>
    <col min="1" max="16384" width="11.3984375" style="2"/>
  </cols>
  <sheetData>
    <row r="1" spans="1:1" x14ac:dyDescent="0.6">
      <c r="A1" s="2" t="s">
        <v>183</v>
      </c>
    </row>
    <row r="2" spans="1:1" x14ac:dyDescent="0.6">
      <c r="A2" s="2" t="s">
        <v>184</v>
      </c>
    </row>
    <row r="3" spans="1:1" x14ac:dyDescent="0.6">
      <c r="A3" s="2" t="s">
        <v>185</v>
      </c>
    </row>
    <row r="4" spans="1:1" x14ac:dyDescent="0.6">
      <c r="A4" s="2" t="s">
        <v>186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1CF4-5D97-43CE-85C9-C8A11E6BAA7D}">
  <dimension ref="A1:BC114"/>
  <sheetViews>
    <sheetView tabSelected="1" workbookViewId="0"/>
  </sheetViews>
  <sheetFormatPr defaultColWidth="10.6640625" defaultRowHeight="16.5" x14ac:dyDescent="0.6"/>
  <cols>
    <col min="1" max="16384" width="10.6640625" style="2"/>
  </cols>
  <sheetData>
    <row r="1" spans="1:55" x14ac:dyDescent="0.6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6">
      <c r="A2" s="2">
        <v>68</v>
      </c>
      <c r="B2" s="2" t="s">
        <v>56</v>
      </c>
      <c r="C2" s="2" t="s">
        <v>55</v>
      </c>
      <c r="D2" s="2">
        <v>83</v>
      </c>
      <c r="E2" s="2">
        <v>1</v>
      </c>
      <c r="F2" s="2">
        <v>1</v>
      </c>
      <c r="G2" s="2">
        <v>2671</v>
      </c>
      <c r="H2" s="2">
        <v>2671</v>
      </c>
      <c r="I2" s="2" t="s">
        <v>57</v>
      </c>
      <c r="J2" s="2" t="s">
        <v>56</v>
      </c>
      <c r="K2" s="2" t="s">
        <v>57</v>
      </c>
      <c r="L2" s="2">
        <v>6.1314339999999996</v>
      </c>
      <c r="M2" s="2" t="s">
        <v>58</v>
      </c>
      <c r="N2" s="2" t="s">
        <v>58</v>
      </c>
      <c r="O2" s="2" t="s">
        <v>57</v>
      </c>
      <c r="P2" s="2" t="s">
        <v>57</v>
      </c>
      <c r="Q2" s="2" t="s">
        <v>57</v>
      </c>
      <c r="R2" s="2">
        <v>71.384354999999999</v>
      </c>
      <c r="S2" s="2" t="s">
        <v>57</v>
      </c>
      <c r="T2" s="2" t="s">
        <v>59</v>
      </c>
      <c r="U2" s="2" t="s">
        <v>57</v>
      </c>
      <c r="V2" s="2">
        <v>2.6501510000000001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57</v>
      </c>
      <c r="AC2" s="2" t="s">
        <v>57</v>
      </c>
      <c r="AD2" s="2" t="s">
        <v>57</v>
      </c>
      <c r="AE2" s="2" t="s">
        <v>57</v>
      </c>
      <c r="AF2" s="2" t="s">
        <v>57</v>
      </c>
      <c r="AG2" s="2" t="s">
        <v>57</v>
      </c>
      <c r="AH2" s="2" t="s">
        <v>57</v>
      </c>
      <c r="AI2" s="2" t="s">
        <v>57</v>
      </c>
      <c r="AJ2" s="2" t="s">
        <v>57</v>
      </c>
      <c r="AK2" s="2" t="s">
        <v>57</v>
      </c>
      <c r="AL2" s="2" t="s">
        <v>57</v>
      </c>
      <c r="AM2" s="2" t="s">
        <v>57</v>
      </c>
      <c r="AN2" s="2" t="s">
        <v>57</v>
      </c>
      <c r="AO2" s="2" t="s">
        <v>57</v>
      </c>
      <c r="AP2" s="2" t="s">
        <v>57</v>
      </c>
      <c r="AQ2" s="2" t="s">
        <v>57</v>
      </c>
      <c r="AR2" s="2" t="s">
        <v>57</v>
      </c>
      <c r="AS2" s="2" t="s">
        <v>57</v>
      </c>
      <c r="AT2" s="2" t="s">
        <v>57</v>
      </c>
      <c r="AU2" s="2" t="s">
        <v>57</v>
      </c>
      <c r="AV2" s="2" t="s">
        <v>57</v>
      </c>
      <c r="AW2" s="2" t="s">
        <v>60</v>
      </c>
      <c r="AX2" s="2">
        <v>10.209063</v>
      </c>
      <c r="AY2" s="2">
        <v>1</v>
      </c>
      <c r="AZ2" s="2" t="s">
        <v>61</v>
      </c>
      <c r="BA2" s="2">
        <v>-1</v>
      </c>
      <c r="BB2" s="2">
        <v>32350</v>
      </c>
      <c r="BC2" s="2">
        <v>10209062.5</v>
      </c>
    </row>
    <row r="3" spans="1:55" x14ac:dyDescent="0.6">
      <c r="A3" s="2">
        <v>69</v>
      </c>
      <c r="B3" s="2" t="s">
        <v>62</v>
      </c>
      <c r="C3" s="2" t="s">
        <v>55</v>
      </c>
      <c r="D3" s="2">
        <v>84</v>
      </c>
      <c r="E3" s="2">
        <v>2</v>
      </c>
      <c r="F3" s="2">
        <v>2</v>
      </c>
      <c r="G3" s="2">
        <v>2672</v>
      </c>
      <c r="H3" s="2">
        <v>2672</v>
      </c>
      <c r="I3" s="2" t="s">
        <v>57</v>
      </c>
      <c r="J3" s="2" t="s">
        <v>62</v>
      </c>
      <c r="K3" s="2" t="s">
        <v>57</v>
      </c>
      <c r="L3" s="2">
        <v>6.295947</v>
      </c>
      <c r="M3" s="2" t="s">
        <v>58</v>
      </c>
      <c r="N3" s="2" t="s">
        <v>58</v>
      </c>
      <c r="O3" s="2" t="s">
        <v>57</v>
      </c>
      <c r="P3" s="2" t="s">
        <v>57</v>
      </c>
      <c r="Q3" s="2" t="s">
        <v>57</v>
      </c>
      <c r="R3" s="2">
        <v>71.730182999999997</v>
      </c>
      <c r="S3" s="2" t="s">
        <v>57</v>
      </c>
      <c r="T3" s="2" t="s">
        <v>59</v>
      </c>
      <c r="U3" s="2" t="s">
        <v>57</v>
      </c>
      <c r="V3" s="2">
        <v>2.6232880000000001</v>
      </c>
      <c r="W3" s="2" t="s">
        <v>57</v>
      </c>
      <c r="X3" s="2" t="s">
        <v>57</v>
      </c>
      <c r="Y3" s="2" t="s">
        <v>57</v>
      </c>
      <c r="Z3" s="2" t="s">
        <v>57</v>
      </c>
      <c r="AA3" s="2" t="s">
        <v>57</v>
      </c>
      <c r="AB3" s="2" t="s">
        <v>57</v>
      </c>
      <c r="AC3" s="2" t="s">
        <v>57</v>
      </c>
      <c r="AD3" s="2" t="s">
        <v>57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57</v>
      </c>
      <c r="AK3" s="2" t="s">
        <v>57</v>
      </c>
      <c r="AL3" s="2" t="s">
        <v>57</v>
      </c>
      <c r="AM3" s="2" t="s">
        <v>57</v>
      </c>
      <c r="AN3" s="2" t="s">
        <v>57</v>
      </c>
      <c r="AO3" s="2" t="s">
        <v>57</v>
      </c>
      <c r="AP3" s="2" t="s">
        <v>57</v>
      </c>
      <c r="AQ3" s="2" t="s">
        <v>57</v>
      </c>
      <c r="AR3" s="2" t="s">
        <v>57</v>
      </c>
      <c r="AS3" s="2" t="s">
        <v>57</v>
      </c>
      <c r="AT3" s="2" t="s">
        <v>57</v>
      </c>
      <c r="AU3" s="2" t="s">
        <v>57</v>
      </c>
      <c r="AV3" s="2" t="s">
        <v>57</v>
      </c>
      <c r="AW3" s="2" t="s">
        <v>60</v>
      </c>
      <c r="AX3" s="2">
        <v>11.660937000000001</v>
      </c>
      <c r="AY3" s="2">
        <v>1</v>
      </c>
      <c r="AZ3" s="2" t="s">
        <v>61</v>
      </c>
      <c r="BA3" s="2">
        <v>-1</v>
      </c>
      <c r="BB3" s="2">
        <v>36300</v>
      </c>
      <c r="BC3" s="2">
        <v>11660937.5</v>
      </c>
    </row>
    <row r="4" spans="1:55" x14ac:dyDescent="0.6">
      <c r="A4" s="2">
        <v>70</v>
      </c>
      <c r="B4" s="2" t="s">
        <v>63</v>
      </c>
      <c r="C4" s="2" t="s">
        <v>55</v>
      </c>
      <c r="D4" s="2">
        <v>85</v>
      </c>
      <c r="E4" s="2">
        <v>3</v>
      </c>
      <c r="F4" s="2">
        <v>3</v>
      </c>
      <c r="G4" s="2">
        <v>2673</v>
      </c>
      <c r="H4" s="2">
        <v>2673</v>
      </c>
      <c r="I4" s="2" t="s">
        <v>57</v>
      </c>
      <c r="J4" s="2" t="s">
        <v>63</v>
      </c>
      <c r="K4" s="2" t="s">
        <v>57</v>
      </c>
      <c r="L4" s="2">
        <v>6.5631130000000004</v>
      </c>
      <c r="M4" s="2" t="s">
        <v>58</v>
      </c>
      <c r="N4" s="2" t="s">
        <v>58</v>
      </c>
      <c r="O4" s="2" t="s">
        <v>57</v>
      </c>
      <c r="P4" s="2" t="s">
        <v>57</v>
      </c>
      <c r="Q4" s="2" t="s">
        <v>57</v>
      </c>
      <c r="R4" s="2">
        <v>71.145126000000005</v>
      </c>
      <c r="S4" s="2" t="s">
        <v>57</v>
      </c>
      <c r="T4" s="2" t="s">
        <v>59</v>
      </c>
      <c r="U4" s="2" t="s">
        <v>57</v>
      </c>
      <c r="V4" s="2">
        <v>1.5338210000000001</v>
      </c>
      <c r="W4" s="2" t="s">
        <v>57</v>
      </c>
      <c r="X4" s="2" t="s">
        <v>57</v>
      </c>
      <c r="Y4" s="2" t="s">
        <v>57</v>
      </c>
      <c r="Z4" s="2" t="s">
        <v>57</v>
      </c>
      <c r="AA4" s="2" t="s">
        <v>57</v>
      </c>
      <c r="AB4" s="2" t="s">
        <v>57</v>
      </c>
      <c r="AC4" s="2" t="s">
        <v>57</v>
      </c>
      <c r="AD4" s="2" t="s">
        <v>57</v>
      </c>
      <c r="AE4" s="2" t="s">
        <v>57</v>
      </c>
      <c r="AF4" s="2" t="s">
        <v>57</v>
      </c>
      <c r="AG4" s="2" t="s">
        <v>57</v>
      </c>
      <c r="AH4" s="2" t="s">
        <v>57</v>
      </c>
      <c r="AI4" s="2" t="s">
        <v>57</v>
      </c>
      <c r="AJ4" s="2" t="s">
        <v>57</v>
      </c>
      <c r="AK4" s="2" t="s">
        <v>57</v>
      </c>
      <c r="AL4" s="2" t="s">
        <v>57</v>
      </c>
      <c r="AM4" s="2" t="s">
        <v>57</v>
      </c>
      <c r="AN4" s="2" t="s">
        <v>57</v>
      </c>
      <c r="AO4" s="2" t="s">
        <v>57</v>
      </c>
      <c r="AP4" s="2" t="s">
        <v>57</v>
      </c>
      <c r="AQ4" s="2" t="s">
        <v>57</v>
      </c>
      <c r="AR4" s="2" t="s">
        <v>57</v>
      </c>
      <c r="AS4" s="2" t="s">
        <v>57</v>
      </c>
      <c r="AT4" s="2" t="s">
        <v>57</v>
      </c>
      <c r="AU4" s="2" t="s">
        <v>57</v>
      </c>
      <c r="AV4" s="2" t="s">
        <v>57</v>
      </c>
      <c r="AW4" s="2" t="s">
        <v>60</v>
      </c>
      <c r="AX4" s="2">
        <v>5.6593749999999998</v>
      </c>
      <c r="AY4" s="2">
        <v>1</v>
      </c>
      <c r="AZ4" s="2" t="s">
        <v>61</v>
      </c>
      <c r="BA4" s="2">
        <v>-1</v>
      </c>
      <c r="BB4" s="2">
        <v>16925</v>
      </c>
      <c r="BC4" s="2">
        <v>5659375</v>
      </c>
    </row>
    <row r="5" spans="1:55" x14ac:dyDescent="0.6">
      <c r="A5" s="2">
        <v>71</v>
      </c>
      <c r="B5" s="2" t="s">
        <v>64</v>
      </c>
      <c r="C5" s="2" t="s">
        <v>55</v>
      </c>
      <c r="D5" s="2">
        <v>86</v>
      </c>
      <c r="E5" s="2">
        <v>4</v>
      </c>
      <c r="F5" s="2">
        <v>4</v>
      </c>
      <c r="G5" s="2">
        <v>2674</v>
      </c>
      <c r="H5" s="2">
        <v>2674</v>
      </c>
      <c r="I5" s="2" t="s">
        <v>57</v>
      </c>
      <c r="J5" s="2" t="s">
        <v>64</v>
      </c>
      <c r="K5" s="2" t="s">
        <v>57</v>
      </c>
      <c r="L5" s="2">
        <v>6.4637479999999998</v>
      </c>
      <c r="M5" s="2" t="s">
        <v>58</v>
      </c>
      <c r="N5" s="2" t="s">
        <v>58</v>
      </c>
      <c r="O5" s="2" t="s">
        <v>57</v>
      </c>
      <c r="P5" s="2" t="s">
        <v>57</v>
      </c>
      <c r="Q5" s="2" t="s">
        <v>57</v>
      </c>
      <c r="R5" s="2">
        <v>69.153345000000002</v>
      </c>
      <c r="S5" s="2" t="s">
        <v>57</v>
      </c>
      <c r="T5" s="2" t="s">
        <v>59</v>
      </c>
      <c r="U5" s="2" t="s">
        <v>57</v>
      </c>
      <c r="V5" s="2">
        <v>2.9799880000000001</v>
      </c>
      <c r="W5" s="2" t="s">
        <v>57</v>
      </c>
      <c r="X5" s="2" t="s">
        <v>57</v>
      </c>
      <c r="Y5" s="2" t="s">
        <v>57</v>
      </c>
      <c r="Z5" s="2" t="s">
        <v>57</v>
      </c>
      <c r="AA5" s="2" t="s">
        <v>57</v>
      </c>
      <c r="AB5" s="2" t="s">
        <v>57</v>
      </c>
      <c r="AC5" s="2" t="s">
        <v>57</v>
      </c>
      <c r="AD5" s="2" t="s">
        <v>57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57</v>
      </c>
      <c r="AK5" s="2" t="s">
        <v>57</v>
      </c>
      <c r="AL5" s="2" t="s">
        <v>57</v>
      </c>
      <c r="AM5" s="2" t="s">
        <v>57</v>
      </c>
      <c r="AN5" s="2" t="s">
        <v>57</v>
      </c>
      <c r="AO5" s="2" t="s">
        <v>57</v>
      </c>
      <c r="AP5" s="2" t="s">
        <v>57</v>
      </c>
      <c r="AQ5" s="2" t="s">
        <v>57</v>
      </c>
      <c r="AR5" s="2" t="s">
        <v>57</v>
      </c>
      <c r="AS5" s="2" t="s">
        <v>57</v>
      </c>
      <c r="AT5" s="2" t="s">
        <v>57</v>
      </c>
      <c r="AU5" s="2" t="s">
        <v>57</v>
      </c>
      <c r="AV5" s="2" t="s">
        <v>57</v>
      </c>
      <c r="AW5" s="2" t="s">
        <v>60</v>
      </c>
      <c r="AX5" s="2">
        <v>10.988125</v>
      </c>
      <c r="AY5" s="2">
        <v>1</v>
      </c>
      <c r="AZ5" s="2" t="s">
        <v>61</v>
      </c>
      <c r="BA5" s="2">
        <v>-1</v>
      </c>
      <c r="BB5" s="2">
        <v>30750</v>
      </c>
      <c r="BC5" s="2">
        <v>10988125</v>
      </c>
    </row>
    <row r="6" spans="1:55" x14ac:dyDescent="0.6">
      <c r="A6" s="2">
        <v>72</v>
      </c>
      <c r="B6" s="2" t="s">
        <v>65</v>
      </c>
      <c r="C6" s="2" t="s">
        <v>55</v>
      </c>
      <c r="D6" s="2">
        <v>87</v>
      </c>
      <c r="E6" s="2">
        <v>5</v>
      </c>
      <c r="F6" s="2">
        <v>5</v>
      </c>
      <c r="G6" s="2">
        <v>2675</v>
      </c>
      <c r="H6" s="2">
        <v>2675</v>
      </c>
      <c r="I6" s="2" t="s">
        <v>57</v>
      </c>
      <c r="J6" s="2" t="s">
        <v>65</v>
      </c>
      <c r="K6" s="2" t="s">
        <v>57</v>
      </c>
      <c r="L6" s="2">
        <v>9.1491369999999996</v>
      </c>
      <c r="M6" s="2" t="s">
        <v>58</v>
      </c>
      <c r="N6" s="2" t="s">
        <v>58</v>
      </c>
      <c r="O6" s="2" t="s">
        <v>57</v>
      </c>
      <c r="P6" s="2" t="s">
        <v>57</v>
      </c>
      <c r="Q6" s="2" t="s">
        <v>57</v>
      </c>
      <c r="R6" s="2">
        <v>70.151087000000004</v>
      </c>
      <c r="S6" s="2" t="s">
        <v>57</v>
      </c>
      <c r="T6" s="2" t="s">
        <v>59</v>
      </c>
      <c r="U6" s="2" t="s">
        <v>57</v>
      </c>
      <c r="V6" s="2">
        <v>2.2642259999999998</v>
      </c>
      <c r="W6" s="2" t="s">
        <v>57</v>
      </c>
      <c r="X6" s="2" t="s">
        <v>57</v>
      </c>
      <c r="Y6" s="2" t="s">
        <v>57</v>
      </c>
      <c r="Z6" s="2" t="s">
        <v>57</v>
      </c>
      <c r="AA6" s="2" t="s">
        <v>57</v>
      </c>
      <c r="AB6" s="2" t="s">
        <v>57</v>
      </c>
      <c r="AC6" s="2" t="s">
        <v>57</v>
      </c>
      <c r="AD6" s="2" t="s">
        <v>57</v>
      </c>
      <c r="AE6" s="2" t="s">
        <v>57</v>
      </c>
      <c r="AF6" s="2" t="s">
        <v>57</v>
      </c>
      <c r="AG6" s="2" t="s">
        <v>57</v>
      </c>
      <c r="AH6" s="2" t="s">
        <v>57</v>
      </c>
      <c r="AI6" s="2" t="s">
        <v>57</v>
      </c>
      <c r="AJ6" s="2" t="s">
        <v>57</v>
      </c>
      <c r="AK6" s="2" t="s">
        <v>57</v>
      </c>
      <c r="AL6" s="2" t="s">
        <v>57</v>
      </c>
      <c r="AM6" s="2" t="s">
        <v>57</v>
      </c>
      <c r="AN6" s="2" t="s">
        <v>57</v>
      </c>
      <c r="AO6" s="2" t="s">
        <v>57</v>
      </c>
      <c r="AP6" s="2" t="s">
        <v>57</v>
      </c>
      <c r="AQ6" s="2" t="s">
        <v>57</v>
      </c>
      <c r="AR6" s="2" t="s">
        <v>57</v>
      </c>
      <c r="AS6" s="2" t="s">
        <v>57</v>
      </c>
      <c r="AT6" s="2" t="s">
        <v>57</v>
      </c>
      <c r="AU6" s="2" t="s">
        <v>57</v>
      </c>
      <c r="AV6" s="2" t="s">
        <v>57</v>
      </c>
      <c r="AW6" s="2" t="s">
        <v>60</v>
      </c>
      <c r="AX6" s="2">
        <v>6.381094</v>
      </c>
      <c r="AY6" s="2">
        <v>1</v>
      </c>
      <c r="AZ6" s="2" t="s">
        <v>61</v>
      </c>
      <c r="BA6" s="2">
        <v>-1</v>
      </c>
      <c r="BB6" s="2">
        <v>26400</v>
      </c>
      <c r="BC6" s="2">
        <v>6381093.75</v>
      </c>
    </row>
    <row r="7" spans="1:55" x14ac:dyDescent="0.6">
      <c r="A7" s="2">
        <v>73</v>
      </c>
      <c r="B7" s="2" t="s">
        <v>66</v>
      </c>
      <c r="C7" s="2" t="s">
        <v>55</v>
      </c>
      <c r="D7" s="2">
        <v>88</v>
      </c>
      <c r="E7" s="2">
        <v>6</v>
      </c>
      <c r="F7" s="2">
        <v>6</v>
      </c>
      <c r="G7" s="2">
        <v>2676</v>
      </c>
      <c r="H7" s="2">
        <v>2676</v>
      </c>
      <c r="I7" s="2" t="s">
        <v>57</v>
      </c>
      <c r="J7" s="2" t="s">
        <v>66</v>
      </c>
      <c r="K7" s="2" t="s">
        <v>57</v>
      </c>
      <c r="L7" s="2">
        <v>8.0648850000000003</v>
      </c>
      <c r="M7" s="2" t="s">
        <v>58</v>
      </c>
      <c r="N7" s="2" t="s">
        <v>58</v>
      </c>
      <c r="O7" s="2" t="s">
        <v>57</v>
      </c>
      <c r="P7" s="2" t="s">
        <v>57</v>
      </c>
      <c r="Q7" s="2" t="s">
        <v>57</v>
      </c>
      <c r="R7" s="2">
        <v>55.100985000000001</v>
      </c>
      <c r="S7" s="2" t="s">
        <v>57</v>
      </c>
      <c r="T7" s="2" t="s">
        <v>59</v>
      </c>
      <c r="U7" s="2" t="s">
        <v>57</v>
      </c>
      <c r="V7" s="2">
        <v>3.5124050000000002</v>
      </c>
      <c r="W7" s="2" t="s">
        <v>57</v>
      </c>
      <c r="X7" s="2" t="s">
        <v>57</v>
      </c>
      <c r="Y7" s="2" t="s">
        <v>57</v>
      </c>
      <c r="Z7" s="2" t="s">
        <v>57</v>
      </c>
      <c r="AA7" s="2" t="s">
        <v>57</v>
      </c>
      <c r="AB7" s="2" t="s">
        <v>57</v>
      </c>
      <c r="AC7" s="2" t="s">
        <v>57</v>
      </c>
      <c r="AD7" s="2" t="s">
        <v>57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57</v>
      </c>
      <c r="AK7" s="2" t="s">
        <v>57</v>
      </c>
      <c r="AL7" s="2" t="s">
        <v>57</v>
      </c>
      <c r="AM7" s="2" t="s">
        <v>57</v>
      </c>
      <c r="AN7" s="2" t="s">
        <v>57</v>
      </c>
      <c r="AO7" s="2" t="s">
        <v>57</v>
      </c>
      <c r="AP7" s="2" t="s">
        <v>57</v>
      </c>
      <c r="AQ7" s="2" t="s">
        <v>57</v>
      </c>
      <c r="AR7" s="2" t="s">
        <v>57</v>
      </c>
      <c r="AS7" s="2" t="s">
        <v>57</v>
      </c>
      <c r="AT7" s="2" t="s">
        <v>57</v>
      </c>
      <c r="AU7" s="2" t="s">
        <v>57</v>
      </c>
      <c r="AV7" s="2" t="s">
        <v>57</v>
      </c>
      <c r="AW7" s="2" t="s">
        <v>60</v>
      </c>
      <c r="AX7" s="2">
        <v>8.6159370000000006</v>
      </c>
      <c r="AY7" s="2">
        <v>1</v>
      </c>
      <c r="AZ7" s="2" t="s">
        <v>61</v>
      </c>
      <c r="BA7" s="2">
        <v>-1</v>
      </c>
      <c r="BB7" s="2">
        <v>28550</v>
      </c>
      <c r="BC7" s="2">
        <v>8615937.5</v>
      </c>
    </row>
    <row r="8" spans="1:55" x14ac:dyDescent="0.6">
      <c r="A8" s="2">
        <v>74</v>
      </c>
      <c r="B8" s="2" t="s">
        <v>67</v>
      </c>
      <c r="C8" s="2" t="s">
        <v>55</v>
      </c>
      <c r="D8" s="2">
        <v>89</v>
      </c>
      <c r="E8" s="2">
        <v>7</v>
      </c>
      <c r="F8" s="2">
        <v>7</v>
      </c>
      <c r="G8" s="2">
        <v>2677</v>
      </c>
      <c r="H8" s="2">
        <v>2677</v>
      </c>
      <c r="I8" s="2" t="s">
        <v>57</v>
      </c>
      <c r="J8" s="2" t="s">
        <v>67</v>
      </c>
      <c r="K8" s="2" t="s">
        <v>57</v>
      </c>
      <c r="L8" s="2">
        <v>5.3799320000000002</v>
      </c>
      <c r="M8" s="2" t="s">
        <v>58</v>
      </c>
      <c r="N8" s="2" t="s">
        <v>58</v>
      </c>
      <c r="O8" s="2" t="s">
        <v>57</v>
      </c>
      <c r="P8" s="2" t="s">
        <v>57</v>
      </c>
      <c r="Q8" s="2" t="s">
        <v>57</v>
      </c>
      <c r="R8" s="2">
        <v>70.578530999999998</v>
      </c>
      <c r="S8" s="2" t="s">
        <v>57</v>
      </c>
      <c r="T8" s="2" t="s">
        <v>59</v>
      </c>
      <c r="U8" s="2" t="s">
        <v>57</v>
      </c>
      <c r="V8" s="2">
        <v>3.3892229999999999</v>
      </c>
      <c r="W8" s="2" t="s">
        <v>57</v>
      </c>
      <c r="X8" s="2" t="s">
        <v>57</v>
      </c>
      <c r="Y8" s="2" t="s">
        <v>57</v>
      </c>
      <c r="Z8" s="2" t="s">
        <v>57</v>
      </c>
      <c r="AA8" s="2" t="s">
        <v>57</v>
      </c>
      <c r="AB8" s="2" t="s">
        <v>57</v>
      </c>
      <c r="AC8" s="2" t="s">
        <v>57</v>
      </c>
      <c r="AD8" s="2" t="s">
        <v>57</v>
      </c>
      <c r="AE8" s="2" t="s">
        <v>57</v>
      </c>
      <c r="AF8" s="2" t="s">
        <v>57</v>
      </c>
      <c r="AG8" s="2" t="s">
        <v>57</v>
      </c>
      <c r="AH8" s="2" t="s">
        <v>57</v>
      </c>
      <c r="AI8" s="2" t="s">
        <v>57</v>
      </c>
      <c r="AJ8" s="2" t="s">
        <v>57</v>
      </c>
      <c r="AK8" s="2" t="s">
        <v>57</v>
      </c>
      <c r="AL8" s="2" t="s">
        <v>57</v>
      </c>
      <c r="AM8" s="2" t="s">
        <v>57</v>
      </c>
      <c r="AN8" s="2" t="s">
        <v>57</v>
      </c>
      <c r="AO8" s="2" t="s">
        <v>57</v>
      </c>
      <c r="AP8" s="2" t="s">
        <v>57</v>
      </c>
      <c r="AQ8" s="2" t="s">
        <v>57</v>
      </c>
      <c r="AR8" s="2" t="s">
        <v>57</v>
      </c>
      <c r="AS8" s="2" t="s">
        <v>57</v>
      </c>
      <c r="AT8" s="2" t="s">
        <v>57</v>
      </c>
      <c r="AU8" s="2" t="s">
        <v>57</v>
      </c>
      <c r="AV8" s="2" t="s">
        <v>57</v>
      </c>
      <c r="AW8" s="2" t="s">
        <v>60</v>
      </c>
      <c r="AX8" s="2">
        <v>11.413812</v>
      </c>
      <c r="AY8" s="2">
        <v>1</v>
      </c>
      <c r="AZ8" s="2" t="s">
        <v>61</v>
      </c>
      <c r="BA8" s="2">
        <v>-1</v>
      </c>
      <c r="BB8" s="2">
        <v>28783.308700000001</v>
      </c>
      <c r="BC8" s="2">
        <v>11413812.044553</v>
      </c>
    </row>
    <row r="9" spans="1:55" x14ac:dyDescent="0.6">
      <c r="A9" s="2">
        <v>75</v>
      </c>
      <c r="B9" s="2" t="s">
        <v>68</v>
      </c>
      <c r="C9" s="2" t="s">
        <v>55</v>
      </c>
      <c r="D9" s="2">
        <v>90</v>
      </c>
      <c r="E9" s="2">
        <v>8</v>
      </c>
      <c r="F9" s="2">
        <v>8</v>
      </c>
      <c r="G9" s="2">
        <v>2678</v>
      </c>
      <c r="H9" s="2">
        <v>2678</v>
      </c>
      <c r="I9" s="2" t="s">
        <v>57</v>
      </c>
      <c r="J9" s="2" t="s">
        <v>68</v>
      </c>
      <c r="K9" s="2" t="s">
        <v>57</v>
      </c>
      <c r="L9" s="2">
        <v>6.0713999999999997</v>
      </c>
      <c r="M9" s="2" t="s">
        <v>58</v>
      </c>
      <c r="N9" s="2" t="s">
        <v>58</v>
      </c>
      <c r="O9" s="2" t="s">
        <v>57</v>
      </c>
      <c r="P9" s="2" t="s">
        <v>57</v>
      </c>
      <c r="Q9" s="2" t="s">
        <v>57</v>
      </c>
      <c r="R9" s="2">
        <v>51.228304000000001</v>
      </c>
      <c r="S9" s="2" t="s">
        <v>57</v>
      </c>
      <c r="T9" s="2" t="s">
        <v>59</v>
      </c>
      <c r="U9" s="2" t="s">
        <v>57</v>
      </c>
      <c r="V9" s="2">
        <v>6.1232389999999999</v>
      </c>
      <c r="W9" s="2" t="s">
        <v>57</v>
      </c>
      <c r="X9" s="2" t="s">
        <v>57</v>
      </c>
      <c r="Y9" s="2" t="s">
        <v>57</v>
      </c>
      <c r="Z9" s="2" t="s">
        <v>57</v>
      </c>
      <c r="AA9" s="2" t="s">
        <v>57</v>
      </c>
      <c r="AB9" s="2" t="s">
        <v>57</v>
      </c>
      <c r="AC9" s="2" t="s">
        <v>57</v>
      </c>
      <c r="AD9" s="2" t="s">
        <v>57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57</v>
      </c>
      <c r="AK9" s="2" t="s">
        <v>57</v>
      </c>
      <c r="AL9" s="2" t="s">
        <v>57</v>
      </c>
      <c r="AM9" s="2" t="s">
        <v>57</v>
      </c>
      <c r="AN9" s="2" t="s">
        <v>57</v>
      </c>
      <c r="AO9" s="2" t="s">
        <v>57</v>
      </c>
      <c r="AP9" s="2" t="s">
        <v>57</v>
      </c>
      <c r="AQ9" s="2" t="s">
        <v>57</v>
      </c>
      <c r="AR9" s="2" t="s">
        <v>57</v>
      </c>
      <c r="AS9" s="2" t="s">
        <v>57</v>
      </c>
      <c r="AT9" s="2" t="s">
        <v>57</v>
      </c>
      <c r="AU9" s="2" t="s">
        <v>57</v>
      </c>
      <c r="AV9" s="2" t="s">
        <v>57</v>
      </c>
      <c r="AW9" s="2" t="s">
        <v>60</v>
      </c>
      <c r="AX9" s="2">
        <v>15.664375</v>
      </c>
      <c r="AY9" s="2">
        <v>1</v>
      </c>
      <c r="AZ9" s="2" t="s">
        <v>61</v>
      </c>
      <c r="BA9" s="2">
        <v>-1</v>
      </c>
      <c r="BB9" s="2">
        <v>45325</v>
      </c>
      <c r="BC9" s="2">
        <v>15664375</v>
      </c>
    </row>
    <row r="10" spans="1:55" x14ac:dyDescent="0.6">
      <c r="A10" s="2">
        <v>76</v>
      </c>
      <c r="B10" s="2" t="s">
        <v>69</v>
      </c>
      <c r="C10" s="2" t="s">
        <v>55</v>
      </c>
      <c r="D10" s="2">
        <v>91</v>
      </c>
      <c r="E10" s="2">
        <v>9</v>
      </c>
      <c r="F10" s="2">
        <v>9</v>
      </c>
      <c r="G10" s="2">
        <v>2679</v>
      </c>
      <c r="H10" s="2">
        <v>2679</v>
      </c>
      <c r="I10" s="2" t="s">
        <v>57</v>
      </c>
      <c r="J10" s="2" t="s">
        <v>69</v>
      </c>
      <c r="K10" s="2" t="s">
        <v>57</v>
      </c>
      <c r="L10" s="2">
        <v>7.0799580000000004</v>
      </c>
      <c r="M10" s="2" t="s">
        <v>58</v>
      </c>
      <c r="N10" s="2" t="s">
        <v>58</v>
      </c>
      <c r="O10" s="2" t="s">
        <v>57</v>
      </c>
      <c r="P10" s="2" t="s">
        <v>57</v>
      </c>
      <c r="Q10" s="2" t="s">
        <v>57</v>
      </c>
      <c r="R10" s="2">
        <v>39.081141000000002</v>
      </c>
      <c r="S10" s="2" t="s">
        <v>57</v>
      </c>
      <c r="T10" s="2" t="s">
        <v>59</v>
      </c>
      <c r="U10" s="2" t="s">
        <v>57</v>
      </c>
      <c r="V10" s="2">
        <v>5.9273559999999996</v>
      </c>
      <c r="W10" s="2" t="s">
        <v>57</v>
      </c>
      <c r="X10" s="2" t="s">
        <v>57</v>
      </c>
      <c r="Y10" s="2" t="s">
        <v>57</v>
      </c>
      <c r="Z10" s="2" t="s">
        <v>57</v>
      </c>
      <c r="AA10" s="2" t="s">
        <v>57</v>
      </c>
      <c r="AB10" s="2" t="s">
        <v>57</v>
      </c>
      <c r="AC10" s="2" t="s">
        <v>57</v>
      </c>
      <c r="AD10" s="2" t="s">
        <v>57</v>
      </c>
      <c r="AE10" s="2" t="s">
        <v>57</v>
      </c>
      <c r="AF10" s="2" t="s">
        <v>57</v>
      </c>
      <c r="AG10" s="2" t="s">
        <v>57</v>
      </c>
      <c r="AH10" s="2" t="s">
        <v>57</v>
      </c>
      <c r="AI10" s="2" t="s">
        <v>57</v>
      </c>
      <c r="AJ10" s="2" t="s">
        <v>57</v>
      </c>
      <c r="AK10" s="2" t="s">
        <v>57</v>
      </c>
      <c r="AL10" s="2" t="s">
        <v>57</v>
      </c>
      <c r="AM10" s="2" t="s">
        <v>57</v>
      </c>
      <c r="AN10" s="2" t="s">
        <v>57</v>
      </c>
      <c r="AO10" s="2" t="s">
        <v>57</v>
      </c>
      <c r="AP10" s="2" t="s">
        <v>57</v>
      </c>
      <c r="AQ10" s="2" t="s">
        <v>57</v>
      </c>
      <c r="AR10" s="2" t="s">
        <v>57</v>
      </c>
      <c r="AS10" s="2" t="s">
        <v>57</v>
      </c>
      <c r="AT10" s="2" t="s">
        <v>57</v>
      </c>
      <c r="AU10" s="2" t="s">
        <v>57</v>
      </c>
      <c r="AV10" s="2" t="s">
        <v>57</v>
      </c>
      <c r="AW10" s="2" t="s">
        <v>60</v>
      </c>
      <c r="AX10" s="2">
        <v>8.6165629999999993</v>
      </c>
      <c r="AY10" s="2">
        <v>1</v>
      </c>
      <c r="AZ10" s="2" t="s">
        <v>61</v>
      </c>
      <c r="BA10" s="2">
        <v>-1</v>
      </c>
      <c r="BB10" s="2">
        <v>25900</v>
      </c>
      <c r="BC10" s="2">
        <v>8616562.5</v>
      </c>
    </row>
    <row r="11" spans="1:55" x14ac:dyDescent="0.6">
      <c r="A11" s="2">
        <v>77</v>
      </c>
      <c r="B11" s="2" t="s">
        <v>70</v>
      </c>
      <c r="C11" s="2" t="s">
        <v>55</v>
      </c>
      <c r="D11" s="2">
        <v>92</v>
      </c>
      <c r="E11" s="2">
        <v>10</v>
      </c>
      <c r="F11" s="2">
        <v>10</v>
      </c>
      <c r="G11" s="2">
        <v>2680</v>
      </c>
      <c r="H11" s="2">
        <v>2680</v>
      </c>
      <c r="I11" s="2" t="s">
        <v>57</v>
      </c>
      <c r="J11" s="2" t="s">
        <v>70</v>
      </c>
      <c r="K11" s="2" t="s">
        <v>57</v>
      </c>
      <c r="L11" s="2">
        <v>5.4957039999999999</v>
      </c>
      <c r="M11" s="2" t="s">
        <v>58</v>
      </c>
      <c r="N11" s="2" t="s">
        <v>58</v>
      </c>
      <c r="O11" s="2" t="s">
        <v>57</v>
      </c>
      <c r="P11" s="2" t="s">
        <v>57</v>
      </c>
      <c r="Q11" s="2" t="s">
        <v>57</v>
      </c>
      <c r="R11" s="2">
        <v>41.851002000000001</v>
      </c>
      <c r="S11" s="2" t="s">
        <v>57</v>
      </c>
      <c r="T11" s="2" t="s">
        <v>59</v>
      </c>
      <c r="U11" s="2" t="s">
        <v>57</v>
      </c>
      <c r="V11" s="2">
        <v>1.607607</v>
      </c>
      <c r="W11" s="2" t="s">
        <v>57</v>
      </c>
      <c r="X11" s="2" t="s">
        <v>57</v>
      </c>
      <c r="Y11" s="2" t="s">
        <v>57</v>
      </c>
      <c r="Z11" s="2" t="s">
        <v>57</v>
      </c>
      <c r="AA11" s="2" t="s">
        <v>57</v>
      </c>
      <c r="AB11" s="2" t="s">
        <v>57</v>
      </c>
      <c r="AC11" s="2" t="s">
        <v>57</v>
      </c>
      <c r="AD11" s="2" t="s">
        <v>57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57</v>
      </c>
      <c r="AK11" s="2" t="s">
        <v>57</v>
      </c>
      <c r="AL11" s="2" t="s">
        <v>57</v>
      </c>
      <c r="AM11" s="2" t="s">
        <v>57</v>
      </c>
      <c r="AN11" s="2" t="s">
        <v>57</v>
      </c>
      <c r="AO11" s="2" t="s">
        <v>57</v>
      </c>
      <c r="AP11" s="2" t="s">
        <v>57</v>
      </c>
      <c r="AQ11" s="2" t="s">
        <v>57</v>
      </c>
      <c r="AR11" s="2" t="s">
        <v>57</v>
      </c>
      <c r="AS11" s="2" t="s">
        <v>57</v>
      </c>
      <c r="AT11" s="2" t="s">
        <v>57</v>
      </c>
      <c r="AU11" s="2" t="s">
        <v>57</v>
      </c>
      <c r="AV11" s="2" t="s">
        <v>57</v>
      </c>
      <c r="AW11" s="2" t="s">
        <v>60</v>
      </c>
      <c r="AX11" s="2">
        <v>2.4754679999999998</v>
      </c>
      <c r="AY11" s="2">
        <v>1</v>
      </c>
      <c r="AZ11" s="2" t="s">
        <v>61</v>
      </c>
      <c r="BA11" s="2">
        <v>-1</v>
      </c>
      <c r="BB11" s="2">
        <v>10401.665632</v>
      </c>
      <c r="BC11" s="2">
        <v>2475468.4698819998</v>
      </c>
    </row>
    <row r="12" spans="1:55" x14ac:dyDescent="0.6">
      <c r="A12" s="2">
        <v>78</v>
      </c>
      <c r="B12" s="2" t="s">
        <v>71</v>
      </c>
      <c r="C12" s="2" t="s">
        <v>55</v>
      </c>
      <c r="D12" s="2">
        <v>93</v>
      </c>
      <c r="E12" s="2">
        <v>11</v>
      </c>
      <c r="F12" s="2">
        <v>11</v>
      </c>
      <c r="G12" s="2">
        <v>2681</v>
      </c>
      <c r="H12" s="2">
        <v>2681</v>
      </c>
      <c r="I12" s="2" t="s">
        <v>57</v>
      </c>
      <c r="J12" s="2" t="s">
        <v>71</v>
      </c>
      <c r="K12" s="2" t="s">
        <v>57</v>
      </c>
      <c r="L12" s="2">
        <v>10.214828000000001</v>
      </c>
      <c r="M12" s="2" t="s">
        <v>58</v>
      </c>
      <c r="N12" s="2" t="s">
        <v>58</v>
      </c>
      <c r="O12" s="2" t="s">
        <v>57</v>
      </c>
      <c r="P12" s="2" t="s">
        <v>57</v>
      </c>
      <c r="Q12" s="2" t="s">
        <v>57</v>
      </c>
      <c r="R12" s="2">
        <v>49.471257999999999</v>
      </c>
      <c r="S12" s="2" t="s">
        <v>57</v>
      </c>
      <c r="T12" s="2" t="s">
        <v>59</v>
      </c>
      <c r="U12" s="2" t="s">
        <v>57</v>
      </c>
      <c r="V12" s="2">
        <v>3.860598</v>
      </c>
      <c r="W12" s="2" t="s">
        <v>57</v>
      </c>
      <c r="X12" s="2" t="s">
        <v>57</v>
      </c>
      <c r="Y12" s="2" t="s">
        <v>57</v>
      </c>
      <c r="Z12" s="2" t="s">
        <v>57</v>
      </c>
      <c r="AA12" s="2" t="s">
        <v>57</v>
      </c>
      <c r="AB12" s="2" t="s">
        <v>57</v>
      </c>
      <c r="AC12" s="2" t="s">
        <v>57</v>
      </c>
      <c r="AD12" s="2" t="s">
        <v>57</v>
      </c>
      <c r="AE12" s="2" t="s">
        <v>57</v>
      </c>
      <c r="AF12" s="2" t="s">
        <v>57</v>
      </c>
      <c r="AG12" s="2" t="s">
        <v>57</v>
      </c>
      <c r="AH12" s="2" t="s">
        <v>57</v>
      </c>
      <c r="AI12" s="2" t="s">
        <v>57</v>
      </c>
      <c r="AJ12" s="2" t="s">
        <v>57</v>
      </c>
      <c r="AK12" s="2" t="s">
        <v>57</v>
      </c>
      <c r="AL12" s="2" t="s">
        <v>57</v>
      </c>
      <c r="AM12" s="2" t="s">
        <v>57</v>
      </c>
      <c r="AN12" s="2" t="s">
        <v>57</v>
      </c>
      <c r="AO12" s="2" t="s">
        <v>57</v>
      </c>
      <c r="AP12" s="2" t="s">
        <v>57</v>
      </c>
      <c r="AQ12" s="2" t="s">
        <v>57</v>
      </c>
      <c r="AR12" s="2" t="s">
        <v>57</v>
      </c>
      <c r="AS12" s="2" t="s">
        <v>57</v>
      </c>
      <c r="AT12" s="2" t="s">
        <v>57</v>
      </c>
      <c r="AU12" s="2" t="s">
        <v>57</v>
      </c>
      <c r="AV12" s="2" t="s">
        <v>57</v>
      </c>
      <c r="AW12" s="2" t="s">
        <v>60</v>
      </c>
      <c r="AX12" s="2">
        <v>9.9226559999999999</v>
      </c>
      <c r="AY12" s="2">
        <v>1</v>
      </c>
      <c r="AZ12" s="2" t="s">
        <v>61</v>
      </c>
      <c r="BA12" s="2">
        <v>-1</v>
      </c>
      <c r="BB12" s="2">
        <v>27575</v>
      </c>
      <c r="BC12" s="2">
        <v>9922656.25</v>
      </c>
    </row>
    <row r="13" spans="1:55" x14ac:dyDescent="0.6">
      <c r="A13" s="2">
        <v>79</v>
      </c>
      <c r="B13" s="2" t="s">
        <v>72</v>
      </c>
      <c r="C13" s="2" t="s">
        <v>55</v>
      </c>
      <c r="D13" s="2">
        <v>94</v>
      </c>
      <c r="E13" s="2">
        <v>12</v>
      </c>
      <c r="F13" s="2">
        <v>12</v>
      </c>
      <c r="G13" s="2">
        <v>2682</v>
      </c>
      <c r="H13" s="2">
        <v>2682</v>
      </c>
      <c r="I13" s="2" t="s">
        <v>57</v>
      </c>
      <c r="J13" s="2" t="s">
        <v>72</v>
      </c>
      <c r="K13" s="2" t="s">
        <v>57</v>
      </c>
      <c r="L13" s="2">
        <v>6.9818879999999996</v>
      </c>
      <c r="M13" s="2" t="s">
        <v>58</v>
      </c>
      <c r="N13" s="2" t="s">
        <v>58</v>
      </c>
      <c r="O13" s="2" t="s">
        <v>57</v>
      </c>
      <c r="P13" s="2" t="s">
        <v>57</v>
      </c>
      <c r="Q13" s="2" t="s">
        <v>57</v>
      </c>
      <c r="R13" s="2">
        <v>60.27693</v>
      </c>
      <c r="S13" s="2" t="s">
        <v>57</v>
      </c>
      <c r="T13" s="2" t="s">
        <v>59</v>
      </c>
      <c r="U13" s="2" t="s">
        <v>57</v>
      </c>
      <c r="V13" s="2">
        <v>3.8249420000000001</v>
      </c>
      <c r="W13" s="2" t="s">
        <v>57</v>
      </c>
      <c r="X13" s="2" t="s">
        <v>57</v>
      </c>
      <c r="Y13" s="2" t="s">
        <v>57</v>
      </c>
      <c r="Z13" s="2" t="s">
        <v>57</v>
      </c>
      <c r="AA13" s="2" t="s">
        <v>57</v>
      </c>
      <c r="AB13" s="2" t="s">
        <v>57</v>
      </c>
      <c r="AC13" s="2" t="s">
        <v>57</v>
      </c>
      <c r="AD13" s="2" t="s">
        <v>57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57</v>
      </c>
      <c r="AK13" s="2" t="s">
        <v>57</v>
      </c>
      <c r="AL13" s="2" t="s">
        <v>57</v>
      </c>
      <c r="AM13" s="2" t="s">
        <v>57</v>
      </c>
      <c r="AN13" s="2" t="s">
        <v>57</v>
      </c>
      <c r="AO13" s="2" t="s">
        <v>57</v>
      </c>
      <c r="AP13" s="2" t="s">
        <v>57</v>
      </c>
      <c r="AQ13" s="2" t="s">
        <v>57</v>
      </c>
      <c r="AR13" s="2" t="s">
        <v>57</v>
      </c>
      <c r="AS13" s="2" t="s">
        <v>57</v>
      </c>
      <c r="AT13" s="2" t="s">
        <v>57</v>
      </c>
      <c r="AU13" s="2" t="s">
        <v>57</v>
      </c>
      <c r="AV13" s="2" t="s">
        <v>57</v>
      </c>
      <c r="AW13" s="2" t="s">
        <v>60</v>
      </c>
      <c r="AX13" s="2">
        <v>7.5464060000000002</v>
      </c>
      <c r="AY13" s="2">
        <v>1</v>
      </c>
      <c r="AZ13" s="2" t="s">
        <v>61</v>
      </c>
      <c r="BA13" s="2">
        <v>-1</v>
      </c>
      <c r="BB13" s="2">
        <v>27450</v>
      </c>
      <c r="BC13" s="2">
        <v>7546406.25</v>
      </c>
    </row>
    <row r="14" spans="1:55" x14ac:dyDescent="0.6">
      <c r="A14" s="2">
        <v>81</v>
      </c>
      <c r="B14" s="2" t="s">
        <v>73</v>
      </c>
      <c r="C14" s="2" t="s">
        <v>55</v>
      </c>
      <c r="D14" s="2">
        <v>96</v>
      </c>
      <c r="E14" s="2">
        <v>14</v>
      </c>
      <c r="F14" s="2">
        <v>14</v>
      </c>
      <c r="G14" s="2">
        <v>2684</v>
      </c>
      <c r="H14" s="2">
        <v>2684</v>
      </c>
      <c r="I14" s="2" t="s">
        <v>57</v>
      </c>
      <c r="J14" s="2" t="s">
        <v>73</v>
      </c>
      <c r="K14" s="2" t="s">
        <v>57</v>
      </c>
      <c r="L14" s="2">
        <v>7.1284280000000004</v>
      </c>
      <c r="M14" s="2" t="s">
        <v>58</v>
      </c>
      <c r="N14" s="2" t="s">
        <v>58</v>
      </c>
      <c r="O14" s="2" t="s">
        <v>57</v>
      </c>
      <c r="P14" s="2" t="s">
        <v>57</v>
      </c>
      <c r="Q14" s="2" t="s">
        <v>57</v>
      </c>
      <c r="R14" s="2">
        <v>50.018188000000002</v>
      </c>
      <c r="S14" s="2" t="s">
        <v>57</v>
      </c>
      <c r="T14" s="2" t="s">
        <v>59</v>
      </c>
      <c r="U14" s="2" t="s">
        <v>57</v>
      </c>
      <c r="V14" s="2">
        <v>2.749288</v>
      </c>
      <c r="W14" s="2" t="s">
        <v>57</v>
      </c>
      <c r="X14" s="2" t="s">
        <v>57</v>
      </c>
      <c r="Y14" s="2" t="s">
        <v>57</v>
      </c>
      <c r="Z14" s="2" t="s">
        <v>57</v>
      </c>
      <c r="AA14" s="2" t="s">
        <v>57</v>
      </c>
      <c r="AB14" s="2" t="s">
        <v>57</v>
      </c>
      <c r="AC14" s="2" t="s">
        <v>57</v>
      </c>
      <c r="AD14" s="2" t="s">
        <v>57</v>
      </c>
      <c r="AE14" s="2" t="s">
        <v>57</v>
      </c>
      <c r="AF14" s="2" t="s">
        <v>57</v>
      </c>
      <c r="AG14" s="2" t="s">
        <v>57</v>
      </c>
      <c r="AH14" s="2" t="s">
        <v>57</v>
      </c>
      <c r="AI14" s="2" t="s">
        <v>57</v>
      </c>
      <c r="AJ14" s="2" t="s">
        <v>57</v>
      </c>
      <c r="AK14" s="2" t="s">
        <v>57</v>
      </c>
      <c r="AL14" s="2" t="s">
        <v>57</v>
      </c>
      <c r="AM14" s="2" t="s">
        <v>57</v>
      </c>
      <c r="AN14" s="2" t="s">
        <v>57</v>
      </c>
      <c r="AO14" s="2" t="s">
        <v>57</v>
      </c>
      <c r="AP14" s="2" t="s">
        <v>57</v>
      </c>
      <c r="AQ14" s="2" t="s">
        <v>57</v>
      </c>
      <c r="AR14" s="2" t="s">
        <v>57</v>
      </c>
      <c r="AS14" s="2" t="s">
        <v>57</v>
      </c>
      <c r="AT14" s="2" t="s">
        <v>57</v>
      </c>
      <c r="AU14" s="2" t="s">
        <v>57</v>
      </c>
      <c r="AV14" s="2" t="s">
        <v>57</v>
      </c>
      <c r="AW14" s="2" t="s">
        <v>60</v>
      </c>
      <c r="AX14" s="2">
        <v>6.1945309999999996</v>
      </c>
      <c r="AY14" s="2">
        <v>1</v>
      </c>
      <c r="AZ14" s="2" t="s">
        <v>61</v>
      </c>
      <c r="BA14" s="2">
        <v>-1</v>
      </c>
      <c r="BB14" s="2">
        <v>21275</v>
      </c>
      <c r="BC14" s="2">
        <v>6194531.25</v>
      </c>
    </row>
    <row r="15" spans="1:55" x14ac:dyDescent="0.6">
      <c r="A15" s="2">
        <v>82</v>
      </c>
      <c r="B15" s="2" t="s">
        <v>74</v>
      </c>
      <c r="C15" s="2" t="s">
        <v>55</v>
      </c>
      <c r="D15" s="2">
        <v>97</v>
      </c>
      <c r="E15" s="2">
        <v>15</v>
      </c>
      <c r="F15" s="2">
        <v>15</v>
      </c>
      <c r="G15" s="2">
        <v>2685</v>
      </c>
      <c r="H15" s="2">
        <v>2685</v>
      </c>
      <c r="I15" s="2" t="s">
        <v>57</v>
      </c>
      <c r="J15" s="2" t="s">
        <v>74</v>
      </c>
      <c r="K15" s="2" t="s">
        <v>57</v>
      </c>
      <c r="L15" s="2">
        <v>6.6544299999999996</v>
      </c>
      <c r="M15" s="2" t="s">
        <v>58</v>
      </c>
      <c r="N15" s="2" t="s">
        <v>58</v>
      </c>
      <c r="O15" s="2" t="s">
        <v>57</v>
      </c>
      <c r="P15" s="2" t="s">
        <v>57</v>
      </c>
      <c r="Q15" s="2" t="s">
        <v>57</v>
      </c>
      <c r="R15" s="2">
        <v>75.818399999999997</v>
      </c>
      <c r="S15" s="2" t="s">
        <v>57</v>
      </c>
      <c r="T15" s="2" t="s">
        <v>59</v>
      </c>
      <c r="U15" s="2" t="s">
        <v>57</v>
      </c>
      <c r="V15" s="2">
        <v>0.98103799999999997</v>
      </c>
      <c r="W15" s="2" t="s">
        <v>57</v>
      </c>
      <c r="X15" s="2" t="s">
        <v>57</v>
      </c>
      <c r="Y15" s="2" t="s">
        <v>57</v>
      </c>
      <c r="Z15" s="2" t="s">
        <v>57</v>
      </c>
      <c r="AA15" s="2" t="s">
        <v>57</v>
      </c>
      <c r="AB15" s="2" t="s">
        <v>57</v>
      </c>
      <c r="AC15" s="2" t="s">
        <v>57</v>
      </c>
      <c r="AD15" s="2" t="s">
        <v>57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57</v>
      </c>
      <c r="AK15" s="2" t="s">
        <v>57</v>
      </c>
      <c r="AL15" s="2" t="s">
        <v>57</v>
      </c>
      <c r="AM15" s="2" t="s">
        <v>57</v>
      </c>
      <c r="AN15" s="2" t="s">
        <v>57</v>
      </c>
      <c r="AO15" s="2" t="s">
        <v>57</v>
      </c>
      <c r="AP15" s="2" t="s">
        <v>57</v>
      </c>
      <c r="AQ15" s="2" t="s">
        <v>57</v>
      </c>
      <c r="AR15" s="2" t="s">
        <v>57</v>
      </c>
      <c r="AS15" s="2" t="s">
        <v>57</v>
      </c>
      <c r="AT15" s="2" t="s">
        <v>57</v>
      </c>
      <c r="AU15" s="2" t="s">
        <v>57</v>
      </c>
      <c r="AV15" s="2" t="s">
        <v>57</v>
      </c>
      <c r="AW15" s="2" t="s">
        <v>60</v>
      </c>
      <c r="AX15" s="2">
        <v>2.9168750000000001</v>
      </c>
      <c r="AY15" s="2">
        <v>1</v>
      </c>
      <c r="AZ15" s="2" t="s">
        <v>61</v>
      </c>
      <c r="BA15" s="2">
        <v>-1</v>
      </c>
      <c r="BB15" s="2">
        <v>13975</v>
      </c>
      <c r="BC15" s="2">
        <v>2916875</v>
      </c>
    </row>
    <row r="16" spans="1:55" x14ac:dyDescent="0.6">
      <c r="A16" s="2">
        <v>83</v>
      </c>
      <c r="B16" s="2" t="s">
        <v>75</v>
      </c>
      <c r="C16" s="2" t="s">
        <v>55</v>
      </c>
      <c r="D16" s="2">
        <v>98</v>
      </c>
      <c r="E16" s="2">
        <v>16</v>
      </c>
      <c r="F16" s="2">
        <v>16</v>
      </c>
      <c r="G16" s="2">
        <v>2686</v>
      </c>
      <c r="H16" s="2">
        <v>2686</v>
      </c>
      <c r="I16" s="2" t="s">
        <v>57</v>
      </c>
      <c r="J16" s="2" t="s">
        <v>75</v>
      </c>
      <c r="K16" s="2" t="s">
        <v>57</v>
      </c>
      <c r="L16" s="2">
        <v>8.0698570000000007</v>
      </c>
      <c r="M16" s="2" t="s">
        <v>58</v>
      </c>
      <c r="N16" s="2" t="s">
        <v>58</v>
      </c>
      <c r="O16" s="2" t="s">
        <v>57</v>
      </c>
      <c r="P16" s="2" t="s">
        <v>57</v>
      </c>
      <c r="Q16" s="2" t="s">
        <v>57</v>
      </c>
      <c r="R16" s="2">
        <v>64.621261000000004</v>
      </c>
      <c r="S16" s="2" t="s">
        <v>57</v>
      </c>
      <c r="T16" s="2" t="s">
        <v>59</v>
      </c>
      <c r="U16" s="2" t="s">
        <v>57</v>
      </c>
      <c r="V16" s="2">
        <v>1.941667</v>
      </c>
      <c r="W16" s="2" t="s">
        <v>57</v>
      </c>
      <c r="X16" s="2" t="s">
        <v>57</v>
      </c>
      <c r="Y16" s="2" t="s">
        <v>57</v>
      </c>
      <c r="Z16" s="2" t="s">
        <v>57</v>
      </c>
      <c r="AA16" s="2" t="s">
        <v>57</v>
      </c>
      <c r="AB16" s="2" t="s">
        <v>57</v>
      </c>
      <c r="AC16" s="2" t="s">
        <v>57</v>
      </c>
      <c r="AD16" s="2" t="s">
        <v>57</v>
      </c>
      <c r="AE16" s="2" t="s">
        <v>57</v>
      </c>
      <c r="AF16" s="2" t="s">
        <v>57</v>
      </c>
      <c r="AG16" s="2" t="s">
        <v>57</v>
      </c>
      <c r="AH16" s="2" t="s">
        <v>57</v>
      </c>
      <c r="AI16" s="2" t="s">
        <v>57</v>
      </c>
      <c r="AJ16" s="2" t="s">
        <v>57</v>
      </c>
      <c r="AK16" s="2" t="s">
        <v>57</v>
      </c>
      <c r="AL16" s="2" t="s">
        <v>57</v>
      </c>
      <c r="AM16" s="2" t="s">
        <v>57</v>
      </c>
      <c r="AN16" s="2" t="s">
        <v>57</v>
      </c>
      <c r="AO16" s="2" t="s">
        <v>57</v>
      </c>
      <c r="AP16" s="2" t="s">
        <v>57</v>
      </c>
      <c r="AQ16" s="2" t="s">
        <v>57</v>
      </c>
      <c r="AR16" s="2" t="s">
        <v>57</v>
      </c>
      <c r="AS16" s="2" t="s">
        <v>57</v>
      </c>
      <c r="AT16" s="2" t="s">
        <v>57</v>
      </c>
      <c r="AU16" s="2" t="s">
        <v>57</v>
      </c>
      <c r="AV16" s="2" t="s">
        <v>57</v>
      </c>
      <c r="AW16" s="2" t="s">
        <v>60</v>
      </c>
      <c r="AX16" s="2">
        <v>7.0540620000000001</v>
      </c>
      <c r="AY16" s="2">
        <v>1</v>
      </c>
      <c r="AZ16" s="2" t="s">
        <v>61</v>
      </c>
      <c r="BA16" s="2">
        <v>-1</v>
      </c>
      <c r="BB16" s="2">
        <v>19200</v>
      </c>
      <c r="BC16" s="2">
        <v>7054062.5</v>
      </c>
    </row>
    <row r="17" spans="1:55" x14ac:dyDescent="0.6">
      <c r="A17" s="2">
        <v>84</v>
      </c>
      <c r="B17" s="2" t="s">
        <v>76</v>
      </c>
      <c r="C17" s="2" t="s">
        <v>55</v>
      </c>
      <c r="D17" s="2">
        <v>100</v>
      </c>
      <c r="E17" s="2">
        <v>18</v>
      </c>
      <c r="F17" s="2">
        <v>18</v>
      </c>
      <c r="G17" s="2">
        <v>2688</v>
      </c>
      <c r="H17" s="2">
        <v>2688</v>
      </c>
      <c r="I17" s="2" t="s">
        <v>57</v>
      </c>
      <c r="J17" s="2" t="s">
        <v>76</v>
      </c>
      <c r="K17" s="2" t="s">
        <v>57</v>
      </c>
      <c r="L17" s="2">
        <v>7.5503309999999999</v>
      </c>
      <c r="M17" s="2" t="s">
        <v>58</v>
      </c>
      <c r="N17" s="2" t="s">
        <v>58</v>
      </c>
      <c r="O17" s="2" t="s">
        <v>57</v>
      </c>
      <c r="P17" s="2" t="s">
        <v>57</v>
      </c>
      <c r="Q17" s="2" t="s">
        <v>57</v>
      </c>
      <c r="R17" s="2">
        <v>65.474864999999994</v>
      </c>
      <c r="S17" s="2" t="s">
        <v>57</v>
      </c>
      <c r="T17" s="2" t="s">
        <v>59</v>
      </c>
      <c r="U17" s="2" t="s">
        <v>57</v>
      </c>
      <c r="V17" s="2">
        <v>4.9419269999999997</v>
      </c>
      <c r="W17" s="2" t="s">
        <v>57</v>
      </c>
      <c r="X17" s="2" t="s">
        <v>57</v>
      </c>
      <c r="Y17" s="2" t="s">
        <v>57</v>
      </c>
      <c r="Z17" s="2" t="s">
        <v>57</v>
      </c>
      <c r="AA17" s="2" t="s">
        <v>57</v>
      </c>
      <c r="AB17" s="2" t="s">
        <v>57</v>
      </c>
      <c r="AC17" s="2" t="s">
        <v>57</v>
      </c>
      <c r="AD17" s="2" t="s">
        <v>57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57</v>
      </c>
      <c r="AK17" s="2" t="s">
        <v>57</v>
      </c>
      <c r="AL17" s="2" t="s">
        <v>57</v>
      </c>
      <c r="AM17" s="2" t="s">
        <v>57</v>
      </c>
      <c r="AN17" s="2" t="s">
        <v>57</v>
      </c>
      <c r="AO17" s="2" t="s">
        <v>57</v>
      </c>
      <c r="AP17" s="2" t="s">
        <v>57</v>
      </c>
      <c r="AQ17" s="2" t="s">
        <v>57</v>
      </c>
      <c r="AR17" s="2" t="s">
        <v>57</v>
      </c>
      <c r="AS17" s="2" t="s">
        <v>57</v>
      </c>
      <c r="AT17" s="2" t="s">
        <v>57</v>
      </c>
      <c r="AU17" s="2" t="s">
        <v>57</v>
      </c>
      <c r="AV17" s="2" t="s">
        <v>57</v>
      </c>
      <c r="AW17" s="2" t="s">
        <v>60</v>
      </c>
      <c r="AX17" s="2">
        <v>24.316562999999999</v>
      </c>
      <c r="AY17" s="2">
        <v>1</v>
      </c>
      <c r="AZ17" s="2" t="s">
        <v>61</v>
      </c>
      <c r="BA17" s="2">
        <v>-1</v>
      </c>
      <c r="BB17" s="2">
        <v>56825</v>
      </c>
      <c r="BC17" s="2">
        <v>24316562.5</v>
      </c>
    </row>
    <row r="18" spans="1:55" x14ac:dyDescent="0.6">
      <c r="A18" s="2">
        <v>85</v>
      </c>
      <c r="B18" s="2" t="s">
        <v>77</v>
      </c>
      <c r="C18" s="2" t="s">
        <v>55</v>
      </c>
      <c r="D18" s="2">
        <v>101</v>
      </c>
      <c r="E18" s="2">
        <v>20</v>
      </c>
      <c r="F18" s="2">
        <v>20</v>
      </c>
      <c r="G18" s="2">
        <v>2690</v>
      </c>
      <c r="H18" s="2">
        <v>2690</v>
      </c>
      <c r="I18" s="2" t="s">
        <v>57</v>
      </c>
      <c r="J18" s="2" t="s">
        <v>77</v>
      </c>
      <c r="K18" s="2" t="s">
        <v>57</v>
      </c>
      <c r="L18" s="2">
        <v>4.5718860000000001</v>
      </c>
      <c r="M18" s="2" t="s">
        <v>58</v>
      </c>
      <c r="N18" s="2" t="s">
        <v>58</v>
      </c>
      <c r="O18" s="2" t="s">
        <v>57</v>
      </c>
      <c r="P18" s="2" t="s">
        <v>57</v>
      </c>
      <c r="Q18" s="2" t="s">
        <v>57</v>
      </c>
      <c r="R18" s="2">
        <v>72.699996999999996</v>
      </c>
      <c r="S18" s="2" t="s">
        <v>57</v>
      </c>
      <c r="T18" s="2" t="s">
        <v>59</v>
      </c>
      <c r="U18" s="2" t="s">
        <v>57</v>
      </c>
      <c r="V18" s="2">
        <v>0.38136599999999998</v>
      </c>
      <c r="W18" s="2" t="s">
        <v>57</v>
      </c>
      <c r="X18" s="2" t="s">
        <v>57</v>
      </c>
      <c r="Y18" s="2" t="s">
        <v>57</v>
      </c>
      <c r="Z18" s="2" t="s">
        <v>57</v>
      </c>
      <c r="AA18" s="2" t="s">
        <v>57</v>
      </c>
      <c r="AB18" s="2" t="s">
        <v>57</v>
      </c>
      <c r="AC18" s="2" t="s">
        <v>57</v>
      </c>
      <c r="AD18" s="2" t="s">
        <v>57</v>
      </c>
      <c r="AE18" s="2" t="s">
        <v>57</v>
      </c>
      <c r="AF18" s="2" t="s">
        <v>57</v>
      </c>
      <c r="AG18" s="2" t="s">
        <v>57</v>
      </c>
      <c r="AH18" s="2" t="s">
        <v>57</v>
      </c>
      <c r="AI18" s="2" t="s">
        <v>57</v>
      </c>
      <c r="AJ18" s="2" t="s">
        <v>57</v>
      </c>
      <c r="AK18" s="2" t="s">
        <v>57</v>
      </c>
      <c r="AL18" s="2" t="s">
        <v>57</v>
      </c>
      <c r="AM18" s="2" t="s">
        <v>57</v>
      </c>
      <c r="AN18" s="2" t="s">
        <v>57</v>
      </c>
      <c r="AO18" s="2" t="s">
        <v>57</v>
      </c>
      <c r="AP18" s="2" t="s">
        <v>57</v>
      </c>
      <c r="AQ18" s="2" t="s">
        <v>57</v>
      </c>
      <c r="AR18" s="2" t="s">
        <v>57</v>
      </c>
      <c r="AS18" s="2" t="s">
        <v>57</v>
      </c>
      <c r="AT18" s="2" t="s">
        <v>57</v>
      </c>
      <c r="AU18" s="2" t="s">
        <v>57</v>
      </c>
      <c r="AV18" s="2" t="s">
        <v>57</v>
      </c>
      <c r="AW18" s="2" t="s">
        <v>60</v>
      </c>
      <c r="AX18" s="2">
        <v>7.9071000000000002E-2</v>
      </c>
      <c r="AY18" s="2">
        <v>1</v>
      </c>
      <c r="AZ18" s="2" t="s">
        <v>61</v>
      </c>
      <c r="BA18" s="2">
        <v>-1</v>
      </c>
      <c r="BB18" s="2">
        <v>1677.991849</v>
      </c>
      <c r="BC18" s="2">
        <v>79071.035585999998</v>
      </c>
    </row>
    <row r="19" spans="1:55" x14ac:dyDescent="0.6">
      <c r="A19" s="2">
        <v>86</v>
      </c>
      <c r="B19" s="2" t="s">
        <v>78</v>
      </c>
      <c r="C19" s="2" t="s">
        <v>55</v>
      </c>
      <c r="D19" s="2">
        <v>102</v>
      </c>
      <c r="E19" s="2">
        <v>21</v>
      </c>
      <c r="F19" s="2">
        <v>21</v>
      </c>
      <c r="G19" s="2">
        <v>2691</v>
      </c>
      <c r="H19" s="2">
        <v>2691</v>
      </c>
      <c r="I19" s="2" t="s">
        <v>57</v>
      </c>
      <c r="J19" s="2" t="s">
        <v>78</v>
      </c>
      <c r="K19" s="2" t="s">
        <v>57</v>
      </c>
      <c r="L19" s="2">
        <v>6.7504479999999996</v>
      </c>
      <c r="M19" s="2" t="s">
        <v>58</v>
      </c>
      <c r="N19" s="2" t="s">
        <v>58</v>
      </c>
      <c r="O19" s="2" t="s">
        <v>57</v>
      </c>
      <c r="P19" s="2" t="s">
        <v>57</v>
      </c>
      <c r="Q19" s="2" t="s">
        <v>57</v>
      </c>
      <c r="R19" s="2">
        <v>79.563889000000003</v>
      </c>
      <c r="S19" s="2" t="s">
        <v>57</v>
      </c>
      <c r="T19" s="2" t="s">
        <v>59</v>
      </c>
      <c r="U19" s="2" t="s">
        <v>57</v>
      </c>
      <c r="V19" s="2">
        <v>0.50260099999999996</v>
      </c>
      <c r="W19" s="2" t="s">
        <v>57</v>
      </c>
      <c r="X19" s="2" t="s">
        <v>57</v>
      </c>
      <c r="Y19" s="2" t="s">
        <v>57</v>
      </c>
      <c r="Z19" s="2" t="s">
        <v>57</v>
      </c>
      <c r="AA19" s="2" t="s">
        <v>57</v>
      </c>
      <c r="AB19" s="2" t="s">
        <v>57</v>
      </c>
      <c r="AC19" s="2" t="s">
        <v>57</v>
      </c>
      <c r="AD19" s="2" t="s">
        <v>57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57</v>
      </c>
      <c r="AK19" s="2" t="s">
        <v>57</v>
      </c>
      <c r="AL19" s="2" t="s">
        <v>57</v>
      </c>
      <c r="AM19" s="2" t="s">
        <v>57</v>
      </c>
      <c r="AN19" s="2" t="s">
        <v>57</v>
      </c>
      <c r="AO19" s="2" t="s">
        <v>57</v>
      </c>
      <c r="AP19" s="2" t="s">
        <v>57</v>
      </c>
      <c r="AQ19" s="2" t="s">
        <v>57</v>
      </c>
      <c r="AR19" s="2" t="s">
        <v>57</v>
      </c>
      <c r="AS19" s="2" t="s">
        <v>57</v>
      </c>
      <c r="AT19" s="2" t="s">
        <v>57</v>
      </c>
      <c r="AU19" s="2" t="s">
        <v>57</v>
      </c>
      <c r="AV19" s="2" t="s">
        <v>57</v>
      </c>
      <c r="AW19" s="2" t="s">
        <v>60</v>
      </c>
      <c r="AX19" s="2">
        <v>0.33287699999999998</v>
      </c>
      <c r="AY19" s="2">
        <v>1</v>
      </c>
      <c r="AZ19" s="2" t="s">
        <v>61</v>
      </c>
      <c r="BA19" s="2">
        <v>-1</v>
      </c>
      <c r="BB19" s="2">
        <v>4416.8916310000004</v>
      </c>
      <c r="BC19" s="2">
        <v>332876.79180200002</v>
      </c>
    </row>
    <row r="20" spans="1:55" x14ac:dyDescent="0.6">
      <c r="A20" s="2">
        <v>2</v>
      </c>
      <c r="B20" s="2" t="s">
        <v>79</v>
      </c>
      <c r="C20" s="2" t="s">
        <v>55</v>
      </c>
      <c r="D20" s="2">
        <v>8</v>
      </c>
      <c r="E20" s="2">
        <v>22</v>
      </c>
      <c r="F20" s="2">
        <v>22</v>
      </c>
      <c r="G20" s="2">
        <v>2692</v>
      </c>
      <c r="H20" s="2">
        <v>2692</v>
      </c>
      <c r="I20" s="2" t="s">
        <v>57</v>
      </c>
      <c r="J20" s="2" t="s">
        <v>79</v>
      </c>
      <c r="K20" s="2" t="s">
        <v>57</v>
      </c>
      <c r="L20" s="2">
        <v>5.686795</v>
      </c>
      <c r="M20" s="2" t="s">
        <v>58</v>
      </c>
      <c r="N20" s="2" t="s">
        <v>58</v>
      </c>
      <c r="O20" s="2" t="s">
        <v>57</v>
      </c>
      <c r="P20" s="2" t="s">
        <v>57</v>
      </c>
      <c r="Q20" s="2" t="s">
        <v>57</v>
      </c>
      <c r="R20" s="2">
        <v>70.131901999999997</v>
      </c>
      <c r="S20" s="2" t="s">
        <v>57</v>
      </c>
      <c r="T20" s="2" t="s">
        <v>59</v>
      </c>
      <c r="U20" s="2" t="s">
        <v>57</v>
      </c>
      <c r="V20" s="2">
        <v>3.263023</v>
      </c>
      <c r="W20" s="2" t="s">
        <v>57</v>
      </c>
      <c r="X20" s="2" t="s">
        <v>57</v>
      </c>
      <c r="Y20" s="2" t="s">
        <v>57</v>
      </c>
      <c r="Z20" s="2" t="s">
        <v>57</v>
      </c>
      <c r="AA20" s="2" t="s">
        <v>57</v>
      </c>
      <c r="AB20" s="2" t="s">
        <v>57</v>
      </c>
      <c r="AC20" s="2" t="s">
        <v>57</v>
      </c>
      <c r="AD20" s="2" t="s">
        <v>57</v>
      </c>
      <c r="AE20" s="2" t="s">
        <v>57</v>
      </c>
      <c r="AF20" s="2" t="s">
        <v>57</v>
      </c>
      <c r="AG20" s="2" t="s">
        <v>57</v>
      </c>
      <c r="AH20" s="2" t="s">
        <v>57</v>
      </c>
      <c r="AI20" s="2" t="s">
        <v>57</v>
      </c>
      <c r="AJ20" s="2" t="s">
        <v>57</v>
      </c>
      <c r="AK20" s="2" t="s">
        <v>57</v>
      </c>
      <c r="AL20" s="2" t="s">
        <v>57</v>
      </c>
      <c r="AM20" s="2" t="s">
        <v>57</v>
      </c>
      <c r="AN20" s="2" t="s">
        <v>57</v>
      </c>
      <c r="AO20" s="2" t="s">
        <v>57</v>
      </c>
      <c r="AP20" s="2" t="s">
        <v>57</v>
      </c>
      <c r="AQ20" s="2" t="s">
        <v>57</v>
      </c>
      <c r="AR20" s="2" t="s">
        <v>57</v>
      </c>
      <c r="AS20" s="2" t="s">
        <v>57</v>
      </c>
      <c r="AT20" s="2" t="s">
        <v>57</v>
      </c>
      <c r="AU20" s="2" t="s">
        <v>57</v>
      </c>
      <c r="AV20" s="2" t="s">
        <v>57</v>
      </c>
      <c r="AW20" s="2" t="s">
        <v>57</v>
      </c>
      <c r="AX20" s="2">
        <v>13.817969</v>
      </c>
      <c r="AY20" s="2">
        <v>-1</v>
      </c>
      <c r="BA20" s="2">
        <v>-1</v>
      </c>
      <c r="BB20" s="2">
        <v>34850</v>
      </c>
      <c r="BC20" s="2">
        <v>13817968.75</v>
      </c>
    </row>
    <row r="21" spans="1:55" x14ac:dyDescent="0.6">
      <c r="A21" s="2">
        <v>87</v>
      </c>
      <c r="B21" s="2" t="s">
        <v>80</v>
      </c>
      <c r="C21" s="2" t="s">
        <v>55</v>
      </c>
      <c r="D21" s="2">
        <v>103</v>
      </c>
      <c r="E21" s="2">
        <v>23</v>
      </c>
      <c r="F21" s="2">
        <v>23</v>
      </c>
      <c r="G21" s="2">
        <v>2693</v>
      </c>
      <c r="H21" s="2">
        <v>2693</v>
      </c>
      <c r="I21" s="2" t="s">
        <v>57</v>
      </c>
      <c r="J21" s="2" t="s">
        <v>80</v>
      </c>
      <c r="K21" s="2" t="s">
        <v>57</v>
      </c>
      <c r="L21" s="2">
        <v>6.5256309999999997</v>
      </c>
      <c r="M21" s="2" t="s">
        <v>58</v>
      </c>
      <c r="N21" s="2" t="s">
        <v>58</v>
      </c>
      <c r="O21" s="2" t="s">
        <v>57</v>
      </c>
      <c r="P21" s="2" t="s">
        <v>57</v>
      </c>
      <c r="Q21" s="2" t="s">
        <v>57</v>
      </c>
      <c r="R21" s="2">
        <v>72.417297000000005</v>
      </c>
      <c r="S21" s="2" t="s">
        <v>57</v>
      </c>
      <c r="T21" s="2" t="s">
        <v>59</v>
      </c>
      <c r="U21" s="2" t="s">
        <v>57</v>
      </c>
      <c r="V21" s="2">
        <v>2.026618</v>
      </c>
      <c r="W21" s="2" t="s">
        <v>57</v>
      </c>
      <c r="X21" s="2" t="s">
        <v>57</v>
      </c>
      <c r="Y21" s="2" t="s">
        <v>57</v>
      </c>
      <c r="Z21" s="2" t="s">
        <v>57</v>
      </c>
      <c r="AA21" s="2" t="s">
        <v>57</v>
      </c>
      <c r="AB21" s="2" t="s">
        <v>57</v>
      </c>
      <c r="AC21" s="2" t="s">
        <v>57</v>
      </c>
      <c r="AD21" s="2" t="s">
        <v>57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57</v>
      </c>
      <c r="AK21" s="2" t="s">
        <v>57</v>
      </c>
      <c r="AL21" s="2" t="s">
        <v>57</v>
      </c>
      <c r="AM21" s="2" t="s">
        <v>57</v>
      </c>
      <c r="AN21" s="2" t="s">
        <v>57</v>
      </c>
      <c r="AO21" s="2" t="s">
        <v>57</v>
      </c>
      <c r="AP21" s="2" t="s">
        <v>57</v>
      </c>
      <c r="AQ21" s="2" t="s">
        <v>57</v>
      </c>
      <c r="AR21" s="2" t="s">
        <v>57</v>
      </c>
      <c r="AS21" s="2" t="s">
        <v>57</v>
      </c>
      <c r="AT21" s="2" t="s">
        <v>57</v>
      </c>
      <c r="AU21" s="2" t="s">
        <v>57</v>
      </c>
      <c r="AV21" s="2" t="s">
        <v>57</v>
      </c>
      <c r="AW21" s="2" t="s">
        <v>60</v>
      </c>
      <c r="AX21" s="2">
        <v>6.5646870000000002</v>
      </c>
      <c r="AY21" s="2">
        <v>1</v>
      </c>
      <c r="AZ21" s="2" t="s">
        <v>61</v>
      </c>
      <c r="BA21" s="2">
        <v>-1</v>
      </c>
      <c r="BB21" s="2">
        <v>22600</v>
      </c>
      <c r="BC21" s="2">
        <v>6564687.5</v>
      </c>
    </row>
    <row r="22" spans="1:55" x14ac:dyDescent="0.6">
      <c r="A22" s="2">
        <v>3</v>
      </c>
      <c r="B22" s="2" t="s">
        <v>81</v>
      </c>
      <c r="C22" s="2" t="s">
        <v>55</v>
      </c>
      <c r="D22" s="2">
        <v>9</v>
      </c>
      <c r="E22" s="2">
        <v>24</v>
      </c>
      <c r="F22" s="2">
        <v>24</v>
      </c>
      <c r="G22" s="2">
        <v>2694</v>
      </c>
      <c r="H22" s="2">
        <v>2694</v>
      </c>
      <c r="I22" s="2" t="s">
        <v>57</v>
      </c>
      <c r="J22" s="2" t="s">
        <v>81</v>
      </c>
      <c r="K22" s="2" t="s">
        <v>57</v>
      </c>
      <c r="L22" s="2">
        <v>5.3707039999999999</v>
      </c>
      <c r="M22" s="2" t="s">
        <v>58</v>
      </c>
      <c r="N22" s="2" t="s">
        <v>58</v>
      </c>
      <c r="O22" s="2" t="s">
        <v>57</v>
      </c>
      <c r="P22" s="2" t="s">
        <v>57</v>
      </c>
      <c r="Q22" s="2" t="s">
        <v>57</v>
      </c>
      <c r="R22" s="2">
        <v>71.069999999999993</v>
      </c>
      <c r="S22" s="2" t="s">
        <v>57</v>
      </c>
      <c r="T22" s="2" t="s">
        <v>59</v>
      </c>
      <c r="U22" s="2" t="s">
        <v>57</v>
      </c>
      <c r="V22" s="2">
        <v>1.2488570000000001</v>
      </c>
      <c r="W22" s="2" t="s">
        <v>57</v>
      </c>
      <c r="X22" s="2" t="s">
        <v>57</v>
      </c>
      <c r="Y22" s="2" t="s">
        <v>57</v>
      </c>
      <c r="Z22" s="2" t="s">
        <v>57</v>
      </c>
      <c r="AA22" s="2" t="s">
        <v>57</v>
      </c>
      <c r="AB22" s="2" t="s">
        <v>57</v>
      </c>
      <c r="AC22" s="2" t="s">
        <v>57</v>
      </c>
      <c r="AD22" s="2" t="s">
        <v>57</v>
      </c>
      <c r="AE22" s="2" t="s">
        <v>57</v>
      </c>
      <c r="AF22" s="2" t="s">
        <v>57</v>
      </c>
      <c r="AG22" s="2" t="s">
        <v>57</v>
      </c>
      <c r="AH22" s="2" t="s">
        <v>57</v>
      </c>
      <c r="AI22" s="2" t="s">
        <v>57</v>
      </c>
      <c r="AJ22" s="2" t="s">
        <v>57</v>
      </c>
      <c r="AK22" s="2" t="s">
        <v>57</v>
      </c>
      <c r="AL22" s="2" t="s">
        <v>57</v>
      </c>
      <c r="AM22" s="2" t="s">
        <v>57</v>
      </c>
      <c r="AN22" s="2" t="s">
        <v>57</v>
      </c>
      <c r="AO22" s="2" t="s">
        <v>57</v>
      </c>
      <c r="AP22" s="2" t="s">
        <v>57</v>
      </c>
      <c r="AQ22" s="2" t="s">
        <v>57</v>
      </c>
      <c r="AR22" s="2" t="s">
        <v>57</v>
      </c>
      <c r="AS22" s="2" t="s">
        <v>57</v>
      </c>
      <c r="AT22" s="2" t="s">
        <v>57</v>
      </c>
      <c r="AU22" s="2" t="s">
        <v>57</v>
      </c>
      <c r="AV22" s="2" t="s">
        <v>57</v>
      </c>
      <c r="AW22" s="2" t="s">
        <v>57</v>
      </c>
      <c r="AX22" s="2">
        <v>1.3074239999999999</v>
      </c>
      <c r="AY22" s="2">
        <v>-1</v>
      </c>
      <c r="BA22" s="2">
        <v>-1</v>
      </c>
      <c r="BB22" s="2">
        <v>12702.250935</v>
      </c>
      <c r="BC22" s="2">
        <v>1307423.6431249999</v>
      </c>
    </row>
    <row r="23" spans="1:55" x14ac:dyDescent="0.6">
      <c r="A23" s="2">
        <v>88</v>
      </c>
      <c r="B23" s="2" t="s">
        <v>82</v>
      </c>
      <c r="C23" s="2" t="s">
        <v>55</v>
      </c>
      <c r="D23" s="2">
        <v>104</v>
      </c>
      <c r="E23" s="2">
        <v>26</v>
      </c>
      <c r="F23" s="2">
        <v>26</v>
      </c>
      <c r="G23" s="2">
        <v>2696</v>
      </c>
      <c r="H23" s="2">
        <v>2696</v>
      </c>
      <c r="I23" s="2" t="s">
        <v>57</v>
      </c>
      <c r="J23" s="2" t="s">
        <v>82</v>
      </c>
      <c r="K23" s="2" t="s">
        <v>57</v>
      </c>
      <c r="L23" s="2">
        <v>4.737921</v>
      </c>
      <c r="M23" s="2" t="s">
        <v>58</v>
      </c>
      <c r="N23" s="2" t="s">
        <v>58</v>
      </c>
      <c r="O23" s="2" t="s">
        <v>57</v>
      </c>
      <c r="P23" s="2" t="s">
        <v>57</v>
      </c>
      <c r="Q23" s="2" t="s">
        <v>57</v>
      </c>
      <c r="R23" s="2">
        <v>82</v>
      </c>
      <c r="S23" s="2" t="s">
        <v>57</v>
      </c>
      <c r="T23" s="2" t="s">
        <v>59</v>
      </c>
      <c r="U23" s="2" t="s">
        <v>57</v>
      </c>
      <c r="V23" s="2">
        <v>0.16827400000000001</v>
      </c>
      <c r="W23" s="2" t="s">
        <v>57</v>
      </c>
      <c r="X23" s="2" t="s">
        <v>57</v>
      </c>
      <c r="Y23" s="2" t="s">
        <v>57</v>
      </c>
      <c r="Z23" s="2" t="s">
        <v>57</v>
      </c>
      <c r="AA23" s="2" t="s">
        <v>57</v>
      </c>
      <c r="AB23" s="2" t="s">
        <v>57</v>
      </c>
      <c r="AC23" s="2" t="s">
        <v>57</v>
      </c>
      <c r="AD23" s="2" t="s">
        <v>57</v>
      </c>
      <c r="AE23" s="2" t="s">
        <v>57</v>
      </c>
      <c r="AF23" s="2" t="s">
        <v>57</v>
      </c>
      <c r="AG23" s="2" t="s">
        <v>57</v>
      </c>
      <c r="AH23" s="2" t="s">
        <v>57</v>
      </c>
      <c r="AI23" s="2" t="s">
        <v>57</v>
      </c>
      <c r="AJ23" s="2" t="s">
        <v>57</v>
      </c>
      <c r="AK23" s="2" t="s">
        <v>57</v>
      </c>
      <c r="AL23" s="2" t="s">
        <v>57</v>
      </c>
      <c r="AM23" s="2" t="s">
        <v>57</v>
      </c>
      <c r="AN23" s="2" t="s">
        <v>57</v>
      </c>
      <c r="AO23" s="2" t="s">
        <v>57</v>
      </c>
      <c r="AP23" s="2" t="s">
        <v>57</v>
      </c>
      <c r="AQ23" s="2" t="s">
        <v>57</v>
      </c>
      <c r="AR23" s="2" t="s">
        <v>57</v>
      </c>
      <c r="AS23" s="2" t="s">
        <v>57</v>
      </c>
      <c r="AT23" s="2" t="s">
        <v>57</v>
      </c>
      <c r="AU23" s="2" t="s">
        <v>57</v>
      </c>
      <c r="AV23" s="2" t="s">
        <v>57</v>
      </c>
      <c r="AW23" s="2" t="s">
        <v>60</v>
      </c>
      <c r="AX23" s="2">
        <v>3.4890999999999998E-2</v>
      </c>
      <c r="AY23" s="2">
        <v>1</v>
      </c>
      <c r="AZ23" s="2" t="s">
        <v>61</v>
      </c>
      <c r="BA23" s="2">
        <v>-1</v>
      </c>
      <c r="BB23" s="2">
        <v>910.75108699999998</v>
      </c>
      <c r="BC23" s="2">
        <v>34891.37038</v>
      </c>
    </row>
    <row r="24" spans="1:55" x14ac:dyDescent="0.6">
      <c r="A24" s="2">
        <v>89</v>
      </c>
      <c r="B24" s="2" t="s">
        <v>83</v>
      </c>
      <c r="C24" s="2" t="s">
        <v>55</v>
      </c>
      <c r="D24" s="2">
        <v>105</v>
      </c>
      <c r="E24" s="2">
        <v>27</v>
      </c>
      <c r="F24" s="2">
        <v>27</v>
      </c>
      <c r="G24" s="2">
        <v>2697</v>
      </c>
      <c r="H24" s="2">
        <v>2697</v>
      </c>
      <c r="I24" s="2" t="s">
        <v>57</v>
      </c>
      <c r="J24" s="2" t="s">
        <v>83</v>
      </c>
      <c r="K24" s="2" t="s">
        <v>57</v>
      </c>
      <c r="L24" s="2">
        <v>7.0815530000000004</v>
      </c>
      <c r="M24" s="2" t="s">
        <v>58</v>
      </c>
      <c r="N24" s="2" t="s">
        <v>58</v>
      </c>
      <c r="O24" s="2" t="s">
        <v>57</v>
      </c>
      <c r="P24" s="2" t="s">
        <v>57</v>
      </c>
      <c r="Q24" s="2" t="s">
        <v>57</v>
      </c>
      <c r="R24" s="2">
        <v>82</v>
      </c>
      <c r="S24" s="2" t="s">
        <v>57</v>
      </c>
      <c r="T24" s="2" t="s">
        <v>59</v>
      </c>
      <c r="U24" s="2" t="s">
        <v>57</v>
      </c>
      <c r="V24" s="2">
        <v>0.19784299999999999</v>
      </c>
      <c r="W24" s="2" t="s">
        <v>57</v>
      </c>
      <c r="X24" s="2" t="s">
        <v>57</v>
      </c>
      <c r="Y24" s="2" t="s">
        <v>57</v>
      </c>
      <c r="Z24" s="2" t="s">
        <v>57</v>
      </c>
      <c r="AA24" s="2" t="s">
        <v>57</v>
      </c>
      <c r="AB24" s="2" t="s">
        <v>57</v>
      </c>
      <c r="AC24" s="2" t="s">
        <v>57</v>
      </c>
      <c r="AD24" s="2" t="s">
        <v>57</v>
      </c>
      <c r="AE24" s="2" t="s">
        <v>57</v>
      </c>
      <c r="AF24" s="2" t="s">
        <v>57</v>
      </c>
      <c r="AG24" s="2" t="s">
        <v>57</v>
      </c>
      <c r="AH24" s="2" t="s">
        <v>57</v>
      </c>
      <c r="AI24" s="2" t="s">
        <v>57</v>
      </c>
      <c r="AJ24" s="2" t="s">
        <v>57</v>
      </c>
      <c r="AK24" s="2" t="s">
        <v>57</v>
      </c>
      <c r="AL24" s="2" t="s">
        <v>57</v>
      </c>
      <c r="AM24" s="2" t="s">
        <v>57</v>
      </c>
      <c r="AN24" s="2" t="s">
        <v>57</v>
      </c>
      <c r="AO24" s="2" t="s">
        <v>57</v>
      </c>
      <c r="AP24" s="2" t="s">
        <v>57</v>
      </c>
      <c r="AQ24" s="2" t="s">
        <v>57</v>
      </c>
      <c r="AR24" s="2" t="s">
        <v>57</v>
      </c>
      <c r="AS24" s="2" t="s">
        <v>57</v>
      </c>
      <c r="AT24" s="2" t="s">
        <v>57</v>
      </c>
      <c r="AU24" s="2" t="s">
        <v>57</v>
      </c>
      <c r="AV24" s="2" t="s">
        <v>57</v>
      </c>
      <c r="AW24" s="2" t="s">
        <v>60</v>
      </c>
      <c r="AX24" s="2">
        <v>7.2030999999999998E-2</v>
      </c>
      <c r="AY24" s="2">
        <v>1</v>
      </c>
      <c r="AZ24" s="2" t="s">
        <v>61</v>
      </c>
      <c r="BA24" s="2">
        <v>-1</v>
      </c>
      <c r="BB24" s="2">
        <v>1700</v>
      </c>
      <c r="BC24" s="2">
        <v>72031.25</v>
      </c>
    </row>
    <row r="25" spans="1:55" x14ac:dyDescent="0.6">
      <c r="A25" s="2">
        <v>91</v>
      </c>
      <c r="B25" s="2" t="s">
        <v>84</v>
      </c>
      <c r="C25" s="2" t="s">
        <v>55</v>
      </c>
      <c r="D25" s="2">
        <v>107</v>
      </c>
      <c r="E25" s="2">
        <v>29</v>
      </c>
      <c r="F25" s="2">
        <v>29</v>
      </c>
      <c r="G25" s="2">
        <v>2699</v>
      </c>
      <c r="H25" s="2">
        <v>2699</v>
      </c>
      <c r="I25" s="2" t="s">
        <v>57</v>
      </c>
      <c r="J25" s="2" t="s">
        <v>84</v>
      </c>
      <c r="K25" s="2" t="s">
        <v>57</v>
      </c>
      <c r="L25" s="2">
        <v>5.7517290000000001</v>
      </c>
      <c r="M25" s="2" t="s">
        <v>58</v>
      </c>
      <c r="N25" s="2" t="s">
        <v>58</v>
      </c>
      <c r="O25" s="2" t="s">
        <v>57</v>
      </c>
      <c r="P25" s="2" t="s">
        <v>57</v>
      </c>
      <c r="Q25" s="2" t="s">
        <v>57</v>
      </c>
      <c r="R25" s="2">
        <v>72.403936999999999</v>
      </c>
      <c r="S25" s="2" t="s">
        <v>57</v>
      </c>
      <c r="T25" s="2" t="s">
        <v>59</v>
      </c>
      <c r="U25" s="2" t="s">
        <v>57</v>
      </c>
      <c r="V25" s="2">
        <v>1.8147409999999999</v>
      </c>
      <c r="W25" s="2" t="s">
        <v>57</v>
      </c>
      <c r="X25" s="2" t="s">
        <v>57</v>
      </c>
      <c r="Y25" s="2" t="s">
        <v>57</v>
      </c>
      <c r="Z25" s="2" t="s">
        <v>57</v>
      </c>
      <c r="AA25" s="2" t="s">
        <v>57</v>
      </c>
      <c r="AB25" s="2" t="s">
        <v>57</v>
      </c>
      <c r="AC25" s="2" t="s">
        <v>57</v>
      </c>
      <c r="AD25" s="2" t="s">
        <v>57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57</v>
      </c>
      <c r="AK25" s="2" t="s">
        <v>57</v>
      </c>
      <c r="AL25" s="2" t="s">
        <v>57</v>
      </c>
      <c r="AM25" s="2" t="s">
        <v>57</v>
      </c>
      <c r="AN25" s="2" t="s">
        <v>57</v>
      </c>
      <c r="AO25" s="2" t="s">
        <v>57</v>
      </c>
      <c r="AP25" s="2" t="s">
        <v>57</v>
      </c>
      <c r="AQ25" s="2" t="s">
        <v>57</v>
      </c>
      <c r="AR25" s="2" t="s">
        <v>57</v>
      </c>
      <c r="AS25" s="2" t="s">
        <v>57</v>
      </c>
      <c r="AT25" s="2" t="s">
        <v>57</v>
      </c>
      <c r="AU25" s="2" t="s">
        <v>57</v>
      </c>
      <c r="AV25" s="2" t="s">
        <v>57</v>
      </c>
      <c r="AW25" s="2" t="s">
        <v>60</v>
      </c>
      <c r="AX25" s="2">
        <v>4.5981249999999996</v>
      </c>
      <c r="AY25" s="2">
        <v>1</v>
      </c>
      <c r="AZ25" s="2" t="s">
        <v>61</v>
      </c>
      <c r="BA25" s="2">
        <v>-1</v>
      </c>
      <c r="BB25" s="2">
        <v>19850</v>
      </c>
      <c r="BC25" s="2">
        <v>4598125</v>
      </c>
    </row>
    <row r="26" spans="1:55" x14ac:dyDescent="0.6">
      <c r="A26" s="2">
        <v>5</v>
      </c>
      <c r="B26" s="2" t="s">
        <v>85</v>
      </c>
      <c r="C26" s="2" t="s">
        <v>55</v>
      </c>
      <c r="D26" s="2">
        <v>13</v>
      </c>
      <c r="E26" s="2">
        <v>30</v>
      </c>
      <c r="F26" s="2">
        <v>30</v>
      </c>
      <c r="G26" s="2">
        <v>2700</v>
      </c>
      <c r="H26" s="2">
        <v>2700</v>
      </c>
      <c r="I26" s="2" t="s">
        <v>57</v>
      </c>
      <c r="J26" s="2" t="s">
        <v>85</v>
      </c>
      <c r="K26" s="2" t="s">
        <v>57</v>
      </c>
      <c r="L26" s="2">
        <v>7.4855590000000003</v>
      </c>
      <c r="M26" s="2" t="s">
        <v>58</v>
      </c>
      <c r="N26" s="2" t="s">
        <v>58</v>
      </c>
      <c r="O26" s="2" t="s">
        <v>57</v>
      </c>
      <c r="P26" s="2" t="s">
        <v>57</v>
      </c>
      <c r="Q26" s="2" t="s">
        <v>57</v>
      </c>
      <c r="R26" s="2">
        <v>69.797680999999997</v>
      </c>
      <c r="S26" s="2" t="s">
        <v>57</v>
      </c>
      <c r="T26" s="2" t="s">
        <v>59</v>
      </c>
      <c r="U26" s="2" t="s">
        <v>57</v>
      </c>
      <c r="V26" s="2">
        <v>1.3130379999999999</v>
      </c>
      <c r="W26" s="2" t="s">
        <v>57</v>
      </c>
      <c r="X26" s="2" t="s">
        <v>57</v>
      </c>
      <c r="Y26" s="2" t="s">
        <v>57</v>
      </c>
      <c r="Z26" s="2" t="s">
        <v>57</v>
      </c>
      <c r="AA26" s="2" t="s">
        <v>57</v>
      </c>
      <c r="AB26" s="2" t="s">
        <v>57</v>
      </c>
      <c r="AC26" s="2" t="s">
        <v>57</v>
      </c>
      <c r="AD26" s="2" t="s">
        <v>57</v>
      </c>
      <c r="AE26" s="2" t="s">
        <v>57</v>
      </c>
      <c r="AF26" s="2" t="s">
        <v>57</v>
      </c>
      <c r="AG26" s="2" t="s">
        <v>57</v>
      </c>
      <c r="AH26" s="2" t="s">
        <v>57</v>
      </c>
      <c r="AI26" s="2" t="s">
        <v>57</v>
      </c>
      <c r="AJ26" s="2" t="s">
        <v>57</v>
      </c>
      <c r="AK26" s="2" t="s">
        <v>57</v>
      </c>
      <c r="AL26" s="2" t="s">
        <v>57</v>
      </c>
      <c r="AM26" s="2" t="s">
        <v>57</v>
      </c>
      <c r="AN26" s="2" t="s">
        <v>57</v>
      </c>
      <c r="AO26" s="2" t="s">
        <v>57</v>
      </c>
      <c r="AP26" s="2" t="s">
        <v>57</v>
      </c>
      <c r="AQ26" s="2" t="s">
        <v>57</v>
      </c>
      <c r="AR26" s="2" t="s">
        <v>57</v>
      </c>
      <c r="AS26" s="2" t="s">
        <v>57</v>
      </c>
      <c r="AT26" s="2" t="s">
        <v>57</v>
      </c>
      <c r="AU26" s="2" t="s">
        <v>57</v>
      </c>
      <c r="AV26" s="2" t="s">
        <v>57</v>
      </c>
      <c r="AW26" s="2" t="s">
        <v>57</v>
      </c>
      <c r="AX26" s="2">
        <v>4.5345310000000003</v>
      </c>
      <c r="AY26" s="2">
        <v>-1</v>
      </c>
      <c r="BA26" s="2">
        <v>-1</v>
      </c>
      <c r="BB26" s="2">
        <v>17250</v>
      </c>
      <c r="BC26" s="2">
        <v>4534531.25</v>
      </c>
    </row>
    <row r="27" spans="1:55" x14ac:dyDescent="0.6">
      <c r="A27" s="2">
        <v>92</v>
      </c>
      <c r="B27" s="2" t="s">
        <v>86</v>
      </c>
      <c r="C27" s="2" t="s">
        <v>55</v>
      </c>
      <c r="D27" s="2">
        <v>108</v>
      </c>
      <c r="E27" s="2">
        <v>31</v>
      </c>
      <c r="F27" s="2">
        <v>31</v>
      </c>
      <c r="G27" s="2">
        <v>2701</v>
      </c>
      <c r="H27" s="2">
        <v>2701</v>
      </c>
      <c r="I27" s="2" t="s">
        <v>57</v>
      </c>
      <c r="J27" s="2" t="s">
        <v>86</v>
      </c>
      <c r="K27" s="2" t="s">
        <v>57</v>
      </c>
      <c r="L27" s="2">
        <v>11.368865</v>
      </c>
      <c r="M27" s="2" t="s">
        <v>58</v>
      </c>
      <c r="N27" s="2" t="s">
        <v>58</v>
      </c>
      <c r="O27" s="2" t="s">
        <v>57</v>
      </c>
      <c r="P27" s="2" t="s">
        <v>57</v>
      </c>
      <c r="Q27" s="2" t="s">
        <v>57</v>
      </c>
      <c r="R27" s="2">
        <v>66.575958999999997</v>
      </c>
      <c r="S27" s="2" t="s">
        <v>57</v>
      </c>
      <c r="T27" s="2" t="s">
        <v>59</v>
      </c>
      <c r="U27" s="2" t="s">
        <v>57</v>
      </c>
      <c r="V27" s="2">
        <v>1.9615899999999999</v>
      </c>
      <c r="W27" s="2" t="s">
        <v>57</v>
      </c>
      <c r="X27" s="2" t="s">
        <v>57</v>
      </c>
      <c r="Y27" s="2" t="s">
        <v>57</v>
      </c>
      <c r="Z27" s="2" t="s">
        <v>57</v>
      </c>
      <c r="AA27" s="2" t="s">
        <v>57</v>
      </c>
      <c r="AB27" s="2" t="s">
        <v>57</v>
      </c>
      <c r="AC27" s="2" t="s">
        <v>57</v>
      </c>
      <c r="AD27" s="2" t="s">
        <v>57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57</v>
      </c>
      <c r="AK27" s="2" t="s">
        <v>57</v>
      </c>
      <c r="AL27" s="2" t="s">
        <v>57</v>
      </c>
      <c r="AM27" s="2" t="s">
        <v>57</v>
      </c>
      <c r="AN27" s="2" t="s">
        <v>57</v>
      </c>
      <c r="AO27" s="2" t="s">
        <v>57</v>
      </c>
      <c r="AP27" s="2" t="s">
        <v>57</v>
      </c>
      <c r="AQ27" s="2" t="s">
        <v>57</v>
      </c>
      <c r="AR27" s="2" t="s">
        <v>57</v>
      </c>
      <c r="AS27" s="2" t="s">
        <v>57</v>
      </c>
      <c r="AT27" s="2" t="s">
        <v>57</v>
      </c>
      <c r="AU27" s="2" t="s">
        <v>57</v>
      </c>
      <c r="AV27" s="2" t="s">
        <v>57</v>
      </c>
      <c r="AW27" s="2" t="s">
        <v>60</v>
      </c>
      <c r="AX27" s="2">
        <v>8.5724999999999998</v>
      </c>
      <c r="AY27" s="2">
        <v>1</v>
      </c>
      <c r="AZ27" s="2" t="s">
        <v>61</v>
      </c>
      <c r="BA27" s="2">
        <v>-1</v>
      </c>
      <c r="BB27" s="2">
        <v>23625</v>
      </c>
      <c r="BC27" s="2">
        <v>8572500</v>
      </c>
    </row>
    <row r="28" spans="1:55" x14ac:dyDescent="0.6">
      <c r="A28" s="2">
        <v>93</v>
      </c>
      <c r="B28" s="2" t="s">
        <v>87</v>
      </c>
      <c r="C28" s="2" t="s">
        <v>55</v>
      </c>
      <c r="D28" s="2">
        <v>109</v>
      </c>
      <c r="E28" s="2">
        <v>32</v>
      </c>
      <c r="F28" s="2">
        <v>32</v>
      </c>
      <c r="G28" s="2">
        <v>2702</v>
      </c>
      <c r="H28" s="2">
        <v>2702</v>
      </c>
      <c r="I28" s="2" t="s">
        <v>57</v>
      </c>
      <c r="J28" s="2" t="s">
        <v>87</v>
      </c>
      <c r="K28" s="2" t="s">
        <v>57</v>
      </c>
      <c r="L28" s="2">
        <v>6.1396189999999997</v>
      </c>
      <c r="M28" s="2" t="s">
        <v>58</v>
      </c>
      <c r="N28" s="2" t="s">
        <v>58</v>
      </c>
      <c r="O28" s="2" t="s">
        <v>57</v>
      </c>
      <c r="P28" s="2" t="s">
        <v>57</v>
      </c>
      <c r="Q28" s="2" t="s">
        <v>57</v>
      </c>
      <c r="R28" s="2">
        <v>79.266812999999999</v>
      </c>
      <c r="S28" s="2" t="s">
        <v>57</v>
      </c>
      <c r="T28" s="2" t="s">
        <v>59</v>
      </c>
      <c r="U28" s="2" t="s">
        <v>57</v>
      </c>
      <c r="V28" s="2">
        <v>0.849105</v>
      </c>
      <c r="W28" s="2" t="s">
        <v>57</v>
      </c>
      <c r="X28" s="2" t="s">
        <v>57</v>
      </c>
      <c r="Y28" s="2" t="s">
        <v>57</v>
      </c>
      <c r="Z28" s="2" t="s">
        <v>57</v>
      </c>
      <c r="AA28" s="2" t="s">
        <v>57</v>
      </c>
      <c r="AB28" s="2" t="s">
        <v>57</v>
      </c>
      <c r="AC28" s="2" t="s">
        <v>57</v>
      </c>
      <c r="AD28" s="2" t="s">
        <v>57</v>
      </c>
      <c r="AE28" s="2" t="s">
        <v>57</v>
      </c>
      <c r="AF28" s="2" t="s">
        <v>57</v>
      </c>
      <c r="AG28" s="2" t="s">
        <v>57</v>
      </c>
      <c r="AH28" s="2" t="s">
        <v>57</v>
      </c>
      <c r="AI28" s="2" t="s">
        <v>57</v>
      </c>
      <c r="AJ28" s="2" t="s">
        <v>57</v>
      </c>
      <c r="AK28" s="2" t="s">
        <v>57</v>
      </c>
      <c r="AL28" s="2" t="s">
        <v>57</v>
      </c>
      <c r="AM28" s="2" t="s">
        <v>57</v>
      </c>
      <c r="AN28" s="2" t="s">
        <v>57</v>
      </c>
      <c r="AO28" s="2" t="s">
        <v>57</v>
      </c>
      <c r="AP28" s="2" t="s">
        <v>57</v>
      </c>
      <c r="AQ28" s="2" t="s">
        <v>57</v>
      </c>
      <c r="AR28" s="2" t="s">
        <v>57</v>
      </c>
      <c r="AS28" s="2" t="s">
        <v>57</v>
      </c>
      <c r="AT28" s="2" t="s">
        <v>57</v>
      </c>
      <c r="AU28" s="2" t="s">
        <v>57</v>
      </c>
      <c r="AV28" s="2" t="s">
        <v>57</v>
      </c>
      <c r="AW28" s="2" t="s">
        <v>60</v>
      </c>
      <c r="AX28" s="2">
        <v>1.064416</v>
      </c>
      <c r="AY28" s="2">
        <v>1</v>
      </c>
      <c r="AZ28" s="2" t="s">
        <v>61</v>
      </c>
      <c r="BA28" s="2">
        <v>-1</v>
      </c>
      <c r="BB28" s="2">
        <v>7394.9334349999999</v>
      </c>
      <c r="BC28" s="2">
        <v>1064416.445204</v>
      </c>
    </row>
    <row r="29" spans="1:55" x14ac:dyDescent="0.6">
      <c r="A29" s="2">
        <v>6</v>
      </c>
      <c r="B29" s="2" t="s">
        <v>88</v>
      </c>
      <c r="C29" s="2" t="s">
        <v>55</v>
      </c>
      <c r="D29" s="2">
        <v>15</v>
      </c>
      <c r="E29" s="2">
        <v>33</v>
      </c>
      <c r="F29" s="2">
        <v>33</v>
      </c>
      <c r="G29" s="2">
        <v>2703</v>
      </c>
      <c r="H29" s="2">
        <v>2703</v>
      </c>
      <c r="I29" s="2" t="s">
        <v>57</v>
      </c>
      <c r="J29" s="2" t="s">
        <v>88</v>
      </c>
      <c r="K29" s="2" t="s">
        <v>57</v>
      </c>
      <c r="L29" s="2">
        <v>9.2714680000000005</v>
      </c>
      <c r="M29" s="2" t="s">
        <v>58</v>
      </c>
      <c r="N29" s="2" t="s">
        <v>58</v>
      </c>
      <c r="O29" s="2" t="s">
        <v>57</v>
      </c>
      <c r="P29" s="2" t="s">
        <v>57</v>
      </c>
      <c r="Q29" s="2" t="s">
        <v>57</v>
      </c>
      <c r="R29" s="2">
        <v>71.069999999999993</v>
      </c>
      <c r="S29" s="2" t="s">
        <v>57</v>
      </c>
      <c r="T29" s="2" t="s">
        <v>59</v>
      </c>
      <c r="U29" s="2" t="s">
        <v>57</v>
      </c>
      <c r="V29" s="2">
        <v>0.15192800000000001</v>
      </c>
      <c r="W29" s="2" t="s">
        <v>57</v>
      </c>
      <c r="X29" s="2" t="s">
        <v>57</v>
      </c>
      <c r="Y29" s="2" t="s">
        <v>57</v>
      </c>
      <c r="Z29" s="2" t="s">
        <v>57</v>
      </c>
      <c r="AA29" s="2" t="s">
        <v>57</v>
      </c>
      <c r="AB29" s="2" t="s">
        <v>57</v>
      </c>
      <c r="AC29" s="2" t="s">
        <v>57</v>
      </c>
      <c r="AD29" s="2" t="s">
        <v>57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57</v>
      </c>
      <c r="AK29" s="2" t="s">
        <v>57</v>
      </c>
      <c r="AL29" s="2" t="s">
        <v>57</v>
      </c>
      <c r="AM29" s="2" t="s">
        <v>57</v>
      </c>
      <c r="AN29" s="2" t="s">
        <v>57</v>
      </c>
      <c r="AO29" s="2" t="s">
        <v>57</v>
      </c>
      <c r="AP29" s="2" t="s">
        <v>57</v>
      </c>
      <c r="AQ29" s="2" t="s">
        <v>57</v>
      </c>
      <c r="AR29" s="2" t="s">
        <v>57</v>
      </c>
      <c r="AS29" s="2" t="s">
        <v>57</v>
      </c>
      <c r="AT29" s="2" t="s">
        <v>57</v>
      </c>
      <c r="AU29" s="2" t="s">
        <v>57</v>
      </c>
      <c r="AV29" s="2" t="s">
        <v>57</v>
      </c>
      <c r="AW29" s="2" t="s">
        <v>57</v>
      </c>
      <c r="AX29" s="2">
        <v>3.0780999999999999E-2</v>
      </c>
      <c r="AY29" s="2">
        <v>-1</v>
      </c>
      <c r="BA29" s="2">
        <v>-1</v>
      </c>
      <c r="BB29" s="2">
        <v>875</v>
      </c>
      <c r="BC29" s="2">
        <v>30781.25</v>
      </c>
    </row>
    <row r="30" spans="1:55" x14ac:dyDescent="0.6">
      <c r="A30" s="2">
        <v>94</v>
      </c>
      <c r="B30" s="2" t="s">
        <v>89</v>
      </c>
      <c r="C30" s="2" t="s">
        <v>55</v>
      </c>
      <c r="D30" s="2">
        <v>110</v>
      </c>
      <c r="E30" s="2">
        <v>34</v>
      </c>
      <c r="F30" s="2">
        <v>34</v>
      </c>
      <c r="G30" s="2">
        <v>2704</v>
      </c>
      <c r="H30" s="2">
        <v>2704</v>
      </c>
      <c r="I30" s="2" t="s">
        <v>57</v>
      </c>
      <c r="J30" s="2" t="s">
        <v>89</v>
      </c>
      <c r="K30" s="2" t="s">
        <v>57</v>
      </c>
      <c r="L30" s="2">
        <v>6.3269659999999996</v>
      </c>
      <c r="M30" s="2" t="s">
        <v>58</v>
      </c>
      <c r="N30" s="2" t="s">
        <v>58</v>
      </c>
      <c r="O30" s="2" t="s">
        <v>57</v>
      </c>
      <c r="P30" s="2" t="s">
        <v>57</v>
      </c>
      <c r="Q30" s="2" t="s">
        <v>57</v>
      </c>
      <c r="R30" s="2">
        <v>47.373494000000001</v>
      </c>
      <c r="S30" s="2" t="s">
        <v>57</v>
      </c>
      <c r="T30" s="2" t="s">
        <v>59</v>
      </c>
      <c r="U30" s="2" t="s">
        <v>57</v>
      </c>
      <c r="V30" s="2">
        <v>4.1733390000000004</v>
      </c>
      <c r="W30" s="2" t="s">
        <v>57</v>
      </c>
      <c r="X30" s="2" t="s">
        <v>57</v>
      </c>
      <c r="Y30" s="2" t="s">
        <v>57</v>
      </c>
      <c r="Z30" s="2" t="s">
        <v>57</v>
      </c>
      <c r="AA30" s="2" t="s">
        <v>57</v>
      </c>
      <c r="AB30" s="2" t="s">
        <v>57</v>
      </c>
      <c r="AC30" s="2" t="s">
        <v>57</v>
      </c>
      <c r="AD30" s="2" t="s">
        <v>57</v>
      </c>
      <c r="AE30" s="2" t="s">
        <v>57</v>
      </c>
      <c r="AF30" s="2" t="s">
        <v>57</v>
      </c>
      <c r="AG30" s="2" t="s">
        <v>57</v>
      </c>
      <c r="AH30" s="2" t="s">
        <v>57</v>
      </c>
      <c r="AI30" s="2" t="s">
        <v>57</v>
      </c>
      <c r="AJ30" s="2" t="s">
        <v>57</v>
      </c>
      <c r="AK30" s="2" t="s">
        <v>57</v>
      </c>
      <c r="AL30" s="2" t="s">
        <v>57</v>
      </c>
      <c r="AM30" s="2" t="s">
        <v>57</v>
      </c>
      <c r="AN30" s="2" t="s">
        <v>57</v>
      </c>
      <c r="AO30" s="2" t="s">
        <v>57</v>
      </c>
      <c r="AP30" s="2" t="s">
        <v>57</v>
      </c>
      <c r="AQ30" s="2" t="s">
        <v>57</v>
      </c>
      <c r="AR30" s="2" t="s">
        <v>57</v>
      </c>
      <c r="AS30" s="2" t="s">
        <v>57</v>
      </c>
      <c r="AT30" s="2" t="s">
        <v>57</v>
      </c>
      <c r="AU30" s="2" t="s">
        <v>57</v>
      </c>
      <c r="AV30" s="2" t="s">
        <v>57</v>
      </c>
      <c r="AW30" s="2" t="s">
        <v>60</v>
      </c>
      <c r="AX30" s="2">
        <v>6.3842189999999999</v>
      </c>
      <c r="AY30" s="2">
        <v>1</v>
      </c>
      <c r="AZ30" s="2" t="s">
        <v>61</v>
      </c>
      <c r="BA30" s="2">
        <v>-1</v>
      </c>
      <c r="BB30" s="2">
        <v>23675</v>
      </c>
      <c r="BC30" s="2">
        <v>6384218.75</v>
      </c>
    </row>
    <row r="31" spans="1:55" x14ac:dyDescent="0.6">
      <c r="A31" s="2">
        <v>8</v>
      </c>
      <c r="B31" s="2" t="s">
        <v>90</v>
      </c>
      <c r="C31" s="2" t="s">
        <v>55</v>
      </c>
      <c r="D31" s="2">
        <v>17</v>
      </c>
      <c r="E31" s="2">
        <v>36</v>
      </c>
      <c r="F31" s="2">
        <v>36</v>
      </c>
      <c r="G31" s="2">
        <v>2706</v>
      </c>
      <c r="H31" s="2">
        <v>2706</v>
      </c>
      <c r="I31" s="2" t="s">
        <v>57</v>
      </c>
      <c r="J31" s="2" t="s">
        <v>90</v>
      </c>
      <c r="K31" s="2" t="s">
        <v>57</v>
      </c>
      <c r="L31" s="2">
        <v>5.9760799999999996</v>
      </c>
      <c r="M31" s="2" t="s">
        <v>58</v>
      </c>
      <c r="N31" s="2" t="s">
        <v>58</v>
      </c>
      <c r="O31" s="2" t="s">
        <v>57</v>
      </c>
      <c r="P31" s="2" t="s">
        <v>57</v>
      </c>
      <c r="Q31" s="2" t="s">
        <v>57</v>
      </c>
      <c r="R31" s="2">
        <v>71.908848000000006</v>
      </c>
      <c r="S31" s="2" t="s">
        <v>57</v>
      </c>
      <c r="T31" s="2" t="s">
        <v>59</v>
      </c>
      <c r="U31" s="2" t="s">
        <v>57</v>
      </c>
      <c r="V31" s="2">
        <v>1.3279350000000001</v>
      </c>
      <c r="W31" s="2" t="s">
        <v>57</v>
      </c>
      <c r="X31" s="2" t="s">
        <v>57</v>
      </c>
      <c r="Y31" s="2" t="s">
        <v>57</v>
      </c>
      <c r="Z31" s="2" t="s">
        <v>57</v>
      </c>
      <c r="AA31" s="2" t="s">
        <v>57</v>
      </c>
      <c r="AB31" s="2" t="s">
        <v>57</v>
      </c>
      <c r="AC31" s="2" t="s">
        <v>57</v>
      </c>
      <c r="AD31" s="2" t="s">
        <v>57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57</v>
      </c>
      <c r="AK31" s="2" t="s">
        <v>57</v>
      </c>
      <c r="AL31" s="2" t="s">
        <v>57</v>
      </c>
      <c r="AM31" s="2" t="s">
        <v>57</v>
      </c>
      <c r="AN31" s="2" t="s">
        <v>57</v>
      </c>
      <c r="AO31" s="2" t="s">
        <v>57</v>
      </c>
      <c r="AP31" s="2" t="s">
        <v>57</v>
      </c>
      <c r="AQ31" s="2" t="s">
        <v>57</v>
      </c>
      <c r="AR31" s="2" t="s">
        <v>57</v>
      </c>
      <c r="AS31" s="2" t="s">
        <v>57</v>
      </c>
      <c r="AT31" s="2" t="s">
        <v>57</v>
      </c>
      <c r="AU31" s="2" t="s">
        <v>57</v>
      </c>
      <c r="AV31" s="2" t="s">
        <v>57</v>
      </c>
      <c r="AW31" s="2" t="s">
        <v>57</v>
      </c>
      <c r="AX31" s="2">
        <v>4.6979689999999996</v>
      </c>
      <c r="AY31" s="2">
        <v>-1</v>
      </c>
      <c r="BA31" s="2">
        <v>-1</v>
      </c>
      <c r="BB31" s="2">
        <v>19625</v>
      </c>
      <c r="BC31" s="2">
        <v>4697968.75</v>
      </c>
    </row>
    <row r="32" spans="1:55" x14ac:dyDescent="0.6">
      <c r="A32" s="2">
        <v>10</v>
      </c>
      <c r="B32" s="2" t="s">
        <v>91</v>
      </c>
      <c r="C32" s="2" t="s">
        <v>55</v>
      </c>
      <c r="D32" s="2">
        <v>19</v>
      </c>
      <c r="E32" s="2">
        <v>38</v>
      </c>
      <c r="F32" s="2">
        <v>38</v>
      </c>
      <c r="G32" s="2">
        <v>2708</v>
      </c>
      <c r="H32" s="2">
        <v>2708</v>
      </c>
      <c r="I32" s="2" t="s">
        <v>57</v>
      </c>
      <c r="J32" s="2" t="s">
        <v>91</v>
      </c>
      <c r="K32" s="2" t="s">
        <v>57</v>
      </c>
      <c r="L32" s="2">
        <v>5.2239899999999997</v>
      </c>
      <c r="M32" s="2" t="s">
        <v>58</v>
      </c>
      <c r="N32" s="2" t="s">
        <v>58</v>
      </c>
      <c r="O32" s="2" t="s">
        <v>57</v>
      </c>
      <c r="P32" s="2" t="s">
        <v>57</v>
      </c>
      <c r="Q32" s="2" t="s">
        <v>57</v>
      </c>
      <c r="R32" s="2">
        <v>71.129267999999996</v>
      </c>
      <c r="S32" s="2" t="s">
        <v>57</v>
      </c>
      <c r="T32" s="2" t="s">
        <v>59</v>
      </c>
      <c r="U32" s="2" t="s">
        <v>57</v>
      </c>
      <c r="V32" s="2">
        <v>0.92332899999999996</v>
      </c>
      <c r="W32" s="2" t="s">
        <v>57</v>
      </c>
      <c r="X32" s="2" t="s">
        <v>57</v>
      </c>
      <c r="Y32" s="2" t="s">
        <v>57</v>
      </c>
      <c r="Z32" s="2" t="s">
        <v>57</v>
      </c>
      <c r="AA32" s="2" t="s">
        <v>57</v>
      </c>
      <c r="AB32" s="2" t="s">
        <v>57</v>
      </c>
      <c r="AC32" s="2" t="s">
        <v>57</v>
      </c>
      <c r="AD32" s="2" t="s">
        <v>57</v>
      </c>
      <c r="AE32" s="2" t="s">
        <v>57</v>
      </c>
      <c r="AF32" s="2" t="s">
        <v>57</v>
      </c>
      <c r="AG32" s="2" t="s">
        <v>57</v>
      </c>
      <c r="AH32" s="2" t="s">
        <v>57</v>
      </c>
      <c r="AI32" s="2" t="s">
        <v>57</v>
      </c>
      <c r="AJ32" s="2" t="s">
        <v>57</v>
      </c>
      <c r="AK32" s="2" t="s">
        <v>57</v>
      </c>
      <c r="AL32" s="2" t="s">
        <v>57</v>
      </c>
      <c r="AM32" s="2" t="s">
        <v>57</v>
      </c>
      <c r="AN32" s="2" t="s">
        <v>57</v>
      </c>
      <c r="AO32" s="2" t="s">
        <v>57</v>
      </c>
      <c r="AP32" s="2" t="s">
        <v>57</v>
      </c>
      <c r="AQ32" s="2" t="s">
        <v>57</v>
      </c>
      <c r="AR32" s="2" t="s">
        <v>57</v>
      </c>
      <c r="AS32" s="2" t="s">
        <v>57</v>
      </c>
      <c r="AT32" s="2" t="s">
        <v>57</v>
      </c>
      <c r="AU32" s="2" t="s">
        <v>57</v>
      </c>
      <c r="AV32" s="2" t="s">
        <v>57</v>
      </c>
      <c r="AW32" s="2" t="s">
        <v>57</v>
      </c>
      <c r="AX32" s="2">
        <v>0.69499999999999995</v>
      </c>
      <c r="AY32" s="2">
        <v>-1</v>
      </c>
      <c r="BA32" s="2">
        <v>-1</v>
      </c>
      <c r="BB32" s="2">
        <v>6350</v>
      </c>
      <c r="BC32" s="2">
        <v>695000</v>
      </c>
    </row>
    <row r="33" spans="1:55" x14ac:dyDescent="0.6">
      <c r="A33" s="2">
        <v>12</v>
      </c>
      <c r="B33" s="2" t="s">
        <v>92</v>
      </c>
      <c r="C33" s="2" t="s">
        <v>55</v>
      </c>
      <c r="D33" s="2">
        <v>21</v>
      </c>
      <c r="E33" s="2">
        <v>40</v>
      </c>
      <c r="F33" s="2">
        <v>40</v>
      </c>
      <c r="G33" s="2">
        <v>2710</v>
      </c>
      <c r="H33" s="2">
        <v>2710</v>
      </c>
      <c r="I33" s="2" t="s">
        <v>57</v>
      </c>
      <c r="J33" s="2" t="s">
        <v>92</v>
      </c>
      <c r="K33" s="2" t="s">
        <v>57</v>
      </c>
      <c r="L33" s="2">
        <v>4.6666249999999998</v>
      </c>
      <c r="M33" s="2" t="s">
        <v>58</v>
      </c>
      <c r="N33" s="2" t="s">
        <v>58</v>
      </c>
      <c r="O33" s="2" t="s">
        <v>57</v>
      </c>
      <c r="P33" s="2" t="s">
        <v>57</v>
      </c>
      <c r="Q33" s="2" t="s">
        <v>57</v>
      </c>
      <c r="R33" s="2">
        <v>73.880624999999995</v>
      </c>
      <c r="S33" s="2" t="s">
        <v>57</v>
      </c>
      <c r="T33" s="2" t="s">
        <v>59</v>
      </c>
      <c r="U33" s="2" t="s">
        <v>57</v>
      </c>
      <c r="V33" s="2">
        <v>1.2861499999999999</v>
      </c>
      <c r="W33" s="2" t="s">
        <v>57</v>
      </c>
      <c r="X33" s="2" t="s">
        <v>57</v>
      </c>
      <c r="Y33" s="2" t="s">
        <v>57</v>
      </c>
      <c r="Z33" s="2" t="s">
        <v>57</v>
      </c>
      <c r="AA33" s="2" t="s">
        <v>57</v>
      </c>
      <c r="AB33" s="2" t="s">
        <v>57</v>
      </c>
      <c r="AC33" s="2" t="s">
        <v>57</v>
      </c>
      <c r="AD33" s="2" t="s">
        <v>57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57</v>
      </c>
      <c r="AK33" s="2" t="s">
        <v>57</v>
      </c>
      <c r="AL33" s="2" t="s">
        <v>57</v>
      </c>
      <c r="AM33" s="2" t="s">
        <v>57</v>
      </c>
      <c r="AN33" s="2" t="s">
        <v>57</v>
      </c>
      <c r="AO33" s="2" t="s">
        <v>57</v>
      </c>
      <c r="AP33" s="2" t="s">
        <v>57</v>
      </c>
      <c r="AQ33" s="2" t="s">
        <v>57</v>
      </c>
      <c r="AR33" s="2" t="s">
        <v>57</v>
      </c>
      <c r="AS33" s="2" t="s">
        <v>57</v>
      </c>
      <c r="AT33" s="2" t="s">
        <v>57</v>
      </c>
      <c r="AU33" s="2" t="s">
        <v>57</v>
      </c>
      <c r="AV33" s="2" t="s">
        <v>57</v>
      </c>
      <c r="AW33" s="2" t="s">
        <v>57</v>
      </c>
      <c r="AX33" s="2">
        <v>3.529531</v>
      </c>
      <c r="AY33" s="2">
        <v>-1</v>
      </c>
      <c r="BA33" s="2">
        <v>-1</v>
      </c>
      <c r="BB33" s="2">
        <v>15025</v>
      </c>
      <c r="BC33" s="2">
        <v>3529531.25</v>
      </c>
    </row>
    <row r="34" spans="1:55" x14ac:dyDescent="0.6">
      <c r="A34" s="2">
        <v>14</v>
      </c>
      <c r="B34" s="2" t="s">
        <v>93</v>
      </c>
      <c r="C34" s="2" t="s">
        <v>55</v>
      </c>
      <c r="D34" s="2">
        <v>23</v>
      </c>
      <c r="E34" s="2">
        <v>42</v>
      </c>
      <c r="F34" s="2">
        <v>42</v>
      </c>
      <c r="G34" s="2">
        <v>2712</v>
      </c>
      <c r="H34" s="2">
        <v>2712</v>
      </c>
      <c r="I34" s="2" t="s">
        <v>57</v>
      </c>
      <c r="J34" s="2" t="s">
        <v>93</v>
      </c>
      <c r="K34" s="2" t="s">
        <v>57</v>
      </c>
      <c r="L34" s="2">
        <v>5.5487000000000002</v>
      </c>
      <c r="M34" s="2" t="s">
        <v>58</v>
      </c>
      <c r="N34" s="2" t="s">
        <v>58</v>
      </c>
      <c r="O34" s="2" t="s">
        <v>57</v>
      </c>
      <c r="P34" s="2" t="s">
        <v>57</v>
      </c>
      <c r="Q34" s="2" t="s">
        <v>57</v>
      </c>
      <c r="R34" s="2">
        <v>76.546854999999994</v>
      </c>
      <c r="S34" s="2" t="s">
        <v>57</v>
      </c>
      <c r="T34" s="2" t="s">
        <v>59</v>
      </c>
      <c r="U34" s="2" t="s">
        <v>57</v>
      </c>
      <c r="V34" s="2">
        <v>2.6023450000000001</v>
      </c>
      <c r="W34" s="2" t="s">
        <v>57</v>
      </c>
      <c r="X34" s="2" t="s">
        <v>57</v>
      </c>
      <c r="Y34" s="2" t="s">
        <v>57</v>
      </c>
      <c r="Z34" s="2" t="s">
        <v>57</v>
      </c>
      <c r="AA34" s="2" t="s">
        <v>57</v>
      </c>
      <c r="AB34" s="2" t="s">
        <v>57</v>
      </c>
      <c r="AC34" s="2" t="s">
        <v>57</v>
      </c>
      <c r="AD34" s="2" t="s">
        <v>57</v>
      </c>
      <c r="AE34" s="2" t="s">
        <v>57</v>
      </c>
      <c r="AF34" s="2" t="s">
        <v>57</v>
      </c>
      <c r="AG34" s="2" t="s">
        <v>57</v>
      </c>
      <c r="AH34" s="2" t="s">
        <v>57</v>
      </c>
      <c r="AI34" s="2" t="s">
        <v>57</v>
      </c>
      <c r="AJ34" s="2" t="s">
        <v>57</v>
      </c>
      <c r="AK34" s="2" t="s">
        <v>57</v>
      </c>
      <c r="AL34" s="2" t="s">
        <v>57</v>
      </c>
      <c r="AM34" s="2" t="s">
        <v>57</v>
      </c>
      <c r="AN34" s="2" t="s">
        <v>57</v>
      </c>
      <c r="AO34" s="2" t="s">
        <v>57</v>
      </c>
      <c r="AP34" s="2" t="s">
        <v>57</v>
      </c>
      <c r="AQ34" s="2" t="s">
        <v>57</v>
      </c>
      <c r="AR34" s="2" t="s">
        <v>57</v>
      </c>
      <c r="AS34" s="2" t="s">
        <v>57</v>
      </c>
      <c r="AT34" s="2" t="s">
        <v>57</v>
      </c>
      <c r="AU34" s="2" t="s">
        <v>57</v>
      </c>
      <c r="AV34" s="2" t="s">
        <v>57</v>
      </c>
      <c r="AW34" s="2" t="s">
        <v>94</v>
      </c>
      <c r="AX34" s="2">
        <v>7.4721880000000001</v>
      </c>
      <c r="AY34" s="2">
        <v>-1</v>
      </c>
      <c r="BA34" s="2">
        <v>-1</v>
      </c>
      <c r="BB34" s="2">
        <v>28325</v>
      </c>
      <c r="BC34" s="2">
        <v>7472187.5</v>
      </c>
    </row>
    <row r="35" spans="1:55" x14ac:dyDescent="0.6">
      <c r="A35" s="2">
        <v>15</v>
      </c>
      <c r="B35" s="2" t="s">
        <v>95</v>
      </c>
      <c r="C35" s="2" t="s">
        <v>55</v>
      </c>
      <c r="D35" s="2">
        <v>24</v>
      </c>
      <c r="E35" s="2">
        <v>43</v>
      </c>
      <c r="F35" s="2">
        <v>43</v>
      </c>
      <c r="G35" s="2">
        <v>2713</v>
      </c>
      <c r="H35" s="2">
        <v>2713</v>
      </c>
      <c r="I35" s="2" t="s">
        <v>57</v>
      </c>
      <c r="J35" s="2" t="s">
        <v>95</v>
      </c>
      <c r="K35" s="2" t="s">
        <v>57</v>
      </c>
      <c r="L35" s="2">
        <v>5.9695119999999999</v>
      </c>
      <c r="M35" s="2" t="s">
        <v>58</v>
      </c>
      <c r="N35" s="2" t="s">
        <v>58</v>
      </c>
      <c r="O35" s="2" t="s">
        <v>57</v>
      </c>
      <c r="P35" s="2" t="s">
        <v>57</v>
      </c>
      <c r="Q35" s="2" t="s">
        <v>57</v>
      </c>
      <c r="R35" s="2">
        <v>71.095646000000002</v>
      </c>
      <c r="S35" s="2" t="s">
        <v>57</v>
      </c>
      <c r="T35" s="2" t="s">
        <v>59</v>
      </c>
      <c r="U35" s="2" t="s">
        <v>57</v>
      </c>
      <c r="V35" s="2">
        <v>2.400569</v>
      </c>
      <c r="W35" s="2" t="s">
        <v>57</v>
      </c>
      <c r="X35" s="2" t="s">
        <v>57</v>
      </c>
      <c r="Y35" s="2" t="s">
        <v>57</v>
      </c>
      <c r="Z35" s="2" t="s">
        <v>57</v>
      </c>
      <c r="AA35" s="2" t="s">
        <v>57</v>
      </c>
      <c r="AB35" s="2" t="s">
        <v>57</v>
      </c>
      <c r="AC35" s="2" t="s">
        <v>57</v>
      </c>
      <c r="AD35" s="2" t="s">
        <v>57</v>
      </c>
      <c r="AE35" s="2" t="s">
        <v>57</v>
      </c>
      <c r="AF35" s="2" t="s">
        <v>57</v>
      </c>
      <c r="AG35" s="2" t="s">
        <v>57</v>
      </c>
      <c r="AH35" s="2" t="s">
        <v>57</v>
      </c>
      <c r="AI35" s="2" t="s">
        <v>57</v>
      </c>
      <c r="AJ35" s="2" t="s">
        <v>57</v>
      </c>
      <c r="AK35" s="2" t="s">
        <v>57</v>
      </c>
      <c r="AL35" s="2" t="s">
        <v>57</v>
      </c>
      <c r="AM35" s="2" t="s">
        <v>57</v>
      </c>
      <c r="AN35" s="2" t="s">
        <v>57</v>
      </c>
      <c r="AO35" s="2" t="s">
        <v>57</v>
      </c>
      <c r="AP35" s="2" t="s">
        <v>57</v>
      </c>
      <c r="AQ35" s="2" t="s">
        <v>57</v>
      </c>
      <c r="AR35" s="2" t="s">
        <v>57</v>
      </c>
      <c r="AS35" s="2" t="s">
        <v>57</v>
      </c>
      <c r="AT35" s="2" t="s">
        <v>57</v>
      </c>
      <c r="AU35" s="2" t="s">
        <v>57</v>
      </c>
      <c r="AV35" s="2" t="s">
        <v>57</v>
      </c>
      <c r="AW35" s="2" t="s">
        <v>57</v>
      </c>
      <c r="AX35" s="2">
        <v>5.5948440000000002</v>
      </c>
      <c r="AY35" s="2">
        <v>-1</v>
      </c>
      <c r="BA35" s="2">
        <v>-1</v>
      </c>
      <c r="BB35" s="2">
        <v>15900</v>
      </c>
      <c r="BC35" s="2">
        <v>5594843.75</v>
      </c>
    </row>
    <row r="36" spans="1:55" x14ac:dyDescent="0.6">
      <c r="A36" s="2">
        <v>16</v>
      </c>
      <c r="B36" s="2" t="s">
        <v>96</v>
      </c>
      <c r="C36" s="2" t="s">
        <v>55</v>
      </c>
      <c r="D36" s="2">
        <v>25</v>
      </c>
      <c r="E36" s="2">
        <v>44</v>
      </c>
      <c r="F36" s="2">
        <v>44</v>
      </c>
      <c r="G36" s="2">
        <v>2714</v>
      </c>
      <c r="H36" s="2">
        <v>2714</v>
      </c>
      <c r="I36" s="2" t="s">
        <v>57</v>
      </c>
      <c r="J36" s="2" t="s">
        <v>96</v>
      </c>
      <c r="K36" s="2" t="s">
        <v>57</v>
      </c>
      <c r="L36" s="2">
        <v>6.1268840000000004</v>
      </c>
      <c r="M36" s="2" t="s">
        <v>58</v>
      </c>
      <c r="N36" s="2" t="s">
        <v>58</v>
      </c>
      <c r="O36" s="2" t="s">
        <v>57</v>
      </c>
      <c r="P36" s="2" t="s">
        <v>57</v>
      </c>
      <c r="Q36" s="2" t="s">
        <v>57</v>
      </c>
      <c r="R36" s="2">
        <v>71.272730999999993</v>
      </c>
      <c r="S36" s="2" t="s">
        <v>57</v>
      </c>
      <c r="T36" s="2" t="s">
        <v>59</v>
      </c>
      <c r="U36" s="2" t="s">
        <v>57</v>
      </c>
      <c r="V36" s="2">
        <v>1.0776330000000001</v>
      </c>
      <c r="W36" s="2" t="s">
        <v>57</v>
      </c>
      <c r="X36" s="2" t="s">
        <v>57</v>
      </c>
      <c r="Y36" s="2" t="s">
        <v>57</v>
      </c>
      <c r="Z36" s="2" t="s">
        <v>57</v>
      </c>
      <c r="AA36" s="2" t="s">
        <v>57</v>
      </c>
      <c r="AB36" s="2" t="s">
        <v>57</v>
      </c>
      <c r="AC36" s="2" t="s">
        <v>57</v>
      </c>
      <c r="AD36" s="2" t="s">
        <v>57</v>
      </c>
      <c r="AE36" s="2" t="s">
        <v>57</v>
      </c>
      <c r="AF36" s="2" t="s">
        <v>57</v>
      </c>
      <c r="AG36" s="2" t="s">
        <v>57</v>
      </c>
      <c r="AH36" s="2" t="s">
        <v>57</v>
      </c>
      <c r="AI36" s="2" t="s">
        <v>57</v>
      </c>
      <c r="AJ36" s="2" t="s">
        <v>57</v>
      </c>
      <c r="AK36" s="2" t="s">
        <v>57</v>
      </c>
      <c r="AL36" s="2" t="s">
        <v>57</v>
      </c>
      <c r="AM36" s="2" t="s">
        <v>57</v>
      </c>
      <c r="AN36" s="2" t="s">
        <v>57</v>
      </c>
      <c r="AO36" s="2" t="s">
        <v>57</v>
      </c>
      <c r="AP36" s="2" t="s">
        <v>57</v>
      </c>
      <c r="AQ36" s="2" t="s">
        <v>57</v>
      </c>
      <c r="AR36" s="2" t="s">
        <v>57</v>
      </c>
      <c r="AS36" s="2" t="s">
        <v>57</v>
      </c>
      <c r="AT36" s="2" t="s">
        <v>57</v>
      </c>
      <c r="AU36" s="2" t="s">
        <v>57</v>
      </c>
      <c r="AV36" s="2" t="s">
        <v>57</v>
      </c>
      <c r="AW36" s="2" t="s">
        <v>57</v>
      </c>
      <c r="AX36" s="2">
        <v>1.349375</v>
      </c>
      <c r="AY36" s="2">
        <v>-1</v>
      </c>
      <c r="BA36" s="2">
        <v>-1</v>
      </c>
      <c r="BB36" s="2">
        <v>7700</v>
      </c>
      <c r="BC36" s="2">
        <v>1349375</v>
      </c>
    </row>
    <row r="37" spans="1:55" x14ac:dyDescent="0.6">
      <c r="A37" s="2">
        <v>95</v>
      </c>
      <c r="B37" s="2" t="s">
        <v>97</v>
      </c>
      <c r="C37" s="2" t="s">
        <v>55</v>
      </c>
      <c r="D37" s="2">
        <v>111</v>
      </c>
      <c r="E37" s="2">
        <v>45</v>
      </c>
      <c r="F37" s="2">
        <v>45</v>
      </c>
      <c r="G37" s="2">
        <v>2715</v>
      </c>
      <c r="H37" s="2">
        <v>2715</v>
      </c>
      <c r="I37" s="2" t="s">
        <v>57</v>
      </c>
      <c r="J37" s="2" t="s">
        <v>97</v>
      </c>
      <c r="K37" s="2" t="s">
        <v>57</v>
      </c>
      <c r="L37" s="2">
        <v>6.7032410000000002</v>
      </c>
      <c r="M37" s="2" t="s">
        <v>58</v>
      </c>
      <c r="N37" s="2" t="s">
        <v>58</v>
      </c>
      <c r="O37" s="2" t="s">
        <v>57</v>
      </c>
      <c r="P37" s="2" t="s">
        <v>57</v>
      </c>
      <c r="Q37" s="2" t="s">
        <v>57</v>
      </c>
      <c r="R37" s="2">
        <v>52.406064000000001</v>
      </c>
      <c r="S37" s="2" t="s">
        <v>57</v>
      </c>
      <c r="T37" s="2" t="s">
        <v>59</v>
      </c>
      <c r="U37" s="2" t="s">
        <v>57</v>
      </c>
      <c r="V37" s="2">
        <v>4.6501330000000003</v>
      </c>
      <c r="W37" s="2" t="s">
        <v>57</v>
      </c>
      <c r="X37" s="2" t="s">
        <v>57</v>
      </c>
      <c r="Y37" s="2" t="s">
        <v>57</v>
      </c>
      <c r="Z37" s="2" t="s">
        <v>57</v>
      </c>
      <c r="AA37" s="2" t="s">
        <v>57</v>
      </c>
      <c r="AB37" s="2" t="s">
        <v>57</v>
      </c>
      <c r="AC37" s="2" t="s">
        <v>57</v>
      </c>
      <c r="AD37" s="2" t="s">
        <v>57</v>
      </c>
      <c r="AE37" s="2" t="s">
        <v>57</v>
      </c>
      <c r="AF37" s="2" t="s">
        <v>57</v>
      </c>
      <c r="AG37" s="2" t="s">
        <v>57</v>
      </c>
      <c r="AH37" s="2" t="s">
        <v>57</v>
      </c>
      <c r="AI37" s="2" t="s">
        <v>57</v>
      </c>
      <c r="AJ37" s="2" t="s">
        <v>57</v>
      </c>
      <c r="AK37" s="2" t="s">
        <v>57</v>
      </c>
      <c r="AL37" s="2" t="s">
        <v>57</v>
      </c>
      <c r="AM37" s="2" t="s">
        <v>57</v>
      </c>
      <c r="AN37" s="2" t="s">
        <v>57</v>
      </c>
      <c r="AO37" s="2" t="s">
        <v>57</v>
      </c>
      <c r="AP37" s="2" t="s">
        <v>57</v>
      </c>
      <c r="AQ37" s="2" t="s">
        <v>57</v>
      </c>
      <c r="AR37" s="2" t="s">
        <v>57</v>
      </c>
      <c r="AS37" s="2" t="s">
        <v>57</v>
      </c>
      <c r="AT37" s="2" t="s">
        <v>57</v>
      </c>
      <c r="AU37" s="2" t="s">
        <v>57</v>
      </c>
      <c r="AV37" s="2" t="s">
        <v>57</v>
      </c>
      <c r="AW37" s="2" t="s">
        <v>60</v>
      </c>
      <c r="AX37" s="2">
        <v>11.782187</v>
      </c>
      <c r="AY37" s="2">
        <v>1</v>
      </c>
      <c r="AZ37" s="2" t="s">
        <v>61</v>
      </c>
      <c r="BA37" s="2">
        <v>-1</v>
      </c>
      <c r="BB37" s="2">
        <v>33750</v>
      </c>
      <c r="BC37" s="2">
        <v>11782187.5</v>
      </c>
    </row>
    <row r="38" spans="1:55" x14ac:dyDescent="0.6">
      <c r="A38" s="2">
        <v>17</v>
      </c>
      <c r="B38" s="2" t="s">
        <v>98</v>
      </c>
      <c r="C38" s="2" t="s">
        <v>55</v>
      </c>
      <c r="D38" s="2">
        <v>26</v>
      </c>
      <c r="E38" s="2">
        <v>46</v>
      </c>
      <c r="F38" s="2">
        <v>46</v>
      </c>
      <c r="G38" s="2">
        <v>2716</v>
      </c>
      <c r="H38" s="2">
        <v>2716</v>
      </c>
      <c r="I38" s="2" t="s">
        <v>57</v>
      </c>
      <c r="J38" s="2" t="s">
        <v>98</v>
      </c>
      <c r="K38" s="2" t="s">
        <v>57</v>
      </c>
      <c r="L38" s="2">
        <v>5.6818169999999997</v>
      </c>
      <c r="M38" s="2" t="s">
        <v>58</v>
      </c>
      <c r="N38" s="2" t="s">
        <v>58</v>
      </c>
      <c r="O38" s="2" t="s">
        <v>57</v>
      </c>
      <c r="P38" s="2" t="s">
        <v>57</v>
      </c>
      <c r="Q38" s="2" t="s">
        <v>57</v>
      </c>
      <c r="R38" s="2">
        <v>72.173192999999998</v>
      </c>
      <c r="S38" s="2" t="s">
        <v>57</v>
      </c>
      <c r="T38" s="2" t="s">
        <v>59</v>
      </c>
      <c r="U38" s="2" t="s">
        <v>57</v>
      </c>
      <c r="V38" s="2">
        <v>3.1988089999999998</v>
      </c>
      <c r="W38" s="2" t="s">
        <v>57</v>
      </c>
      <c r="X38" s="2" t="s">
        <v>57</v>
      </c>
      <c r="Y38" s="2" t="s">
        <v>57</v>
      </c>
      <c r="Z38" s="2" t="s">
        <v>57</v>
      </c>
      <c r="AA38" s="2" t="s">
        <v>57</v>
      </c>
      <c r="AB38" s="2" t="s">
        <v>57</v>
      </c>
      <c r="AC38" s="2" t="s">
        <v>57</v>
      </c>
      <c r="AD38" s="2" t="s">
        <v>57</v>
      </c>
      <c r="AE38" s="2" t="s">
        <v>57</v>
      </c>
      <c r="AF38" s="2" t="s">
        <v>57</v>
      </c>
      <c r="AG38" s="2" t="s">
        <v>57</v>
      </c>
      <c r="AH38" s="2" t="s">
        <v>57</v>
      </c>
      <c r="AI38" s="2" t="s">
        <v>57</v>
      </c>
      <c r="AJ38" s="2" t="s">
        <v>57</v>
      </c>
      <c r="AK38" s="2" t="s">
        <v>57</v>
      </c>
      <c r="AL38" s="2" t="s">
        <v>57</v>
      </c>
      <c r="AM38" s="2" t="s">
        <v>57</v>
      </c>
      <c r="AN38" s="2" t="s">
        <v>57</v>
      </c>
      <c r="AO38" s="2" t="s">
        <v>57</v>
      </c>
      <c r="AP38" s="2" t="s">
        <v>57</v>
      </c>
      <c r="AQ38" s="2" t="s">
        <v>57</v>
      </c>
      <c r="AR38" s="2" t="s">
        <v>57</v>
      </c>
      <c r="AS38" s="2" t="s">
        <v>57</v>
      </c>
      <c r="AT38" s="2" t="s">
        <v>57</v>
      </c>
      <c r="AU38" s="2" t="s">
        <v>57</v>
      </c>
      <c r="AV38" s="2" t="s">
        <v>57</v>
      </c>
      <c r="AW38" s="2" t="s">
        <v>57</v>
      </c>
      <c r="AX38" s="2">
        <v>14.510937999999999</v>
      </c>
      <c r="AY38" s="2">
        <v>-1</v>
      </c>
      <c r="BA38" s="2">
        <v>-1</v>
      </c>
      <c r="BB38" s="2">
        <v>36450</v>
      </c>
      <c r="BC38" s="2">
        <v>14510937.5</v>
      </c>
    </row>
    <row r="39" spans="1:55" x14ac:dyDescent="0.6">
      <c r="A39" s="2">
        <v>18</v>
      </c>
      <c r="B39" s="2" t="s">
        <v>99</v>
      </c>
      <c r="C39" s="2" t="s">
        <v>55</v>
      </c>
      <c r="D39" s="2">
        <v>27</v>
      </c>
      <c r="E39" s="2">
        <v>47</v>
      </c>
      <c r="F39" s="2">
        <v>47</v>
      </c>
      <c r="G39" s="2">
        <v>2717</v>
      </c>
      <c r="H39" s="2">
        <v>2717</v>
      </c>
      <c r="I39" s="2" t="s">
        <v>57</v>
      </c>
      <c r="J39" s="2" t="s">
        <v>99</v>
      </c>
      <c r="K39" s="2" t="s">
        <v>57</v>
      </c>
      <c r="L39" s="2">
        <v>7.5378429999999996</v>
      </c>
      <c r="M39" s="2" t="s">
        <v>58</v>
      </c>
      <c r="N39" s="2" t="s">
        <v>58</v>
      </c>
      <c r="O39" s="2" t="s">
        <v>57</v>
      </c>
      <c r="P39" s="2" t="s">
        <v>57</v>
      </c>
      <c r="Q39" s="2" t="s">
        <v>57</v>
      </c>
      <c r="R39" s="2">
        <v>73.326965999999999</v>
      </c>
      <c r="S39" s="2" t="s">
        <v>57</v>
      </c>
      <c r="T39" s="2" t="s">
        <v>59</v>
      </c>
      <c r="U39" s="2" t="s">
        <v>57</v>
      </c>
      <c r="V39" s="2">
        <v>3.7185869999999999</v>
      </c>
      <c r="W39" s="2" t="s">
        <v>57</v>
      </c>
      <c r="X39" s="2" t="s">
        <v>57</v>
      </c>
      <c r="Y39" s="2" t="s">
        <v>57</v>
      </c>
      <c r="Z39" s="2" t="s">
        <v>57</v>
      </c>
      <c r="AA39" s="2" t="s">
        <v>57</v>
      </c>
      <c r="AB39" s="2" t="s">
        <v>57</v>
      </c>
      <c r="AC39" s="2" t="s">
        <v>57</v>
      </c>
      <c r="AD39" s="2" t="s">
        <v>57</v>
      </c>
      <c r="AE39" s="2" t="s">
        <v>57</v>
      </c>
      <c r="AF39" s="2" t="s">
        <v>57</v>
      </c>
      <c r="AG39" s="2" t="s">
        <v>57</v>
      </c>
      <c r="AH39" s="2" t="s">
        <v>57</v>
      </c>
      <c r="AI39" s="2" t="s">
        <v>57</v>
      </c>
      <c r="AJ39" s="2" t="s">
        <v>57</v>
      </c>
      <c r="AK39" s="2" t="s">
        <v>57</v>
      </c>
      <c r="AL39" s="2" t="s">
        <v>57</v>
      </c>
      <c r="AM39" s="2" t="s">
        <v>57</v>
      </c>
      <c r="AN39" s="2" t="s">
        <v>57</v>
      </c>
      <c r="AO39" s="2" t="s">
        <v>57</v>
      </c>
      <c r="AP39" s="2" t="s">
        <v>57</v>
      </c>
      <c r="AQ39" s="2" t="s">
        <v>57</v>
      </c>
      <c r="AR39" s="2" t="s">
        <v>57</v>
      </c>
      <c r="AS39" s="2" t="s">
        <v>57</v>
      </c>
      <c r="AT39" s="2" t="s">
        <v>57</v>
      </c>
      <c r="AU39" s="2" t="s">
        <v>57</v>
      </c>
      <c r="AV39" s="2" t="s">
        <v>57</v>
      </c>
      <c r="AW39" s="2" t="s">
        <v>94</v>
      </c>
      <c r="AX39" s="2">
        <v>14.949218999999999</v>
      </c>
      <c r="AY39" s="2">
        <v>-1</v>
      </c>
      <c r="BA39" s="2">
        <v>-1</v>
      </c>
      <c r="BB39" s="2">
        <v>40850</v>
      </c>
      <c r="BC39" s="2">
        <v>14949218.75</v>
      </c>
    </row>
    <row r="40" spans="1:55" x14ac:dyDescent="0.6">
      <c r="A40" s="2">
        <v>19</v>
      </c>
      <c r="B40" s="2" t="s">
        <v>100</v>
      </c>
      <c r="C40" s="2" t="s">
        <v>55</v>
      </c>
      <c r="D40" s="2">
        <v>28</v>
      </c>
      <c r="E40" s="2">
        <v>48</v>
      </c>
      <c r="F40" s="2">
        <v>48</v>
      </c>
      <c r="G40" s="2">
        <v>2718</v>
      </c>
      <c r="H40" s="2">
        <v>2718</v>
      </c>
      <c r="I40" s="2" t="s">
        <v>57</v>
      </c>
      <c r="J40" s="2" t="s">
        <v>100</v>
      </c>
      <c r="K40" s="2" t="s">
        <v>57</v>
      </c>
      <c r="L40" s="2">
        <v>8.0663029999999996</v>
      </c>
      <c r="M40" s="2" t="s">
        <v>58</v>
      </c>
      <c r="N40" s="2" t="s">
        <v>58</v>
      </c>
      <c r="O40" s="2" t="s">
        <v>57</v>
      </c>
      <c r="P40" s="2" t="s">
        <v>57</v>
      </c>
      <c r="Q40" s="2" t="s">
        <v>57</v>
      </c>
      <c r="R40" s="2">
        <v>43.356600999999998</v>
      </c>
      <c r="S40" s="2" t="s">
        <v>57</v>
      </c>
      <c r="T40" s="2" t="s">
        <v>59</v>
      </c>
      <c r="U40" s="2" t="s">
        <v>57</v>
      </c>
      <c r="V40" s="2">
        <v>5.487419</v>
      </c>
      <c r="W40" s="2" t="s">
        <v>57</v>
      </c>
      <c r="X40" s="2" t="s">
        <v>57</v>
      </c>
      <c r="Y40" s="2" t="s">
        <v>57</v>
      </c>
      <c r="Z40" s="2" t="s">
        <v>57</v>
      </c>
      <c r="AA40" s="2" t="s">
        <v>57</v>
      </c>
      <c r="AB40" s="2" t="s">
        <v>57</v>
      </c>
      <c r="AC40" s="2" t="s">
        <v>57</v>
      </c>
      <c r="AD40" s="2" t="s">
        <v>57</v>
      </c>
      <c r="AE40" s="2" t="s">
        <v>57</v>
      </c>
      <c r="AF40" s="2" t="s">
        <v>57</v>
      </c>
      <c r="AG40" s="2" t="s">
        <v>57</v>
      </c>
      <c r="AH40" s="2" t="s">
        <v>57</v>
      </c>
      <c r="AI40" s="2" t="s">
        <v>57</v>
      </c>
      <c r="AJ40" s="2" t="s">
        <v>57</v>
      </c>
      <c r="AK40" s="2" t="s">
        <v>57</v>
      </c>
      <c r="AL40" s="2" t="s">
        <v>57</v>
      </c>
      <c r="AM40" s="2" t="s">
        <v>57</v>
      </c>
      <c r="AN40" s="2" t="s">
        <v>57</v>
      </c>
      <c r="AO40" s="2" t="s">
        <v>57</v>
      </c>
      <c r="AP40" s="2" t="s">
        <v>57</v>
      </c>
      <c r="AQ40" s="2" t="s">
        <v>57</v>
      </c>
      <c r="AR40" s="2" t="s">
        <v>57</v>
      </c>
      <c r="AS40" s="2" t="s">
        <v>57</v>
      </c>
      <c r="AT40" s="2" t="s">
        <v>57</v>
      </c>
      <c r="AU40" s="2" t="s">
        <v>57</v>
      </c>
      <c r="AV40" s="2" t="s">
        <v>57</v>
      </c>
      <c r="AW40" s="2" t="s">
        <v>94</v>
      </c>
      <c r="AX40" s="2">
        <v>11.949688</v>
      </c>
      <c r="AY40" s="2">
        <v>-1</v>
      </c>
      <c r="BA40" s="2">
        <v>-1</v>
      </c>
      <c r="BB40" s="2">
        <v>35000</v>
      </c>
      <c r="BC40" s="2">
        <v>11949687.5</v>
      </c>
    </row>
    <row r="41" spans="1:55" x14ac:dyDescent="0.6">
      <c r="A41" s="2">
        <v>96</v>
      </c>
      <c r="B41" s="2" t="s">
        <v>101</v>
      </c>
      <c r="C41" s="2" t="s">
        <v>55</v>
      </c>
      <c r="D41" s="2">
        <v>112</v>
      </c>
      <c r="E41" s="2">
        <v>50</v>
      </c>
      <c r="F41" s="2">
        <v>50</v>
      </c>
      <c r="G41" s="2">
        <v>2720</v>
      </c>
      <c r="H41" s="2">
        <v>2720</v>
      </c>
      <c r="I41" s="2" t="s">
        <v>57</v>
      </c>
      <c r="J41" s="2" t="s">
        <v>101</v>
      </c>
      <c r="K41" s="2" t="s">
        <v>57</v>
      </c>
      <c r="L41" s="2">
        <v>34.827506999999997</v>
      </c>
      <c r="M41" s="2" t="s">
        <v>58</v>
      </c>
      <c r="N41" s="2" t="s">
        <v>58</v>
      </c>
      <c r="O41" s="2" t="s">
        <v>57</v>
      </c>
      <c r="P41" s="2" t="s">
        <v>57</v>
      </c>
      <c r="Q41" s="2" t="s">
        <v>57</v>
      </c>
      <c r="R41" s="2">
        <v>70.605486999999997</v>
      </c>
      <c r="S41" s="2" t="s">
        <v>57</v>
      </c>
      <c r="T41" s="2" t="s">
        <v>59</v>
      </c>
      <c r="U41" s="2" t="s">
        <v>57</v>
      </c>
      <c r="V41" s="2">
        <v>1.670018</v>
      </c>
      <c r="W41" s="2" t="s">
        <v>57</v>
      </c>
      <c r="X41" s="2" t="s">
        <v>57</v>
      </c>
      <c r="Y41" s="2" t="s">
        <v>57</v>
      </c>
      <c r="Z41" s="2" t="s">
        <v>57</v>
      </c>
      <c r="AA41" s="2" t="s">
        <v>57</v>
      </c>
      <c r="AB41" s="2" t="s">
        <v>57</v>
      </c>
      <c r="AC41" s="2" t="s">
        <v>57</v>
      </c>
      <c r="AD41" s="2" t="s">
        <v>57</v>
      </c>
      <c r="AE41" s="2" t="s">
        <v>57</v>
      </c>
      <c r="AF41" s="2" t="s">
        <v>57</v>
      </c>
      <c r="AG41" s="2" t="s">
        <v>57</v>
      </c>
      <c r="AH41" s="2" t="s">
        <v>57</v>
      </c>
      <c r="AI41" s="2" t="s">
        <v>57</v>
      </c>
      <c r="AJ41" s="2" t="s">
        <v>57</v>
      </c>
      <c r="AK41" s="2" t="s">
        <v>57</v>
      </c>
      <c r="AL41" s="2" t="s">
        <v>57</v>
      </c>
      <c r="AM41" s="2" t="s">
        <v>57</v>
      </c>
      <c r="AN41" s="2" t="s">
        <v>57</v>
      </c>
      <c r="AO41" s="2" t="s">
        <v>57</v>
      </c>
      <c r="AP41" s="2" t="s">
        <v>57</v>
      </c>
      <c r="AQ41" s="2" t="s">
        <v>57</v>
      </c>
      <c r="AR41" s="2" t="s">
        <v>57</v>
      </c>
      <c r="AS41" s="2" t="s">
        <v>57</v>
      </c>
      <c r="AT41" s="2" t="s">
        <v>57</v>
      </c>
      <c r="AU41" s="2" t="s">
        <v>57</v>
      </c>
      <c r="AV41" s="2" t="s">
        <v>57</v>
      </c>
      <c r="AW41" s="2" t="s">
        <v>60</v>
      </c>
      <c r="AX41" s="2">
        <v>8.5857810000000008</v>
      </c>
      <c r="AY41" s="2">
        <v>1</v>
      </c>
      <c r="AZ41" s="2" t="s">
        <v>61</v>
      </c>
      <c r="BA41" s="2">
        <v>-1</v>
      </c>
      <c r="BB41" s="2">
        <v>36025</v>
      </c>
      <c r="BC41" s="2">
        <v>8585781.25</v>
      </c>
    </row>
    <row r="42" spans="1:55" x14ac:dyDescent="0.6">
      <c r="A42" s="2">
        <v>22</v>
      </c>
      <c r="B42" s="2" t="s">
        <v>102</v>
      </c>
      <c r="C42" s="2" t="s">
        <v>55</v>
      </c>
      <c r="D42" s="2">
        <v>31</v>
      </c>
      <c r="E42" s="2">
        <v>52</v>
      </c>
      <c r="F42" s="2">
        <v>52</v>
      </c>
      <c r="G42" s="2">
        <v>2722</v>
      </c>
      <c r="H42" s="2">
        <v>2722</v>
      </c>
      <c r="I42" s="2" t="s">
        <v>57</v>
      </c>
      <c r="J42" s="2" t="s">
        <v>102</v>
      </c>
      <c r="K42" s="2" t="s">
        <v>57</v>
      </c>
      <c r="L42" s="2">
        <v>10.729322</v>
      </c>
      <c r="M42" s="2" t="s">
        <v>58</v>
      </c>
      <c r="N42" s="2" t="s">
        <v>58</v>
      </c>
      <c r="O42" s="2" t="s">
        <v>57</v>
      </c>
      <c r="P42" s="2" t="s">
        <v>57</v>
      </c>
      <c r="Q42" s="2" t="s">
        <v>57</v>
      </c>
      <c r="R42" s="2">
        <v>79.456571999999994</v>
      </c>
      <c r="S42" s="2" t="s">
        <v>57</v>
      </c>
      <c r="T42" s="2" t="s">
        <v>59</v>
      </c>
      <c r="U42" s="2" t="s">
        <v>57</v>
      </c>
      <c r="V42" s="2">
        <v>0.93186800000000003</v>
      </c>
      <c r="W42" s="2" t="s">
        <v>57</v>
      </c>
      <c r="X42" s="2" t="s">
        <v>57</v>
      </c>
      <c r="Y42" s="2" t="s">
        <v>57</v>
      </c>
      <c r="Z42" s="2" t="s">
        <v>57</v>
      </c>
      <c r="AA42" s="2" t="s">
        <v>57</v>
      </c>
      <c r="AB42" s="2" t="s">
        <v>57</v>
      </c>
      <c r="AC42" s="2" t="s">
        <v>57</v>
      </c>
      <c r="AD42" s="2" t="s">
        <v>57</v>
      </c>
      <c r="AE42" s="2" t="s">
        <v>57</v>
      </c>
      <c r="AF42" s="2" t="s">
        <v>57</v>
      </c>
      <c r="AG42" s="2" t="s">
        <v>57</v>
      </c>
      <c r="AH42" s="2" t="s">
        <v>57</v>
      </c>
      <c r="AI42" s="2" t="s">
        <v>57</v>
      </c>
      <c r="AJ42" s="2" t="s">
        <v>57</v>
      </c>
      <c r="AK42" s="2" t="s">
        <v>57</v>
      </c>
      <c r="AL42" s="2" t="s">
        <v>57</v>
      </c>
      <c r="AM42" s="2" t="s">
        <v>57</v>
      </c>
      <c r="AN42" s="2" t="s">
        <v>57</v>
      </c>
      <c r="AO42" s="2" t="s">
        <v>57</v>
      </c>
      <c r="AP42" s="2" t="s">
        <v>57</v>
      </c>
      <c r="AQ42" s="2" t="s">
        <v>57</v>
      </c>
      <c r="AR42" s="2" t="s">
        <v>57</v>
      </c>
      <c r="AS42" s="2" t="s">
        <v>57</v>
      </c>
      <c r="AT42" s="2" t="s">
        <v>57</v>
      </c>
      <c r="AU42" s="2" t="s">
        <v>57</v>
      </c>
      <c r="AV42" s="2" t="s">
        <v>57</v>
      </c>
      <c r="AW42" s="2" t="s">
        <v>94</v>
      </c>
      <c r="AX42" s="2">
        <v>5.3431249999999997</v>
      </c>
      <c r="AY42" s="2">
        <v>-1</v>
      </c>
      <c r="BA42" s="2">
        <v>-1</v>
      </c>
      <c r="BB42" s="2">
        <v>18775</v>
      </c>
      <c r="BC42" s="2">
        <v>5343125</v>
      </c>
    </row>
    <row r="43" spans="1:55" x14ac:dyDescent="0.6">
      <c r="A43" s="2">
        <v>25</v>
      </c>
      <c r="B43" s="2" t="s">
        <v>103</v>
      </c>
      <c r="C43" s="2" t="s">
        <v>55</v>
      </c>
      <c r="D43" s="2">
        <v>34</v>
      </c>
      <c r="E43" s="2">
        <v>55</v>
      </c>
      <c r="F43" s="2">
        <v>55</v>
      </c>
      <c r="G43" s="2">
        <v>2725</v>
      </c>
      <c r="H43" s="2">
        <v>2725</v>
      </c>
      <c r="I43" s="2" t="s">
        <v>57</v>
      </c>
      <c r="J43" s="2" t="s">
        <v>103</v>
      </c>
      <c r="K43" s="2" t="s">
        <v>57</v>
      </c>
      <c r="L43" s="2">
        <v>35.327927000000003</v>
      </c>
      <c r="M43" s="2" t="s">
        <v>58</v>
      </c>
      <c r="N43" s="2" t="s">
        <v>58</v>
      </c>
      <c r="O43" s="2" t="s">
        <v>57</v>
      </c>
      <c r="P43" s="2" t="s">
        <v>57</v>
      </c>
      <c r="Q43" s="2" t="s">
        <v>57</v>
      </c>
      <c r="R43" s="2">
        <v>70.134662000000006</v>
      </c>
      <c r="S43" s="2" t="s">
        <v>57</v>
      </c>
      <c r="T43" s="2" t="s">
        <v>59</v>
      </c>
      <c r="U43" s="2" t="s">
        <v>57</v>
      </c>
      <c r="V43" s="2">
        <v>1.037601</v>
      </c>
      <c r="W43" s="2" t="s">
        <v>57</v>
      </c>
      <c r="X43" s="2" t="s">
        <v>57</v>
      </c>
      <c r="Y43" s="2" t="s">
        <v>57</v>
      </c>
      <c r="Z43" s="2" t="s">
        <v>57</v>
      </c>
      <c r="AA43" s="2" t="s">
        <v>57</v>
      </c>
      <c r="AB43" s="2" t="s">
        <v>57</v>
      </c>
      <c r="AC43" s="2" t="s">
        <v>57</v>
      </c>
      <c r="AD43" s="2" t="s">
        <v>57</v>
      </c>
      <c r="AE43" s="2" t="s">
        <v>57</v>
      </c>
      <c r="AF43" s="2" t="s">
        <v>57</v>
      </c>
      <c r="AG43" s="2" t="s">
        <v>57</v>
      </c>
      <c r="AH43" s="2" t="s">
        <v>57</v>
      </c>
      <c r="AI43" s="2" t="s">
        <v>57</v>
      </c>
      <c r="AJ43" s="2" t="s">
        <v>57</v>
      </c>
      <c r="AK43" s="2" t="s">
        <v>57</v>
      </c>
      <c r="AL43" s="2" t="s">
        <v>57</v>
      </c>
      <c r="AM43" s="2" t="s">
        <v>57</v>
      </c>
      <c r="AN43" s="2" t="s">
        <v>57</v>
      </c>
      <c r="AO43" s="2" t="s">
        <v>57</v>
      </c>
      <c r="AP43" s="2" t="s">
        <v>57</v>
      </c>
      <c r="AQ43" s="2" t="s">
        <v>57</v>
      </c>
      <c r="AR43" s="2" t="s">
        <v>57</v>
      </c>
      <c r="AS43" s="2" t="s">
        <v>57</v>
      </c>
      <c r="AT43" s="2" t="s">
        <v>57</v>
      </c>
      <c r="AU43" s="2" t="s">
        <v>57</v>
      </c>
      <c r="AV43" s="2" t="s">
        <v>57</v>
      </c>
      <c r="AW43" s="2" t="s">
        <v>94</v>
      </c>
      <c r="AX43" s="2">
        <v>12.449063000000001</v>
      </c>
      <c r="AY43" s="2">
        <v>-1</v>
      </c>
      <c r="BA43" s="2">
        <v>-1</v>
      </c>
      <c r="BB43" s="2">
        <v>21850</v>
      </c>
      <c r="BC43" s="2">
        <v>12449062.5</v>
      </c>
    </row>
    <row r="44" spans="1:55" x14ac:dyDescent="0.6">
      <c r="A44" s="2">
        <v>26</v>
      </c>
      <c r="B44" s="2" t="s">
        <v>104</v>
      </c>
      <c r="C44" s="2" t="s">
        <v>55</v>
      </c>
      <c r="D44" s="2">
        <v>35</v>
      </c>
      <c r="E44" s="2">
        <v>56</v>
      </c>
      <c r="F44" s="2">
        <v>56</v>
      </c>
      <c r="G44" s="2">
        <v>2726</v>
      </c>
      <c r="H44" s="2">
        <v>2726</v>
      </c>
      <c r="I44" s="2" t="s">
        <v>57</v>
      </c>
      <c r="J44" s="2" t="s">
        <v>104</v>
      </c>
      <c r="K44" s="2" t="s">
        <v>57</v>
      </c>
      <c r="L44" s="2">
        <v>11.379713000000001</v>
      </c>
      <c r="M44" s="2" t="s">
        <v>58</v>
      </c>
      <c r="N44" s="2" t="s">
        <v>58</v>
      </c>
      <c r="O44" s="2" t="s">
        <v>57</v>
      </c>
      <c r="P44" s="2" t="s">
        <v>57</v>
      </c>
      <c r="Q44" s="2" t="s">
        <v>57</v>
      </c>
      <c r="R44" s="2">
        <v>82.074866</v>
      </c>
      <c r="S44" s="2" t="s">
        <v>57</v>
      </c>
      <c r="T44" s="2" t="s">
        <v>59</v>
      </c>
      <c r="U44" s="2" t="s">
        <v>57</v>
      </c>
      <c r="V44" s="2">
        <v>0.21055499999999999</v>
      </c>
      <c r="W44" s="2" t="s">
        <v>57</v>
      </c>
      <c r="X44" s="2" t="s">
        <v>57</v>
      </c>
      <c r="Y44" s="2" t="s">
        <v>57</v>
      </c>
      <c r="Z44" s="2" t="s">
        <v>57</v>
      </c>
      <c r="AA44" s="2" t="s">
        <v>57</v>
      </c>
      <c r="AB44" s="2" t="s">
        <v>57</v>
      </c>
      <c r="AC44" s="2" t="s">
        <v>57</v>
      </c>
      <c r="AD44" s="2" t="s">
        <v>57</v>
      </c>
      <c r="AE44" s="2" t="s">
        <v>57</v>
      </c>
      <c r="AF44" s="2" t="s">
        <v>57</v>
      </c>
      <c r="AG44" s="2" t="s">
        <v>57</v>
      </c>
      <c r="AH44" s="2" t="s">
        <v>57</v>
      </c>
      <c r="AI44" s="2" t="s">
        <v>57</v>
      </c>
      <c r="AJ44" s="2" t="s">
        <v>57</v>
      </c>
      <c r="AK44" s="2" t="s">
        <v>57</v>
      </c>
      <c r="AL44" s="2" t="s">
        <v>57</v>
      </c>
      <c r="AM44" s="2" t="s">
        <v>57</v>
      </c>
      <c r="AN44" s="2" t="s">
        <v>57</v>
      </c>
      <c r="AO44" s="2" t="s">
        <v>57</v>
      </c>
      <c r="AP44" s="2" t="s">
        <v>57</v>
      </c>
      <c r="AQ44" s="2" t="s">
        <v>57</v>
      </c>
      <c r="AR44" s="2" t="s">
        <v>57</v>
      </c>
      <c r="AS44" s="2" t="s">
        <v>57</v>
      </c>
      <c r="AT44" s="2" t="s">
        <v>57</v>
      </c>
      <c r="AU44" s="2" t="s">
        <v>57</v>
      </c>
      <c r="AV44" s="2" t="s">
        <v>57</v>
      </c>
      <c r="AW44" s="2" t="s">
        <v>94</v>
      </c>
      <c r="AX44" s="2">
        <v>0.14203099999999999</v>
      </c>
      <c r="AY44" s="2">
        <v>-1</v>
      </c>
      <c r="BA44" s="2">
        <v>-1</v>
      </c>
      <c r="BB44" s="2">
        <v>2725</v>
      </c>
      <c r="BC44" s="2">
        <v>142031.25</v>
      </c>
    </row>
    <row r="45" spans="1:55" x14ac:dyDescent="0.6">
      <c r="A45" s="2">
        <v>27</v>
      </c>
      <c r="B45" s="2" t="s">
        <v>105</v>
      </c>
      <c r="C45" s="2" t="s">
        <v>55</v>
      </c>
      <c r="D45" s="2">
        <v>36</v>
      </c>
      <c r="E45" s="2">
        <v>57</v>
      </c>
      <c r="F45" s="2">
        <v>57</v>
      </c>
      <c r="G45" s="2">
        <v>2727</v>
      </c>
      <c r="H45" s="2">
        <v>2727</v>
      </c>
      <c r="I45" s="2" t="s">
        <v>57</v>
      </c>
      <c r="J45" s="2" t="s">
        <v>105</v>
      </c>
      <c r="K45" s="2" t="s">
        <v>57</v>
      </c>
      <c r="L45" s="2">
        <v>8.5446109999999997</v>
      </c>
      <c r="M45" s="2" t="s">
        <v>58</v>
      </c>
      <c r="N45" s="2" t="s">
        <v>58</v>
      </c>
      <c r="O45" s="2" t="s">
        <v>57</v>
      </c>
      <c r="P45" s="2" t="s">
        <v>57</v>
      </c>
      <c r="Q45" s="2" t="s">
        <v>57</v>
      </c>
      <c r="R45" s="2">
        <v>71.069999999999993</v>
      </c>
      <c r="S45" s="2" t="s">
        <v>57</v>
      </c>
      <c r="T45" s="2" t="s">
        <v>59</v>
      </c>
      <c r="U45" s="2" t="s">
        <v>57</v>
      </c>
      <c r="V45" s="2">
        <v>1.9538359999999999</v>
      </c>
      <c r="W45" s="2" t="s">
        <v>57</v>
      </c>
      <c r="X45" s="2" t="s">
        <v>57</v>
      </c>
      <c r="Y45" s="2" t="s">
        <v>57</v>
      </c>
      <c r="Z45" s="2" t="s">
        <v>57</v>
      </c>
      <c r="AA45" s="2" t="s">
        <v>57</v>
      </c>
      <c r="AB45" s="2" t="s">
        <v>57</v>
      </c>
      <c r="AC45" s="2" t="s">
        <v>57</v>
      </c>
      <c r="AD45" s="2" t="s">
        <v>57</v>
      </c>
      <c r="AE45" s="2" t="s">
        <v>57</v>
      </c>
      <c r="AF45" s="2" t="s">
        <v>57</v>
      </c>
      <c r="AG45" s="2" t="s">
        <v>57</v>
      </c>
      <c r="AH45" s="2" t="s">
        <v>57</v>
      </c>
      <c r="AI45" s="2" t="s">
        <v>57</v>
      </c>
      <c r="AJ45" s="2" t="s">
        <v>57</v>
      </c>
      <c r="AK45" s="2" t="s">
        <v>57</v>
      </c>
      <c r="AL45" s="2" t="s">
        <v>57</v>
      </c>
      <c r="AM45" s="2" t="s">
        <v>57</v>
      </c>
      <c r="AN45" s="2" t="s">
        <v>57</v>
      </c>
      <c r="AO45" s="2" t="s">
        <v>57</v>
      </c>
      <c r="AP45" s="2" t="s">
        <v>57</v>
      </c>
      <c r="AQ45" s="2" t="s">
        <v>57</v>
      </c>
      <c r="AR45" s="2" t="s">
        <v>57</v>
      </c>
      <c r="AS45" s="2" t="s">
        <v>57</v>
      </c>
      <c r="AT45" s="2" t="s">
        <v>57</v>
      </c>
      <c r="AU45" s="2" t="s">
        <v>57</v>
      </c>
      <c r="AV45" s="2" t="s">
        <v>57</v>
      </c>
      <c r="AW45" s="2" t="s">
        <v>94</v>
      </c>
      <c r="AX45" s="2">
        <v>6.7904689999999999</v>
      </c>
      <c r="AY45" s="2">
        <v>-1</v>
      </c>
      <c r="BA45" s="2">
        <v>-1</v>
      </c>
      <c r="BB45" s="2">
        <v>21600</v>
      </c>
      <c r="BC45" s="2">
        <v>6790468.75</v>
      </c>
    </row>
    <row r="46" spans="1:55" x14ac:dyDescent="0.6">
      <c r="A46" s="2">
        <v>97</v>
      </c>
      <c r="B46" s="2" t="s">
        <v>106</v>
      </c>
      <c r="C46" s="2" t="s">
        <v>55</v>
      </c>
      <c r="D46" s="2">
        <v>113</v>
      </c>
      <c r="E46" s="2">
        <v>58</v>
      </c>
      <c r="F46" s="2">
        <v>58</v>
      </c>
      <c r="G46" s="2">
        <v>2728</v>
      </c>
      <c r="H46" s="2">
        <v>2728</v>
      </c>
      <c r="I46" s="2" t="s">
        <v>57</v>
      </c>
      <c r="J46" s="2" t="s">
        <v>106</v>
      </c>
      <c r="K46" s="2" t="s">
        <v>57</v>
      </c>
      <c r="L46" s="2">
        <v>57.538780000000003</v>
      </c>
      <c r="M46" s="2" t="s">
        <v>58</v>
      </c>
      <c r="N46" s="2" t="s">
        <v>58</v>
      </c>
      <c r="O46" s="2" t="s">
        <v>57</v>
      </c>
      <c r="P46" s="2" t="s">
        <v>57</v>
      </c>
      <c r="Q46" s="2" t="s">
        <v>57</v>
      </c>
      <c r="R46" s="2">
        <v>70</v>
      </c>
      <c r="S46" s="2" t="s">
        <v>57</v>
      </c>
      <c r="T46" s="2" t="s">
        <v>59</v>
      </c>
      <c r="U46" s="2" t="s">
        <v>57</v>
      </c>
      <c r="V46" s="2">
        <v>0.52676199999999995</v>
      </c>
      <c r="W46" s="2" t="s">
        <v>57</v>
      </c>
      <c r="X46" s="2" t="s">
        <v>57</v>
      </c>
      <c r="Y46" s="2" t="s">
        <v>57</v>
      </c>
      <c r="Z46" s="2" t="s">
        <v>57</v>
      </c>
      <c r="AA46" s="2" t="s">
        <v>57</v>
      </c>
      <c r="AB46" s="2" t="s">
        <v>57</v>
      </c>
      <c r="AC46" s="2" t="s">
        <v>57</v>
      </c>
      <c r="AD46" s="2" t="s">
        <v>57</v>
      </c>
      <c r="AE46" s="2" t="s">
        <v>57</v>
      </c>
      <c r="AF46" s="2" t="s">
        <v>57</v>
      </c>
      <c r="AG46" s="2" t="s">
        <v>57</v>
      </c>
      <c r="AH46" s="2" t="s">
        <v>57</v>
      </c>
      <c r="AI46" s="2" t="s">
        <v>57</v>
      </c>
      <c r="AJ46" s="2" t="s">
        <v>57</v>
      </c>
      <c r="AK46" s="2" t="s">
        <v>57</v>
      </c>
      <c r="AL46" s="2" t="s">
        <v>57</v>
      </c>
      <c r="AM46" s="2" t="s">
        <v>57</v>
      </c>
      <c r="AN46" s="2" t="s">
        <v>57</v>
      </c>
      <c r="AO46" s="2" t="s">
        <v>57</v>
      </c>
      <c r="AP46" s="2" t="s">
        <v>57</v>
      </c>
      <c r="AQ46" s="2" t="s">
        <v>57</v>
      </c>
      <c r="AR46" s="2" t="s">
        <v>57</v>
      </c>
      <c r="AS46" s="2" t="s">
        <v>57</v>
      </c>
      <c r="AT46" s="2" t="s">
        <v>57</v>
      </c>
      <c r="AU46" s="2" t="s">
        <v>57</v>
      </c>
      <c r="AV46" s="2" t="s">
        <v>57</v>
      </c>
      <c r="AW46" s="2" t="s">
        <v>60</v>
      </c>
      <c r="AX46" s="2">
        <v>4.6381249999999996</v>
      </c>
      <c r="AY46" s="2">
        <v>1</v>
      </c>
      <c r="AZ46" s="2" t="s">
        <v>61</v>
      </c>
      <c r="BA46" s="2">
        <v>-1</v>
      </c>
      <c r="BB46" s="2">
        <v>12725</v>
      </c>
      <c r="BC46" s="2">
        <v>4638125</v>
      </c>
    </row>
    <row r="47" spans="1:55" x14ac:dyDescent="0.6">
      <c r="A47" s="2">
        <v>28</v>
      </c>
      <c r="B47" s="2" t="s">
        <v>107</v>
      </c>
      <c r="C47" s="2" t="s">
        <v>55</v>
      </c>
      <c r="D47" s="2">
        <v>37</v>
      </c>
      <c r="E47" s="2">
        <v>59</v>
      </c>
      <c r="F47" s="2">
        <v>59</v>
      </c>
      <c r="G47" s="2">
        <v>2729</v>
      </c>
      <c r="H47" s="2">
        <v>2729</v>
      </c>
      <c r="I47" s="2" t="s">
        <v>57</v>
      </c>
      <c r="J47" s="2" t="s">
        <v>107</v>
      </c>
      <c r="K47" s="2" t="s">
        <v>57</v>
      </c>
      <c r="L47" s="2">
        <v>10.426360000000001</v>
      </c>
      <c r="M47" s="2" t="s">
        <v>58</v>
      </c>
      <c r="N47" s="2" t="s">
        <v>58</v>
      </c>
      <c r="O47" s="2" t="s">
        <v>57</v>
      </c>
      <c r="P47" s="2" t="s">
        <v>57</v>
      </c>
      <c r="Q47" s="2" t="s">
        <v>57</v>
      </c>
      <c r="R47" s="2">
        <v>62.767052999999997</v>
      </c>
      <c r="S47" s="2" t="s">
        <v>57</v>
      </c>
      <c r="T47" s="2" t="s">
        <v>59</v>
      </c>
      <c r="U47" s="2" t="s">
        <v>57</v>
      </c>
      <c r="V47" s="2">
        <v>2.0535329999999998</v>
      </c>
      <c r="W47" s="2" t="s">
        <v>57</v>
      </c>
      <c r="X47" s="2" t="s">
        <v>57</v>
      </c>
      <c r="Y47" s="2" t="s">
        <v>57</v>
      </c>
      <c r="Z47" s="2" t="s">
        <v>57</v>
      </c>
      <c r="AA47" s="2" t="s">
        <v>57</v>
      </c>
      <c r="AB47" s="2" t="s">
        <v>57</v>
      </c>
      <c r="AC47" s="2" t="s">
        <v>57</v>
      </c>
      <c r="AD47" s="2" t="s">
        <v>57</v>
      </c>
      <c r="AE47" s="2" t="s">
        <v>57</v>
      </c>
      <c r="AF47" s="2" t="s">
        <v>57</v>
      </c>
      <c r="AG47" s="2" t="s">
        <v>57</v>
      </c>
      <c r="AH47" s="2" t="s">
        <v>57</v>
      </c>
      <c r="AI47" s="2" t="s">
        <v>57</v>
      </c>
      <c r="AJ47" s="2" t="s">
        <v>57</v>
      </c>
      <c r="AK47" s="2" t="s">
        <v>57</v>
      </c>
      <c r="AL47" s="2" t="s">
        <v>57</v>
      </c>
      <c r="AM47" s="2" t="s">
        <v>57</v>
      </c>
      <c r="AN47" s="2" t="s">
        <v>57</v>
      </c>
      <c r="AO47" s="2" t="s">
        <v>57</v>
      </c>
      <c r="AP47" s="2" t="s">
        <v>57</v>
      </c>
      <c r="AQ47" s="2" t="s">
        <v>57</v>
      </c>
      <c r="AR47" s="2" t="s">
        <v>57</v>
      </c>
      <c r="AS47" s="2" t="s">
        <v>57</v>
      </c>
      <c r="AT47" s="2" t="s">
        <v>57</v>
      </c>
      <c r="AU47" s="2" t="s">
        <v>57</v>
      </c>
      <c r="AV47" s="2" t="s">
        <v>57</v>
      </c>
      <c r="AW47" s="2" t="s">
        <v>94</v>
      </c>
      <c r="AX47" s="2">
        <v>4.920312</v>
      </c>
      <c r="AY47" s="2">
        <v>-1</v>
      </c>
      <c r="BA47" s="2">
        <v>-1</v>
      </c>
      <c r="BB47" s="2">
        <v>20825</v>
      </c>
      <c r="BC47" s="2">
        <v>4920312.5</v>
      </c>
    </row>
    <row r="48" spans="1:55" x14ac:dyDescent="0.6">
      <c r="A48" s="2">
        <v>29</v>
      </c>
      <c r="B48" s="2" t="s">
        <v>108</v>
      </c>
      <c r="C48" s="2" t="s">
        <v>55</v>
      </c>
      <c r="D48" s="2">
        <v>38</v>
      </c>
      <c r="E48" s="2">
        <v>60</v>
      </c>
      <c r="F48" s="2">
        <v>60</v>
      </c>
      <c r="G48" s="2">
        <v>2730</v>
      </c>
      <c r="H48" s="2">
        <v>2730</v>
      </c>
      <c r="I48" s="2" t="s">
        <v>57</v>
      </c>
      <c r="J48" s="2" t="s">
        <v>108</v>
      </c>
      <c r="K48" s="2" t="s">
        <v>57</v>
      </c>
      <c r="L48" s="2">
        <v>6.9536410000000002</v>
      </c>
      <c r="M48" s="2" t="s">
        <v>58</v>
      </c>
      <c r="N48" s="2" t="s">
        <v>58</v>
      </c>
      <c r="O48" s="2" t="s">
        <v>57</v>
      </c>
      <c r="P48" s="2" t="s">
        <v>57</v>
      </c>
      <c r="Q48" s="2" t="s">
        <v>57</v>
      </c>
      <c r="R48" s="2">
        <v>70.272814999999994</v>
      </c>
      <c r="S48" s="2" t="s">
        <v>57</v>
      </c>
      <c r="T48" s="2" t="s">
        <v>59</v>
      </c>
      <c r="U48" s="2" t="s">
        <v>57</v>
      </c>
      <c r="V48" s="2">
        <v>2.5127199999999998</v>
      </c>
      <c r="W48" s="2" t="s">
        <v>57</v>
      </c>
      <c r="X48" s="2" t="s">
        <v>57</v>
      </c>
      <c r="Y48" s="2" t="s">
        <v>57</v>
      </c>
      <c r="Z48" s="2" t="s">
        <v>57</v>
      </c>
      <c r="AA48" s="2" t="s">
        <v>57</v>
      </c>
      <c r="AB48" s="2" t="s">
        <v>57</v>
      </c>
      <c r="AC48" s="2" t="s">
        <v>57</v>
      </c>
      <c r="AD48" s="2" t="s">
        <v>57</v>
      </c>
      <c r="AE48" s="2" t="s">
        <v>57</v>
      </c>
      <c r="AF48" s="2" t="s">
        <v>57</v>
      </c>
      <c r="AG48" s="2" t="s">
        <v>57</v>
      </c>
      <c r="AH48" s="2" t="s">
        <v>57</v>
      </c>
      <c r="AI48" s="2" t="s">
        <v>57</v>
      </c>
      <c r="AJ48" s="2" t="s">
        <v>57</v>
      </c>
      <c r="AK48" s="2" t="s">
        <v>57</v>
      </c>
      <c r="AL48" s="2" t="s">
        <v>57</v>
      </c>
      <c r="AM48" s="2" t="s">
        <v>57</v>
      </c>
      <c r="AN48" s="2" t="s">
        <v>57</v>
      </c>
      <c r="AO48" s="2" t="s">
        <v>57</v>
      </c>
      <c r="AP48" s="2" t="s">
        <v>57</v>
      </c>
      <c r="AQ48" s="2" t="s">
        <v>57</v>
      </c>
      <c r="AR48" s="2" t="s">
        <v>57</v>
      </c>
      <c r="AS48" s="2" t="s">
        <v>57</v>
      </c>
      <c r="AT48" s="2" t="s">
        <v>57</v>
      </c>
      <c r="AU48" s="2" t="s">
        <v>57</v>
      </c>
      <c r="AV48" s="2" t="s">
        <v>57</v>
      </c>
      <c r="AW48" s="2" t="s">
        <v>94</v>
      </c>
      <c r="AX48" s="2">
        <v>7.9337499999999999</v>
      </c>
      <c r="AY48" s="2">
        <v>-1</v>
      </c>
      <c r="BA48" s="2">
        <v>-1</v>
      </c>
      <c r="BB48" s="2">
        <v>27150</v>
      </c>
      <c r="BC48" s="2">
        <v>7933750</v>
      </c>
    </row>
    <row r="49" spans="1:55" x14ac:dyDescent="0.6">
      <c r="A49" s="2">
        <v>30</v>
      </c>
      <c r="B49" s="2" t="s">
        <v>109</v>
      </c>
      <c r="C49" s="2" t="s">
        <v>55</v>
      </c>
      <c r="D49" s="2">
        <v>39</v>
      </c>
      <c r="E49" s="2">
        <v>61</v>
      </c>
      <c r="F49" s="2">
        <v>61</v>
      </c>
      <c r="G49" s="2">
        <v>2731</v>
      </c>
      <c r="H49" s="2">
        <v>2731</v>
      </c>
      <c r="I49" s="2" t="s">
        <v>57</v>
      </c>
      <c r="J49" s="2" t="s">
        <v>109</v>
      </c>
      <c r="K49" s="2" t="s">
        <v>57</v>
      </c>
      <c r="L49" s="2">
        <v>9.0852350000000008</v>
      </c>
      <c r="M49" s="2" t="s">
        <v>58</v>
      </c>
      <c r="N49" s="2" t="s">
        <v>58</v>
      </c>
      <c r="O49" s="2" t="s">
        <v>57</v>
      </c>
      <c r="P49" s="2" t="s">
        <v>57</v>
      </c>
      <c r="Q49" s="2" t="s">
        <v>57</v>
      </c>
      <c r="R49" s="2">
        <v>71.069999999999993</v>
      </c>
      <c r="S49" s="2" t="s">
        <v>57</v>
      </c>
      <c r="T49" s="2" t="s">
        <v>59</v>
      </c>
      <c r="U49" s="2" t="s">
        <v>57</v>
      </c>
      <c r="V49" s="2">
        <v>1.9822040000000001</v>
      </c>
      <c r="W49" s="2" t="s">
        <v>57</v>
      </c>
      <c r="X49" s="2" t="s">
        <v>57</v>
      </c>
      <c r="Y49" s="2" t="s">
        <v>57</v>
      </c>
      <c r="Z49" s="2" t="s">
        <v>57</v>
      </c>
      <c r="AA49" s="2" t="s">
        <v>57</v>
      </c>
      <c r="AB49" s="2" t="s">
        <v>57</v>
      </c>
      <c r="AC49" s="2" t="s">
        <v>57</v>
      </c>
      <c r="AD49" s="2" t="s">
        <v>57</v>
      </c>
      <c r="AE49" s="2" t="s">
        <v>57</v>
      </c>
      <c r="AF49" s="2" t="s">
        <v>57</v>
      </c>
      <c r="AG49" s="2" t="s">
        <v>57</v>
      </c>
      <c r="AH49" s="2" t="s">
        <v>57</v>
      </c>
      <c r="AI49" s="2" t="s">
        <v>57</v>
      </c>
      <c r="AJ49" s="2" t="s">
        <v>57</v>
      </c>
      <c r="AK49" s="2" t="s">
        <v>57</v>
      </c>
      <c r="AL49" s="2" t="s">
        <v>57</v>
      </c>
      <c r="AM49" s="2" t="s">
        <v>57</v>
      </c>
      <c r="AN49" s="2" t="s">
        <v>57</v>
      </c>
      <c r="AO49" s="2" t="s">
        <v>57</v>
      </c>
      <c r="AP49" s="2" t="s">
        <v>57</v>
      </c>
      <c r="AQ49" s="2" t="s">
        <v>57</v>
      </c>
      <c r="AR49" s="2" t="s">
        <v>57</v>
      </c>
      <c r="AS49" s="2" t="s">
        <v>57</v>
      </c>
      <c r="AT49" s="2" t="s">
        <v>57</v>
      </c>
      <c r="AU49" s="2" t="s">
        <v>57</v>
      </c>
      <c r="AV49" s="2" t="s">
        <v>57</v>
      </c>
      <c r="AW49" s="2" t="s">
        <v>94</v>
      </c>
      <c r="AX49" s="2">
        <v>5.2042190000000002</v>
      </c>
      <c r="AY49" s="2">
        <v>-1</v>
      </c>
      <c r="BA49" s="2">
        <v>-1</v>
      </c>
      <c r="BB49" s="2">
        <v>22250</v>
      </c>
      <c r="BC49" s="2">
        <v>5204218.75</v>
      </c>
    </row>
    <row r="50" spans="1:55" x14ac:dyDescent="0.6">
      <c r="A50" s="2">
        <v>98</v>
      </c>
      <c r="B50" s="2" t="s">
        <v>110</v>
      </c>
      <c r="C50" s="2" t="s">
        <v>55</v>
      </c>
      <c r="D50" s="2">
        <v>114</v>
      </c>
      <c r="E50" s="2">
        <v>62</v>
      </c>
      <c r="F50" s="2">
        <v>62</v>
      </c>
      <c r="G50" s="2">
        <v>2732</v>
      </c>
      <c r="H50" s="2">
        <v>2732</v>
      </c>
      <c r="I50" s="2" t="s">
        <v>57</v>
      </c>
      <c r="J50" s="2" t="s">
        <v>110</v>
      </c>
      <c r="K50" s="2" t="s">
        <v>57</v>
      </c>
      <c r="L50" s="2">
        <v>67.912239</v>
      </c>
      <c r="M50" s="2" t="s">
        <v>58</v>
      </c>
      <c r="N50" s="2" t="s">
        <v>58</v>
      </c>
      <c r="O50" s="2" t="s">
        <v>57</v>
      </c>
      <c r="P50" s="2" t="s">
        <v>57</v>
      </c>
      <c r="Q50" s="2" t="s">
        <v>57</v>
      </c>
      <c r="R50" s="2">
        <v>70</v>
      </c>
      <c r="S50" s="2" t="s">
        <v>57</v>
      </c>
      <c r="T50" s="2" t="s">
        <v>59</v>
      </c>
      <c r="U50" s="2" t="s">
        <v>57</v>
      </c>
      <c r="V50" s="2">
        <v>0.20016</v>
      </c>
      <c r="W50" s="2" t="s">
        <v>57</v>
      </c>
      <c r="X50" s="2" t="s">
        <v>57</v>
      </c>
      <c r="Y50" s="2" t="s">
        <v>57</v>
      </c>
      <c r="Z50" s="2" t="s">
        <v>57</v>
      </c>
      <c r="AA50" s="2" t="s">
        <v>57</v>
      </c>
      <c r="AB50" s="2" t="s">
        <v>57</v>
      </c>
      <c r="AC50" s="2" t="s">
        <v>57</v>
      </c>
      <c r="AD50" s="2" t="s">
        <v>57</v>
      </c>
      <c r="AE50" s="2" t="s">
        <v>57</v>
      </c>
      <c r="AF50" s="2" t="s">
        <v>57</v>
      </c>
      <c r="AG50" s="2" t="s">
        <v>57</v>
      </c>
      <c r="AH50" s="2" t="s">
        <v>57</v>
      </c>
      <c r="AI50" s="2" t="s">
        <v>57</v>
      </c>
      <c r="AJ50" s="2" t="s">
        <v>57</v>
      </c>
      <c r="AK50" s="2" t="s">
        <v>57</v>
      </c>
      <c r="AL50" s="2" t="s">
        <v>57</v>
      </c>
      <c r="AM50" s="2" t="s">
        <v>57</v>
      </c>
      <c r="AN50" s="2" t="s">
        <v>57</v>
      </c>
      <c r="AO50" s="2" t="s">
        <v>57</v>
      </c>
      <c r="AP50" s="2" t="s">
        <v>57</v>
      </c>
      <c r="AQ50" s="2" t="s">
        <v>57</v>
      </c>
      <c r="AR50" s="2" t="s">
        <v>57</v>
      </c>
      <c r="AS50" s="2" t="s">
        <v>57</v>
      </c>
      <c r="AT50" s="2" t="s">
        <v>57</v>
      </c>
      <c r="AU50" s="2" t="s">
        <v>57</v>
      </c>
      <c r="AV50" s="2" t="s">
        <v>57</v>
      </c>
      <c r="AW50" s="2" t="s">
        <v>60</v>
      </c>
      <c r="AX50" s="2">
        <v>0.76749999999999996</v>
      </c>
      <c r="AY50" s="2">
        <v>1</v>
      </c>
      <c r="AZ50" s="2" t="s">
        <v>61</v>
      </c>
      <c r="BA50" s="2">
        <v>-1</v>
      </c>
      <c r="BB50" s="2">
        <v>5425</v>
      </c>
      <c r="BC50" s="2">
        <v>767500</v>
      </c>
    </row>
    <row r="51" spans="1:55" x14ac:dyDescent="0.6">
      <c r="A51" s="2">
        <v>99</v>
      </c>
      <c r="B51" s="2" t="s">
        <v>111</v>
      </c>
      <c r="C51" s="2" t="s">
        <v>55</v>
      </c>
      <c r="D51" s="2">
        <v>115</v>
      </c>
      <c r="E51" s="2">
        <v>63</v>
      </c>
      <c r="F51" s="2">
        <v>63</v>
      </c>
      <c r="G51" s="2">
        <v>2733</v>
      </c>
      <c r="H51" s="2">
        <v>2733</v>
      </c>
      <c r="I51" s="2" t="s">
        <v>57</v>
      </c>
      <c r="J51" s="2" t="s">
        <v>111</v>
      </c>
      <c r="K51" s="2" t="s">
        <v>57</v>
      </c>
      <c r="L51" s="2">
        <v>53.987476000000001</v>
      </c>
      <c r="M51" s="2" t="s">
        <v>58</v>
      </c>
      <c r="N51" s="2" t="s">
        <v>58</v>
      </c>
      <c r="O51" s="2" t="s">
        <v>57</v>
      </c>
      <c r="P51" s="2" t="s">
        <v>57</v>
      </c>
      <c r="Q51" s="2" t="s">
        <v>57</v>
      </c>
      <c r="R51" s="2">
        <v>70</v>
      </c>
      <c r="S51" s="2" t="s">
        <v>57</v>
      </c>
      <c r="T51" s="2" t="s">
        <v>59</v>
      </c>
      <c r="U51" s="2" t="s">
        <v>57</v>
      </c>
      <c r="V51" s="2">
        <v>0.84589000000000003</v>
      </c>
      <c r="W51" s="2" t="s">
        <v>57</v>
      </c>
      <c r="X51" s="2" t="s">
        <v>57</v>
      </c>
      <c r="Y51" s="2" t="s">
        <v>57</v>
      </c>
      <c r="Z51" s="2" t="s">
        <v>57</v>
      </c>
      <c r="AA51" s="2" t="s">
        <v>57</v>
      </c>
      <c r="AB51" s="2" t="s">
        <v>57</v>
      </c>
      <c r="AC51" s="2" t="s">
        <v>57</v>
      </c>
      <c r="AD51" s="2" t="s">
        <v>57</v>
      </c>
      <c r="AE51" s="2" t="s">
        <v>57</v>
      </c>
      <c r="AF51" s="2" t="s">
        <v>57</v>
      </c>
      <c r="AG51" s="2" t="s">
        <v>57</v>
      </c>
      <c r="AH51" s="2" t="s">
        <v>57</v>
      </c>
      <c r="AI51" s="2" t="s">
        <v>57</v>
      </c>
      <c r="AJ51" s="2" t="s">
        <v>57</v>
      </c>
      <c r="AK51" s="2" t="s">
        <v>57</v>
      </c>
      <c r="AL51" s="2" t="s">
        <v>57</v>
      </c>
      <c r="AM51" s="2" t="s">
        <v>57</v>
      </c>
      <c r="AN51" s="2" t="s">
        <v>57</v>
      </c>
      <c r="AO51" s="2" t="s">
        <v>57</v>
      </c>
      <c r="AP51" s="2" t="s">
        <v>57</v>
      </c>
      <c r="AQ51" s="2" t="s">
        <v>57</v>
      </c>
      <c r="AR51" s="2" t="s">
        <v>57</v>
      </c>
      <c r="AS51" s="2" t="s">
        <v>57</v>
      </c>
      <c r="AT51" s="2" t="s">
        <v>57</v>
      </c>
      <c r="AU51" s="2" t="s">
        <v>57</v>
      </c>
      <c r="AV51" s="2" t="s">
        <v>57</v>
      </c>
      <c r="AW51" s="2" t="s">
        <v>60</v>
      </c>
      <c r="AX51" s="2">
        <v>11.189219</v>
      </c>
      <c r="AY51" s="2">
        <v>1</v>
      </c>
      <c r="AZ51" s="2" t="s">
        <v>61</v>
      </c>
      <c r="BA51" s="2">
        <v>-1</v>
      </c>
      <c r="BB51" s="2">
        <v>20375</v>
      </c>
      <c r="BC51" s="2">
        <v>11189218.75</v>
      </c>
    </row>
    <row r="52" spans="1:55" x14ac:dyDescent="0.6">
      <c r="A52" s="2">
        <v>100</v>
      </c>
      <c r="B52" s="2" t="s">
        <v>112</v>
      </c>
      <c r="C52" s="2" t="s">
        <v>55</v>
      </c>
      <c r="D52" s="2">
        <v>116</v>
      </c>
      <c r="E52" s="2">
        <v>64</v>
      </c>
      <c r="F52" s="2">
        <v>64</v>
      </c>
      <c r="G52" s="2">
        <v>2734</v>
      </c>
      <c r="H52" s="2">
        <v>2734</v>
      </c>
      <c r="I52" s="2" t="s">
        <v>57</v>
      </c>
      <c r="J52" s="2" t="s">
        <v>112</v>
      </c>
      <c r="K52" s="2" t="s">
        <v>57</v>
      </c>
      <c r="L52" s="2">
        <v>70.247658000000001</v>
      </c>
      <c r="M52" s="2" t="s">
        <v>58</v>
      </c>
      <c r="N52" s="2" t="s">
        <v>58</v>
      </c>
      <c r="O52" s="2" t="s">
        <v>57</v>
      </c>
      <c r="P52" s="2" t="s">
        <v>57</v>
      </c>
      <c r="Q52" s="2" t="s">
        <v>57</v>
      </c>
      <c r="R52" s="2">
        <v>70</v>
      </c>
      <c r="S52" s="2" t="s">
        <v>57</v>
      </c>
      <c r="T52" s="2" t="s">
        <v>59</v>
      </c>
      <c r="U52" s="2" t="s">
        <v>57</v>
      </c>
      <c r="V52" s="2">
        <v>0.177976</v>
      </c>
      <c r="W52" s="2" t="s">
        <v>57</v>
      </c>
      <c r="X52" s="2" t="s">
        <v>57</v>
      </c>
      <c r="Y52" s="2" t="s">
        <v>57</v>
      </c>
      <c r="Z52" s="2" t="s">
        <v>57</v>
      </c>
      <c r="AA52" s="2" t="s">
        <v>57</v>
      </c>
      <c r="AB52" s="2" t="s">
        <v>57</v>
      </c>
      <c r="AC52" s="2" t="s">
        <v>57</v>
      </c>
      <c r="AD52" s="2" t="s">
        <v>57</v>
      </c>
      <c r="AE52" s="2" t="s">
        <v>57</v>
      </c>
      <c r="AF52" s="2" t="s">
        <v>57</v>
      </c>
      <c r="AG52" s="2" t="s">
        <v>57</v>
      </c>
      <c r="AH52" s="2" t="s">
        <v>57</v>
      </c>
      <c r="AI52" s="2" t="s">
        <v>57</v>
      </c>
      <c r="AJ52" s="2" t="s">
        <v>57</v>
      </c>
      <c r="AK52" s="2" t="s">
        <v>57</v>
      </c>
      <c r="AL52" s="2" t="s">
        <v>57</v>
      </c>
      <c r="AM52" s="2" t="s">
        <v>57</v>
      </c>
      <c r="AN52" s="2" t="s">
        <v>57</v>
      </c>
      <c r="AO52" s="2" t="s">
        <v>57</v>
      </c>
      <c r="AP52" s="2" t="s">
        <v>57</v>
      </c>
      <c r="AQ52" s="2" t="s">
        <v>57</v>
      </c>
      <c r="AR52" s="2" t="s">
        <v>57</v>
      </c>
      <c r="AS52" s="2" t="s">
        <v>57</v>
      </c>
      <c r="AT52" s="2" t="s">
        <v>57</v>
      </c>
      <c r="AU52" s="2" t="s">
        <v>57</v>
      </c>
      <c r="AV52" s="2" t="s">
        <v>57</v>
      </c>
      <c r="AW52" s="2" t="s">
        <v>60</v>
      </c>
      <c r="AX52" s="2">
        <v>0.45124999999999998</v>
      </c>
      <c r="AY52" s="2">
        <v>1</v>
      </c>
      <c r="AZ52" s="2" t="s">
        <v>61</v>
      </c>
      <c r="BA52" s="2">
        <v>-1</v>
      </c>
      <c r="BB52" s="2">
        <v>3975</v>
      </c>
      <c r="BC52" s="2">
        <v>451250</v>
      </c>
    </row>
    <row r="53" spans="1:55" x14ac:dyDescent="0.6">
      <c r="A53" s="2">
        <v>101</v>
      </c>
      <c r="B53" s="2" t="s">
        <v>113</v>
      </c>
      <c r="C53" s="2" t="s">
        <v>55</v>
      </c>
      <c r="D53" s="2">
        <v>117</v>
      </c>
      <c r="E53" s="2">
        <v>65</v>
      </c>
      <c r="F53" s="2">
        <v>65</v>
      </c>
      <c r="G53" s="2">
        <v>2735</v>
      </c>
      <c r="H53" s="2">
        <v>2735</v>
      </c>
      <c r="I53" s="2" t="s">
        <v>57</v>
      </c>
      <c r="J53" s="2" t="s">
        <v>113</v>
      </c>
      <c r="K53" s="2" t="s">
        <v>57</v>
      </c>
      <c r="L53" s="2">
        <v>66.824280000000002</v>
      </c>
      <c r="M53" s="2" t="s">
        <v>58</v>
      </c>
      <c r="N53" s="2" t="s">
        <v>58</v>
      </c>
      <c r="O53" s="2" t="s">
        <v>57</v>
      </c>
      <c r="P53" s="2" t="s">
        <v>57</v>
      </c>
      <c r="Q53" s="2" t="s">
        <v>57</v>
      </c>
      <c r="R53" s="2">
        <v>70</v>
      </c>
      <c r="S53" s="2" t="s">
        <v>57</v>
      </c>
      <c r="T53" s="2" t="s">
        <v>59</v>
      </c>
      <c r="U53" s="2" t="s">
        <v>57</v>
      </c>
      <c r="V53" s="2">
        <v>0.20510999999999999</v>
      </c>
      <c r="W53" s="2" t="s">
        <v>57</v>
      </c>
      <c r="X53" s="2" t="s">
        <v>57</v>
      </c>
      <c r="Y53" s="2" t="s">
        <v>57</v>
      </c>
      <c r="Z53" s="2" t="s">
        <v>57</v>
      </c>
      <c r="AA53" s="2" t="s">
        <v>57</v>
      </c>
      <c r="AB53" s="2" t="s">
        <v>57</v>
      </c>
      <c r="AC53" s="2" t="s">
        <v>57</v>
      </c>
      <c r="AD53" s="2" t="s">
        <v>57</v>
      </c>
      <c r="AE53" s="2" t="s">
        <v>57</v>
      </c>
      <c r="AF53" s="2" t="s">
        <v>57</v>
      </c>
      <c r="AG53" s="2" t="s">
        <v>57</v>
      </c>
      <c r="AH53" s="2" t="s">
        <v>57</v>
      </c>
      <c r="AI53" s="2" t="s">
        <v>57</v>
      </c>
      <c r="AJ53" s="2" t="s">
        <v>57</v>
      </c>
      <c r="AK53" s="2" t="s">
        <v>57</v>
      </c>
      <c r="AL53" s="2" t="s">
        <v>57</v>
      </c>
      <c r="AM53" s="2" t="s">
        <v>57</v>
      </c>
      <c r="AN53" s="2" t="s">
        <v>57</v>
      </c>
      <c r="AO53" s="2" t="s">
        <v>57</v>
      </c>
      <c r="AP53" s="2" t="s">
        <v>57</v>
      </c>
      <c r="AQ53" s="2" t="s">
        <v>57</v>
      </c>
      <c r="AR53" s="2" t="s">
        <v>57</v>
      </c>
      <c r="AS53" s="2" t="s">
        <v>57</v>
      </c>
      <c r="AT53" s="2" t="s">
        <v>57</v>
      </c>
      <c r="AU53" s="2" t="s">
        <v>57</v>
      </c>
      <c r="AV53" s="2" t="s">
        <v>57</v>
      </c>
      <c r="AW53" s="2" t="s">
        <v>60</v>
      </c>
      <c r="AX53" s="2">
        <v>0.71625000000000005</v>
      </c>
      <c r="AY53" s="2">
        <v>1</v>
      </c>
      <c r="AZ53" s="2" t="s">
        <v>61</v>
      </c>
      <c r="BA53" s="2">
        <v>-1</v>
      </c>
      <c r="BB53" s="2">
        <v>4500</v>
      </c>
      <c r="BC53" s="2">
        <v>716250</v>
      </c>
    </row>
    <row r="54" spans="1:55" x14ac:dyDescent="0.6">
      <c r="A54" s="2">
        <v>102</v>
      </c>
      <c r="B54" s="2" t="s">
        <v>114</v>
      </c>
      <c r="C54" s="2" t="s">
        <v>55</v>
      </c>
      <c r="D54" s="2">
        <v>118</v>
      </c>
      <c r="E54" s="2">
        <v>66</v>
      </c>
      <c r="F54" s="2">
        <v>66</v>
      </c>
      <c r="G54" s="2">
        <v>2736</v>
      </c>
      <c r="H54" s="2">
        <v>2736</v>
      </c>
      <c r="I54" s="2" t="s">
        <v>57</v>
      </c>
      <c r="J54" s="2" t="s">
        <v>114</v>
      </c>
      <c r="K54" s="2" t="s">
        <v>57</v>
      </c>
      <c r="L54" s="2">
        <v>70.323807000000002</v>
      </c>
      <c r="M54" s="2" t="s">
        <v>58</v>
      </c>
      <c r="N54" s="2" t="s">
        <v>58</v>
      </c>
      <c r="O54" s="2" t="s">
        <v>57</v>
      </c>
      <c r="P54" s="2" t="s">
        <v>57</v>
      </c>
      <c r="Q54" s="2" t="s">
        <v>57</v>
      </c>
      <c r="R54" s="2">
        <v>70</v>
      </c>
      <c r="S54" s="2" t="s">
        <v>57</v>
      </c>
      <c r="T54" s="2" t="s">
        <v>59</v>
      </c>
      <c r="U54" s="2" t="s">
        <v>57</v>
      </c>
      <c r="V54" s="2">
        <v>0.79775600000000002</v>
      </c>
      <c r="W54" s="2" t="s">
        <v>57</v>
      </c>
      <c r="X54" s="2" t="s">
        <v>57</v>
      </c>
      <c r="Y54" s="2" t="s">
        <v>57</v>
      </c>
      <c r="Z54" s="2" t="s">
        <v>57</v>
      </c>
      <c r="AA54" s="2" t="s">
        <v>57</v>
      </c>
      <c r="AB54" s="2" t="s">
        <v>57</v>
      </c>
      <c r="AC54" s="2" t="s">
        <v>57</v>
      </c>
      <c r="AD54" s="2" t="s">
        <v>57</v>
      </c>
      <c r="AE54" s="2" t="s">
        <v>57</v>
      </c>
      <c r="AF54" s="2" t="s">
        <v>57</v>
      </c>
      <c r="AG54" s="2" t="s">
        <v>57</v>
      </c>
      <c r="AH54" s="2" t="s">
        <v>57</v>
      </c>
      <c r="AI54" s="2" t="s">
        <v>57</v>
      </c>
      <c r="AJ54" s="2" t="s">
        <v>57</v>
      </c>
      <c r="AK54" s="2" t="s">
        <v>57</v>
      </c>
      <c r="AL54" s="2" t="s">
        <v>57</v>
      </c>
      <c r="AM54" s="2" t="s">
        <v>57</v>
      </c>
      <c r="AN54" s="2" t="s">
        <v>57</v>
      </c>
      <c r="AO54" s="2" t="s">
        <v>57</v>
      </c>
      <c r="AP54" s="2" t="s">
        <v>57</v>
      </c>
      <c r="AQ54" s="2" t="s">
        <v>57</v>
      </c>
      <c r="AR54" s="2" t="s">
        <v>57</v>
      </c>
      <c r="AS54" s="2" t="s">
        <v>57</v>
      </c>
      <c r="AT54" s="2" t="s">
        <v>57</v>
      </c>
      <c r="AU54" s="2" t="s">
        <v>57</v>
      </c>
      <c r="AV54" s="2" t="s">
        <v>57</v>
      </c>
      <c r="AW54" s="2" t="s">
        <v>60</v>
      </c>
      <c r="AX54" s="2">
        <v>20.246874999999999</v>
      </c>
      <c r="AY54" s="2">
        <v>1</v>
      </c>
      <c r="AZ54" s="2" t="s">
        <v>61</v>
      </c>
      <c r="BA54" s="2">
        <v>-1</v>
      </c>
      <c r="BB54" s="2">
        <v>29100</v>
      </c>
      <c r="BC54" s="2">
        <v>20246875</v>
      </c>
    </row>
    <row r="55" spans="1:55" x14ac:dyDescent="0.6">
      <c r="A55" s="2">
        <v>31</v>
      </c>
      <c r="B55" s="2" t="s">
        <v>115</v>
      </c>
      <c r="C55" s="2" t="s">
        <v>55</v>
      </c>
      <c r="D55" s="2">
        <v>40</v>
      </c>
      <c r="E55" s="2">
        <v>67</v>
      </c>
      <c r="F55" s="2">
        <v>67</v>
      </c>
      <c r="G55" s="2">
        <v>2737</v>
      </c>
      <c r="H55" s="2">
        <v>2737</v>
      </c>
      <c r="I55" s="2" t="s">
        <v>57</v>
      </c>
      <c r="J55" s="2" t="s">
        <v>115</v>
      </c>
      <c r="K55" s="2" t="s">
        <v>57</v>
      </c>
      <c r="L55" s="2">
        <v>10.635876</v>
      </c>
      <c r="M55" s="2" t="s">
        <v>58</v>
      </c>
      <c r="N55" s="2" t="s">
        <v>58</v>
      </c>
      <c r="O55" s="2" t="s">
        <v>57</v>
      </c>
      <c r="P55" s="2" t="s">
        <v>57</v>
      </c>
      <c r="Q55" s="2" t="s">
        <v>57</v>
      </c>
      <c r="R55" s="2">
        <v>71.069999999999993</v>
      </c>
      <c r="S55" s="2" t="s">
        <v>57</v>
      </c>
      <c r="T55" s="2" t="s">
        <v>59</v>
      </c>
      <c r="U55" s="2" t="s">
        <v>57</v>
      </c>
      <c r="V55" s="2">
        <v>0.51414800000000005</v>
      </c>
      <c r="W55" s="2" t="s">
        <v>57</v>
      </c>
      <c r="X55" s="2" t="s">
        <v>57</v>
      </c>
      <c r="Y55" s="2" t="s">
        <v>57</v>
      </c>
      <c r="Z55" s="2" t="s">
        <v>57</v>
      </c>
      <c r="AA55" s="2" t="s">
        <v>57</v>
      </c>
      <c r="AB55" s="2" t="s">
        <v>57</v>
      </c>
      <c r="AC55" s="2" t="s">
        <v>57</v>
      </c>
      <c r="AD55" s="2" t="s">
        <v>57</v>
      </c>
      <c r="AE55" s="2" t="s">
        <v>57</v>
      </c>
      <c r="AF55" s="2" t="s">
        <v>57</v>
      </c>
      <c r="AG55" s="2" t="s">
        <v>57</v>
      </c>
      <c r="AH55" s="2" t="s">
        <v>57</v>
      </c>
      <c r="AI55" s="2" t="s">
        <v>57</v>
      </c>
      <c r="AJ55" s="2" t="s">
        <v>57</v>
      </c>
      <c r="AK55" s="2" t="s">
        <v>57</v>
      </c>
      <c r="AL55" s="2" t="s">
        <v>57</v>
      </c>
      <c r="AM55" s="2" t="s">
        <v>57</v>
      </c>
      <c r="AN55" s="2" t="s">
        <v>57</v>
      </c>
      <c r="AO55" s="2" t="s">
        <v>57</v>
      </c>
      <c r="AP55" s="2" t="s">
        <v>57</v>
      </c>
      <c r="AQ55" s="2" t="s">
        <v>57</v>
      </c>
      <c r="AR55" s="2" t="s">
        <v>57</v>
      </c>
      <c r="AS55" s="2" t="s">
        <v>57</v>
      </c>
      <c r="AT55" s="2" t="s">
        <v>57</v>
      </c>
      <c r="AU55" s="2" t="s">
        <v>57</v>
      </c>
      <c r="AV55" s="2" t="s">
        <v>57</v>
      </c>
      <c r="AW55" s="2" t="s">
        <v>94</v>
      </c>
      <c r="AX55" s="2">
        <v>0.416875</v>
      </c>
      <c r="AY55" s="2">
        <v>-1</v>
      </c>
      <c r="BA55" s="2">
        <v>-1</v>
      </c>
      <c r="BB55" s="2">
        <v>4150</v>
      </c>
      <c r="BC55" s="2">
        <v>416875</v>
      </c>
    </row>
    <row r="56" spans="1:55" x14ac:dyDescent="0.6">
      <c r="A56" s="2">
        <v>32</v>
      </c>
      <c r="B56" s="2" t="s">
        <v>116</v>
      </c>
      <c r="C56" s="2" t="s">
        <v>55</v>
      </c>
      <c r="D56" s="2">
        <v>41</v>
      </c>
      <c r="E56" s="2">
        <v>68</v>
      </c>
      <c r="F56" s="2">
        <v>68</v>
      </c>
      <c r="G56" s="2">
        <v>2738</v>
      </c>
      <c r="H56" s="2">
        <v>2738</v>
      </c>
      <c r="I56" s="2" t="s">
        <v>57</v>
      </c>
      <c r="J56" s="2" t="s">
        <v>116</v>
      </c>
      <c r="K56" s="2" t="s">
        <v>57</v>
      </c>
      <c r="L56" s="2">
        <v>46.150452000000001</v>
      </c>
      <c r="M56" s="2" t="s">
        <v>58</v>
      </c>
      <c r="N56" s="2" t="s">
        <v>58</v>
      </c>
      <c r="O56" s="2" t="s">
        <v>57</v>
      </c>
      <c r="P56" s="2" t="s">
        <v>57</v>
      </c>
      <c r="Q56" s="2" t="s">
        <v>57</v>
      </c>
      <c r="R56" s="2">
        <v>70.013059999999996</v>
      </c>
      <c r="S56" s="2" t="s">
        <v>57</v>
      </c>
      <c r="T56" s="2" t="s">
        <v>59</v>
      </c>
      <c r="U56" s="2" t="s">
        <v>57</v>
      </c>
      <c r="V56" s="2">
        <v>1.133616</v>
      </c>
      <c r="W56" s="2" t="s">
        <v>57</v>
      </c>
      <c r="X56" s="2" t="s">
        <v>57</v>
      </c>
      <c r="Y56" s="2" t="s">
        <v>57</v>
      </c>
      <c r="Z56" s="2" t="s">
        <v>57</v>
      </c>
      <c r="AA56" s="2" t="s">
        <v>57</v>
      </c>
      <c r="AB56" s="2" t="s">
        <v>57</v>
      </c>
      <c r="AC56" s="2" t="s">
        <v>57</v>
      </c>
      <c r="AD56" s="2" t="s">
        <v>57</v>
      </c>
      <c r="AE56" s="2" t="s">
        <v>57</v>
      </c>
      <c r="AF56" s="2" t="s">
        <v>57</v>
      </c>
      <c r="AG56" s="2" t="s">
        <v>57</v>
      </c>
      <c r="AH56" s="2" t="s">
        <v>57</v>
      </c>
      <c r="AI56" s="2" t="s">
        <v>57</v>
      </c>
      <c r="AJ56" s="2" t="s">
        <v>57</v>
      </c>
      <c r="AK56" s="2" t="s">
        <v>57</v>
      </c>
      <c r="AL56" s="2" t="s">
        <v>57</v>
      </c>
      <c r="AM56" s="2" t="s">
        <v>57</v>
      </c>
      <c r="AN56" s="2" t="s">
        <v>57</v>
      </c>
      <c r="AO56" s="2" t="s">
        <v>57</v>
      </c>
      <c r="AP56" s="2" t="s">
        <v>57</v>
      </c>
      <c r="AQ56" s="2" t="s">
        <v>57</v>
      </c>
      <c r="AR56" s="2" t="s">
        <v>57</v>
      </c>
      <c r="AS56" s="2" t="s">
        <v>57</v>
      </c>
      <c r="AT56" s="2" t="s">
        <v>57</v>
      </c>
      <c r="AU56" s="2" t="s">
        <v>57</v>
      </c>
      <c r="AV56" s="2" t="s">
        <v>57</v>
      </c>
      <c r="AW56" s="2" t="s">
        <v>94</v>
      </c>
      <c r="AX56" s="2">
        <v>12.902656</v>
      </c>
      <c r="AY56" s="2">
        <v>-1</v>
      </c>
      <c r="BA56" s="2">
        <v>-1</v>
      </c>
      <c r="BB56" s="2">
        <v>27975</v>
      </c>
      <c r="BC56" s="2">
        <v>12902656.25</v>
      </c>
    </row>
    <row r="57" spans="1:55" x14ac:dyDescent="0.6">
      <c r="A57" s="2">
        <v>33</v>
      </c>
      <c r="B57" s="2" t="s">
        <v>117</v>
      </c>
      <c r="C57" s="2" t="s">
        <v>55</v>
      </c>
      <c r="D57" s="2">
        <v>42</v>
      </c>
      <c r="E57" s="2">
        <v>69</v>
      </c>
      <c r="F57" s="2">
        <v>69</v>
      </c>
      <c r="G57" s="2">
        <v>2739</v>
      </c>
      <c r="H57" s="2">
        <v>2739</v>
      </c>
      <c r="I57" s="2" t="s">
        <v>57</v>
      </c>
      <c r="J57" s="2" t="s">
        <v>117</v>
      </c>
      <c r="K57" s="2" t="s">
        <v>57</v>
      </c>
      <c r="L57" s="2">
        <v>12.381575</v>
      </c>
      <c r="M57" s="2" t="s">
        <v>58</v>
      </c>
      <c r="N57" s="2" t="s">
        <v>58</v>
      </c>
      <c r="O57" s="2" t="s">
        <v>57</v>
      </c>
      <c r="P57" s="2" t="s">
        <v>57</v>
      </c>
      <c r="Q57" s="2" t="s">
        <v>57</v>
      </c>
      <c r="R57" s="2">
        <v>70.947086999999996</v>
      </c>
      <c r="S57" s="2" t="s">
        <v>57</v>
      </c>
      <c r="T57" s="2" t="s">
        <v>59</v>
      </c>
      <c r="U57" s="2" t="s">
        <v>57</v>
      </c>
      <c r="V57" s="2">
        <v>1.2223580000000001</v>
      </c>
      <c r="W57" s="2" t="s">
        <v>57</v>
      </c>
      <c r="X57" s="2" t="s">
        <v>57</v>
      </c>
      <c r="Y57" s="2" t="s">
        <v>57</v>
      </c>
      <c r="Z57" s="2" t="s">
        <v>57</v>
      </c>
      <c r="AA57" s="2" t="s">
        <v>57</v>
      </c>
      <c r="AB57" s="2" t="s">
        <v>57</v>
      </c>
      <c r="AC57" s="2" t="s">
        <v>57</v>
      </c>
      <c r="AD57" s="2" t="s">
        <v>57</v>
      </c>
      <c r="AE57" s="2" t="s">
        <v>57</v>
      </c>
      <c r="AF57" s="2" t="s">
        <v>57</v>
      </c>
      <c r="AG57" s="2" t="s">
        <v>57</v>
      </c>
      <c r="AH57" s="2" t="s">
        <v>57</v>
      </c>
      <c r="AI57" s="2" t="s">
        <v>57</v>
      </c>
      <c r="AJ57" s="2" t="s">
        <v>57</v>
      </c>
      <c r="AK57" s="2" t="s">
        <v>57</v>
      </c>
      <c r="AL57" s="2" t="s">
        <v>57</v>
      </c>
      <c r="AM57" s="2" t="s">
        <v>57</v>
      </c>
      <c r="AN57" s="2" t="s">
        <v>57</v>
      </c>
      <c r="AO57" s="2" t="s">
        <v>57</v>
      </c>
      <c r="AP57" s="2" t="s">
        <v>57</v>
      </c>
      <c r="AQ57" s="2" t="s">
        <v>57</v>
      </c>
      <c r="AR57" s="2" t="s">
        <v>57</v>
      </c>
      <c r="AS57" s="2" t="s">
        <v>57</v>
      </c>
      <c r="AT57" s="2" t="s">
        <v>57</v>
      </c>
      <c r="AU57" s="2" t="s">
        <v>57</v>
      </c>
      <c r="AV57" s="2" t="s">
        <v>57</v>
      </c>
      <c r="AW57" s="2" t="s">
        <v>94</v>
      </c>
      <c r="AX57" s="2">
        <v>3.0162499999999999</v>
      </c>
      <c r="AY57" s="2">
        <v>-1</v>
      </c>
      <c r="BA57" s="2">
        <v>-1</v>
      </c>
      <c r="BB57" s="2">
        <v>17300</v>
      </c>
      <c r="BC57" s="2">
        <v>3016250</v>
      </c>
    </row>
    <row r="58" spans="1:55" x14ac:dyDescent="0.6">
      <c r="A58" s="2">
        <v>34</v>
      </c>
      <c r="B58" s="2" t="s">
        <v>118</v>
      </c>
      <c r="C58" s="2" t="s">
        <v>55</v>
      </c>
      <c r="D58" s="2">
        <v>43</v>
      </c>
      <c r="E58" s="2">
        <v>70</v>
      </c>
      <c r="F58" s="2">
        <v>70</v>
      </c>
      <c r="G58" s="2">
        <v>2740</v>
      </c>
      <c r="H58" s="2">
        <v>2740</v>
      </c>
      <c r="I58" s="2" t="s">
        <v>57</v>
      </c>
      <c r="J58" s="2" t="s">
        <v>118</v>
      </c>
      <c r="K58" s="2" t="s">
        <v>57</v>
      </c>
      <c r="L58" s="2">
        <v>40.351799</v>
      </c>
      <c r="M58" s="2" t="s">
        <v>58</v>
      </c>
      <c r="N58" s="2" t="s">
        <v>58</v>
      </c>
      <c r="O58" s="2" t="s">
        <v>57</v>
      </c>
      <c r="P58" s="2" t="s">
        <v>57</v>
      </c>
      <c r="Q58" s="2" t="s">
        <v>57</v>
      </c>
      <c r="R58" s="2">
        <v>70.003658000000001</v>
      </c>
      <c r="S58" s="2" t="s">
        <v>57</v>
      </c>
      <c r="T58" s="2" t="s">
        <v>59</v>
      </c>
      <c r="U58" s="2" t="s">
        <v>57</v>
      </c>
      <c r="V58" s="2">
        <v>0.86713200000000001</v>
      </c>
      <c r="W58" s="2" t="s">
        <v>57</v>
      </c>
      <c r="X58" s="2" t="s">
        <v>57</v>
      </c>
      <c r="Y58" s="2" t="s">
        <v>57</v>
      </c>
      <c r="Z58" s="2" t="s">
        <v>57</v>
      </c>
      <c r="AA58" s="2" t="s">
        <v>57</v>
      </c>
      <c r="AB58" s="2" t="s">
        <v>57</v>
      </c>
      <c r="AC58" s="2" t="s">
        <v>57</v>
      </c>
      <c r="AD58" s="2" t="s">
        <v>57</v>
      </c>
      <c r="AE58" s="2" t="s">
        <v>57</v>
      </c>
      <c r="AF58" s="2" t="s">
        <v>57</v>
      </c>
      <c r="AG58" s="2" t="s">
        <v>57</v>
      </c>
      <c r="AH58" s="2" t="s">
        <v>57</v>
      </c>
      <c r="AI58" s="2" t="s">
        <v>57</v>
      </c>
      <c r="AJ58" s="2" t="s">
        <v>57</v>
      </c>
      <c r="AK58" s="2" t="s">
        <v>57</v>
      </c>
      <c r="AL58" s="2" t="s">
        <v>57</v>
      </c>
      <c r="AM58" s="2" t="s">
        <v>57</v>
      </c>
      <c r="AN58" s="2" t="s">
        <v>57</v>
      </c>
      <c r="AO58" s="2" t="s">
        <v>57</v>
      </c>
      <c r="AP58" s="2" t="s">
        <v>57</v>
      </c>
      <c r="AQ58" s="2" t="s">
        <v>57</v>
      </c>
      <c r="AR58" s="2" t="s">
        <v>57</v>
      </c>
      <c r="AS58" s="2" t="s">
        <v>57</v>
      </c>
      <c r="AT58" s="2" t="s">
        <v>57</v>
      </c>
      <c r="AU58" s="2" t="s">
        <v>57</v>
      </c>
      <c r="AV58" s="2" t="s">
        <v>57</v>
      </c>
      <c r="AW58" s="2" t="s">
        <v>94</v>
      </c>
      <c r="AX58" s="2">
        <v>8.5720310000000008</v>
      </c>
      <c r="AY58" s="2">
        <v>-1</v>
      </c>
      <c r="BA58" s="2">
        <v>-1</v>
      </c>
      <c r="BB58" s="2">
        <v>18825</v>
      </c>
      <c r="BC58" s="2">
        <v>8572031.25</v>
      </c>
    </row>
    <row r="59" spans="1:55" x14ac:dyDescent="0.6">
      <c r="A59" s="2">
        <v>35</v>
      </c>
      <c r="B59" s="2" t="s">
        <v>119</v>
      </c>
      <c r="C59" s="2" t="s">
        <v>55</v>
      </c>
      <c r="D59" s="2">
        <v>44</v>
      </c>
      <c r="E59" s="2">
        <v>71</v>
      </c>
      <c r="F59" s="2">
        <v>71</v>
      </c>
      <c r="G59" s="2">
        <v>2741</v>
      </c>
      <c r="H59" s="2">
        <v>2741</v>
      </c>
      <c r="I59" s="2" t="s">
        <v>57</v>
      </c>
      <c r="J59" s="2" t="s">
        <v>119</v>
      </c>
      <c r="K59" s="2" t="s">
        <v>57</v>
      </c>
      <c r="L59" s="2">
        <v>7.5630550000000003</v>
      </c>
      <c r="M59" s="2" t="s">
        <v>58</v>
      </c>
      <c r="N59" s="2" t="s">
        <v>58</v>
      </c>
      <c r="O59" s="2" t="s">
        <v>57</v>
      </c>
      <c r="P59" s="2" t="s">
        <v>57</v>
      </c>
      <c r="Q59" s="2" t="s">
        <v>57</v>
      </c>
      <c r="R59" s="2">
        <v>60.214055999999999</v>
      </c>
      <c r="S59" s="2" t="s">
        <v>57</v>
      </c>
      <c r="T59" s="2" t="s">
        <v>59</v>
      </c>
      <c r="U59" s="2" t="s">
        <v>57</v>
      </c>
      <c r="V59" s="2">
        <v>1.6491229999999999</v>
      </c>
      <c r="W59" s="2" t="s">
        <v>57</v>
      </c>
      <c r="X59" s="2" t="s">
        <v>57</v>
      </c>
      <c r="Y59" s="2" t="s">
        <v>57</v>
      </c>
      <c r="Z59" s="2" t="s">
        <v>57</v>
      </c>
      <c r="AA59" s="2" t="s">
        <v>57</v>
      </c>
      <c r="AB59" s="2" t="s">
        <v>57</v>
      </c>
      <c r="AC59" s="2" t="s">
        <v>57</v>
      </c>
      <c r="AD59" s="2" t="s">
        <v>57</v>
      </c>
      <c r="AE59" s="2" t="s">
        <v>57</v>
      </c>
      <c r="AF59" s="2" t="s">
        <v>57</v>
      </c>
      <c r="AG59" s="2" t="s">
        <v>57</v>
      </c>
      <c r="AH59" s="2" t="s">
        <v>57</v>
      </c>
      <c r="AI59" s="2" t="s">
        <v>57</v>
      </c>
      <c r="AJ59" s="2" t="s">
        <v>57</v>
      </c>
      <c r="AK59" s="2" t="s">
        <v>57</v>
      </c>
      <c r="AL59" s="2" t="s">
        <v>57</v>
      </c>
      <c r="AM59" s="2" t="s">
        <v>57</v>
      </c>
      <c r="AN59" s="2" t="s">
        <v>57</v>
      </c>
      <c r="AO59" s="2" t="s">
        <v>57</v>
      </c>
      <c r="AP59" s="2" t="s">
        <v>57</v>
      </c>
      <c r="AQ59" s="2" t="s">
        <v>57</v>
      </c>
      <c r="AR59" s="2" t="s">
        <v>57</v>
      </c>
      <c r="AS59" s="2" t="s">
        <v>57</v>
      </c>
      <c r="AT59" s="2" t="s">
        <v>57</v>
      </c>
      <c r="AU59" s="2" t="s">
        <v>57</v>
      </c>
      <c r="AV59" s="2" t="s">
        <v>57</v>
      </c>
      <c r="AW59" s="2" t="s">
        <v>94</v>
      </c>
      <c r="AX59" s="2">
        <v>3.3149999999999999</v>
      </c>
      <c r="AY59" s="2">
        <v>-1</v>
      </c>
      <c r="BA59" s="2">
        <v>-1</v>
      </c>
      <c r="BB59" s="2">
        <v>17050</v>
      </c>
      <c r="BC59" s="2">
        <v>3315000</v>
      </c>
    </row>
    <row r="60" spans="1:55" x14ac:dyDescent="0.6">
      <c r="A60" s="2">
        <v>36</v>
      </c>
      <c r="B60" s="2" t="s">
        <v>120</v>
      </c>
      <c r="C60" s="2" t="s">
        <v>55</v>
      </c>
      <c r="D60" s="2">
        <v>45</v>
      </c>
      <c r="E60" s="2">
        <v>72</v>
      </c>
      <c r="F60" s="2">
        <v>72</v>
      </c>
      <c r="G60" s="2">
        <v>2742</v>
      </c>
      <c r="H60" s="2">
        <v>2742</v>
      </c>
      <c r="I60" s="2" t="s">
        <v>57</v>
      </c>
      <c r="J60" s="2" t="s">
        <v>120</v>
      </c>
      <c r="K60" s="2" t="s">
        <v>57</v>
      </c>
      <c r="L60" s="2">
        <v>8.0182409999999997</v>
      </c>
      <c r="M60" s="2" t="s">
        <v>58</v>
      </c>
      <c r="N60" s="2" t="s">
        <v>58</v>
      </c>
      <c r="O60" s="2" t="s">
        <v>57</v>
      </c>
      <c r="P60" s="2" t="s">
        <v>57</v>
      </c>
      <c r="Q60" s="2" t="s">
        <v>57</v>
      </c>
      <c r="R60" s="2">
        <v>71.069999999999993</v>
      </c>
      <c r="S60" s="2" t="s">
        <v>57</v>
      </c>
      <c r="T60" s="2" t="s">
        <v>59</v>
      </c>
      <c r="U60" s="2" t="s">
        <v>57</v>
      </c>
      <c r="V60" s="2">
        <v>1.315245</v>
      </c>
      <c r="W60" s="2" t="s">
        <v>57</v>
      </c>
      <c r="X60" s="2" t="s">
        <v>57</v>
      </c>
      <c r="Y60" s="2" t="s">
        <v>57</v>
      </c>
      <c r="Z60" s="2" t="s">
        <v>57</v>
      </c>
      <c r="AA60" s="2" t="s">
        <v>57</v>
      </c>
      <c r="AB60" s="2" t="s">
        <v>57</v>
      </c>
      <c r="AC60" s="2" t="s">
        <v>57</v>
      </c>
      <c r="AD60" s="2" t="s">
        <v>57</v>
      </c>
      <c r="AE60" s="2" t="s">
        <v>57</v>
      </c>
      <c r="AF60" s="2" t="s">
        <v>57</v>
      </c>
      <c r="AG60" s="2" t="s">
        <v>57</v>
      </c>
      <c r="AH60" s="2" t="s">
        <v>57</v>
      </c>
      <c r="AI60" s="2" t="s">
        <v>57</v>
      </c>
      <c r="AJ60" s="2" t="s">
        <v>57</v>
      </c>
      <c r="AK60" s="2" t="s">
        <v>57</v>
      </c>
      <c r="AL60" s="2" t="s">
        <v>57</v>
      </c>
      <c r="AM60" s="2" t="s">
        <v>57</v>
      </c>
      <c r="AN60" s="2" t="s">
        <v>57</v>
      </c>
      <c r="AO60" s="2" t="s">
        <v>57</v>
      </c>
      <c r="AP60" s="2" t="s">
        <v>57</v>
      </c>
      <c r="AQ60" s="2" t="s">
        <v>57</v>
      </c>
      <c r="AR60" s="2" t="s">
        <v>57</v>
      </c>
      <c r="AS60" s="2" t="s">
        <v>57</v>
      </c>
      <c r="AT60" s="2" t="s">
        <v>57</v>
      </c>
      <c r="AU60" s="2" t="s">
        <v>57</v>
      </c>
      <c r="AV60" s="2" t="s">
        <v>57</v>
      </c>
      <c r="AW60" s="2" t="s">
        <v>94</v>
      </c>
      <c r="AX60" s="2">
        <v>3.363594</v>
      </c>
      <c r="AY60" s="2">
        <v>-1</v>
      </c>
      <c r="BA60" s="2">
        <v>-1</v>
      </c>
      <c r="BB60" s="2">
        <v>14675</v>
      </c>
      <c r="BC60" s="2">
        <v>3363593.75</v>
      </c>
    </row>
    <row r="61" spans="1:55" x14ac:dyDescent="0.6">
      <c r="A61" s="2">
        <v>103</v>
      </c>
      <c r="B61" s="2" t="s">
        <v>121</v>
      </c>
      <c r="C61" s="2" t="s">
        <v>55</v>
      </c>
      <c r="D61" s="2">
        <v>119</v>
      </c>
      <c r="E61" s="2">
        <v>73</v>
      </c>
      <c r="F61" s="2">
        <v>73</v>
      </c>
      <c r="G61" s="2">
        <v>2743</v>
      </c>
      <c r="H61" s="2">
        <v>2743</v>
      </c>
      <c r="I61" s="2" t="s">
        <v>57</v>
      </c>
      <c r="J61" s="2" t="s">
        <v>121</v>
      </c>
      <c r="K61" s="2" t="s">
        <v>57</v>
      </c>
      <c r="L61" s="2">
        <v>63.624263999999997</v>
      </c>
      <c r="M61" s="2" t="s">
        <v>58</v>
      </c>
      <c r="N61" s="2" t="s">
        <v>58</v>
      </c>
      <c r="O61" s="2" t="s">
        <v>57</v>
      </c>
      <c r="P61" s="2" t="s">
        <v>57</v>
      </c>
      <c r="Q61" s="2" t="s">
        <v>57</v>
      </c>
      <c r="R61" s="2">
        <v>70</v>
      </c>
      <c r="S61" s="2" t="s">
        <v>57</v>
      </c>
      <c r="T61" s="2" t="s">
        <v>59</v>
      </c>
      <c r="U61" s="2" t="s">
        <v>57</v>
      </c>
      <c r="V61" s="2">
        <v>0.63930399999999998</v>
      </c>
      <c r="W61" s="2" t="s">
        <v>57</v>
      </c>
      <c r="X61" s="2" t="s">
        <v>57</v>
      </c>
      <c r="Y61" s="2" t="s">
        <v>57</v>
      </c>
      <c r="Z61" s="2" t="s">
        <v>57</v>
      </c>
      <c r="AA61" s="2" t="s">
        <v>57</v>
      </c>
      <c r="AB61" s="2" t="s">
        <v>57</v>
      </c>
      <c r="AC61" s="2" t="s">
        <v>57</v>
      </c>
      <c r="AD61" s="2" t="s">
        <v>57</v>
      </c>
      <c r="AE61" s="2" t="s">
        <v>57</v>
      </c>
      <c r="AF61" s="2" t="s">
        <v>57</v>
      </c>
      <c r="AG61" s="2" t="s">
        <v>57</v>
      </c>
      <c r="AH61" s="2" t="s">
        <v>57</v>
      </c>
      <c r="AI61" s="2" t="s">
        <v>57</v>
      </c>
      <c r="AJ61" s="2" t="s">
        <v>57</v>
      </c>
      <c r="AK61" s="2" t="s">
        <v>57</v>
      </c>
      <c r="AL61" s="2" t="s">
        <v>57</v>
      </c>
      <c r="AM61" s="2" t="s">
        <v>57</v>
      </c>
      <c r="AN61" s="2" t="s">
        <v>57</v>
      </c>
      <c r="AO61" s="2" t="s">
        <v>57</v>
      </c>
      <c r="AP61" s="2" t="s">
        <v>57</v>
      </c>
      <c r="AQ61" s="2" t="s">
        <v>57</v>
      </c>
      <c r="AR61" s="2" t="s">
        <v>57</v>
      </c>
      <c r="AS61" s="2" t="s">
        <v>57</v>
      </c>
      <c r="AT61" s="2" t="s">
        <v>57</v>
      </c>
      <c r="AU61" s="2" t="s">
        <v>57</v>
      </c>
      <c r="AV61" s="2" t="s">
        <v>57</v>
      </c>
      <c r="AW61" s="2" t="s">
        <v>60</v>
      </c>
      <c r="AX61" s="2">
        <v>8.8989060000000002</v>
      </c>
      <c r="AY61" s="2">
        <v>1</v>
      </c>
      <c r="AZ61" s="2" t="s">
        <v>61</v>
      </c>
      <c r="BA61" s="2">
        <v>-1</v>
      </c>
      <c r="BB61" s="2">
        <v>18025</v>
      </c>
      <c r="BC61" s="2">
        <v>8898906.25</v>
      </c>
    </row>
    <row r="62" spans="1:55" x14ac:dyDescent="0.6">
      <c r="A62" s="2">
        <v>104</v>
      </c>
      <c r="B62" s="2" t="s">
        <v>122</v>
      </c>
      <c r="C62" s="2" t="s">
        <v>55</v>
      </c>
      <c r="D62" s="2">
        <v>120</v>
      </c>
      <c r="E62" s="2">
        <v>74</v>
      </c>
      <c r="F62" s="2">
        <v>74</v>
      </c>
      <c r="G62" s="2">
        <v>2744</v>
      </c>
      <c r="H62" s="2">
        <v>2744</v>
      </c>
      <c r="I62" s="2" t="s">
        <v>57</v>
      </c>
      <c r="J62" s="2" t="s">
        <v>122</v>
      </c>
      <c r="K62" s="2" t="s">
        <v>57</v>
      </c>
      <c r="L62" s="2">
        <v>59.664515999999999</v>
      </c>
      <c r="M62" s="2" t="s">
        <v>58</v>
      </c>
      <c r="N62" s="2" t="s">
        <v>58</v>
      </c>
      <c r="O62" s="2" t="s">
        <v>57</v>
      </c>
      <c r="P62" s="2" t="s">
        <v>57</v>
      </c>
      <c r="Q62" s="2" t="s">
        <v>57</v>
      </c>
      <c r="R62" s="2">
        <v>70</v>
      </c>
      <c r="S62" s="2" t="s">
        <v>57</v>
      </c>
      <c r="T62" s="2" t="s">
        <v>59</v>
      </c>
      <c r="U62" s="2" t="s">
        <v>57</v>
      </c>
      <c r="V62" s="2">
        <v>0.53773499999999996</v>
      </c>
      <c r="W62" s="2" t="s">
        <v>57</v>
      </c>
      <c r="X62" s="2" t="s">
        <v>57</v>
      </c>
      <c r="Y62" s="2" t="s">
        <v>57</v>
      </c>
      <c r="Z62" s="2" t="s">
        <v>57</v>
      </c>
      <c r="AA62" s="2" t="s">
        <v>57</v>
      </c>
      <c r="AB62" s="2" t="s">
        <v>57</v>
      </c>
      <c r="AC62" s="2" t="s">
        <v>57</v>
      </c>
      <c r="AD62" s="2" t="s">
        <v>57</v>
      </c>
      <c r="AE62" s="2" t="s">
        <v>57</v>
      </c>
      <c r="AF62" s="2" t="s">
        <v>57</v>
      </c>
      <c r="AG62" s="2" t="s">
        <v>57</v>
      </c>
      <c r="AH62" s="2" t="s">
        <v>57</v>
      </c>
      <c r="AI62" s="2" t="s">
        <v>57</v>
      </c>
      <c r="AJ62" s="2" t="s">
        <v>57</v>
      </c>
      <c r="AK62" s="2" t="s">
        <v>57</v>
      </c>
      <c r="AL62" s="2" t="s">
        <v>57</v>
      </c>
      <c r="AM62" s="2" t="s">
        <v>57</v>
      </c>
      <c r="AN62" s="2" t="s">
        <v>57</v>
      </c>
      <c r="AO62" s="2" t="s">
        <v>57</v>
      </c>
      <c r="AP62" s="2" t="s">
        <v>57</v>
      </c>
      <c r="AQ62" s="2" t="s">
        <v>57</v>
      </c>
      <c r="AR62" s="2" t="s">
        <v>57</v>
      </c>
      <c r="AS62" s="2" t="s">
        <v>57</v>
      </c>
      <c r="AT62" s="2" t="s">
        <v>57</v>
      </c>
      <c r="AU62" s="2" t="s">
        <v>57</v>
      </c>
      <c r="AV62" s="2" t="s">
        <v>57</v>
      </c>
      <c r="AW62" s="2" t="s">
        <v>60</v>
      </c>
      <c r="AX62" s="2">
        <v>5.010313</v>
      </c>
      <c r="AY62" s="2">
        <v>1</v>
      </c>
      <c r="AZ62" s="2" t="s">
        <v>61</v>
      </c>
      <c r="BA62" s="2">
        <v>-1</v>
      </c>
      <c r="BB62" s="2">
        <v>15750</v>
      </c>
      <c r="BC62" s="2">
        <v>5010312.5</v>
      </c>
    </row>
    <row r="63" spans="1:55" x14ac:dyDescent="0.6">
      <c r="A63" s="2">
        <v>37</v>
      </c>
      <c r="B63" s="2" t="s">
        <v>123</v>
      </c>
      <c r="C63" s="2" t="s">
        <v>55</v>
      </c>
      <c r="D63" s="2">
        <v>46</v>
      </c>
      <c r="E63" s="2">
        <v>75</v>
      </c>
      <c r="F63" s="2">
        <v>75</v>
      </c>
      <c r="G63" s="2">
        <v>2745</v>
      </c>
      <c r="H63" s="2">
        <v>2745</v>
      </c>
      <c r="I63" s="2" t="s">
        <v>57</v>
      </c>
      <c r="J63" s="2" t="s">
        <v>123</v>
      </c>
      <c r="K63" s="2" t="s">
        <v>57</v>
      </c>
      <c r="L63" s="2">
        <v>20.879367999999999</v>
      </c>
      <c r="M63" s="2" t="s">
        <v>58</v>
      </c>
      <c r="N63" s="2" t="s">
        <v>58</v>
      </c>
      <c r="O63" s="2" t="s">
        <v>57</v>
      </c>
      <c r="P63" s="2" t="s">
        <v>57</v>
      </c>
      <c r="Q63" s="2" t="s">
        <v>57</v>
      </c>
      <c r="R63" s="2">
        <v>70.520849999999996</v>
      </c>
      <c r="S63" s="2" t="s">
        <v>57</v>
      </c>
      <c r="T63" s="2" t="s">
        <v>59</v>
      </c>
      <c r="U63" s="2" t="s">
        <v>57</v>
      </c>
      <c r="V63" s="2">
        <v>1.099423</v>
      </c>
      <c r="W63" s="2" t="s">
        <v>57</v>
      </c>
      <c r="X63" s="2" t="s">
        <v>57</v>
      </c>
      <c r="Y63" s="2" t="s">
        <v>57</v>
      </c>
      <c r="Z63" s="2" t="s">
        <v>57</v>
      </c>
      <c r="AA63" s="2" t="s">
        <v>57</v>
      </c>
      <c r="AB63" s="2" t="s">
        <v>57</v>
      </c>
      <c r="AC63" s="2" t="s">
        <v>57</v>
      </c>
      <c r="AD63" s="2" t="s">
        <v>57</v>
      </c>
      <c r="AE63" s="2" t="s">
        <v>57</v>
      </c>
      <c r="AF63" s="2" t="s">
        <v>57</v>
      </c>
      <c r="AG63" s="2" t="s">
        <v>57</v>
      </c>
      <c r="AH63" s="2" t="s">
        <v>57</v>
      </c>
      <c r="AI63" s="2" t="s">
        <v>57</v>
      </c>
      <c r="AJ63" s="2" t="s">
        <v>57</v>
      </c>
      <c r="AK63" s="2" t="s">
        <v>57</v>
      </c>
      <c r="AL63" s="2" t="s">
        <v>57</v>
      </c>
      <c r="AM63" s="2" t="s">
        <v>57</v>
      </c>
      <c r="AN63" s="2" t="s">
        <v>57</v>
      </c>
      <c r="AO63" s="2" t="s">
        <v>57</v>
      </c>
      <c r="AP63" s="2" t="s">
        <v>57</v>
      </c>
      <c r="AQ63" s="2" t="s">
        <v>57</v>
      </c>
      <c r="AR63" s="2" t="s">
        <v>57</v>
      </c>
      <c r="AS63" s="2" t="s">
        <v>57</v>
      </c>
      <c r="AT63" s="2" t="s">
        <v>57</v>
      </c>
      <c r="AU63" s="2" t="s">
        <v>57</v>
      </c>
      <c r="AV63" s="2" t="s">
        <v>57</v>
      </c>
      <c r="AW63" s="2" t="s">
        <v>94</v>
      </c>
      <c r="AX63" s="2">
        <v>6.9092190000000002</v>
      </c>
      <c r="AY63" s="2">
        <v>-1</v>
      </c>
      <c r="BA63" s="2">
        <v>-1</v>
      </c>
      <c r="BB63" s="2">
        <v>17200</v>
      </c>
      <c r="BC63" s="2">
        <v>6909218.75</v>
      </c>
    </row>
    <row r="64" spans="1:55" x14ac:dyDescent="0.6">
      <c r="A64" s="2">
        <v>38</v>
      </c>
      <c r="B64" s="2" t="s">
        <v>124</v>
      </c>
      <c r="C64" s="2" t="s">
        <v>55</v>
      </c>
      <c r="D64" s="2">
        <v>47</v>
      </c>
      <c r="E64" s="2">
        <v>76</v>
      </c>
      <c r="F64" s="2">
        <v>76</v>
      </c>
      <c r="G64" s="2">
        <v>2746</v>
      </c>
      <c r="H64" s="2">
        <v>2746</v>
      </c>
      <c r="I64" s="2" t="s">
        <v>57</v>
      </c>
      <c r="J64" s="2" t="s">
        <v>124</v>
      </c>
      <c r="K64" s="2" t="s">
        <v>57</v>
      </c>
      <c r="L64" s="2">
        <v>7.5721879999999997</v>
      </c>
      <c r="M64" s="2" t="s">
        <v>58</v>
      </c>
      <c r="N64" s="2" t="s">
        <v>58</v>
      </c>
      <c r="O64" s="2" t="s">
        <v>57</v>
      </c>
      <c r="P64" s="2" t="s">
        <v>57</v>
      </c>
      <c r="Q64" s="2" t="s">
        <v>57</v>
      </c>
      <c r="R64" s="2">
        <v>63.68777</v>
      </c>
      <c r="S64" s="2" t="s">
        <v>57</v>
      </c>
      <c r="T64" s="2" t="s">
        <v>59</v>
      </c>
      <c r="U64" s="2" t="s">
        <v>57</v>
      </c>
      <c r="V64" s="2">
        <v>1.0139260000000001</v>
      </c>
      <c r="W64" s="2" t="s">
        <v>57</v>
      </c>
      <c r="X64" s="2" t="s">
        <v>57</v>
      </c>
      <c r="Y64" s="2" t="s">
        <v>57</v>
      </c>
      <c r="Z64" s="2" t="s">
        <v>57</v>
      </c>
      <c r="AA64" s="2" t="s">
        <v>57</v>
      </c>
      <c r="AB64" s="2" t="s">
        <v>57</v>
      </c>
      <c r="AC64" s="2" t="s">
        <v>57</v>
      </c>
      <c r="AD64" s="2" t="s">
        <v>57</v>
      </c>
      <c r="AE64" s="2" t="s">
        <v>57</v>
      </c>
      <c r="AF64" s="2" t="s">
        <v>57</v>
      </c>
      <c r="AG64" s="2" t="s">
        <v>57</v>
      </c>
      <c r="AH64" s="2" t="s">
        <v>57</v>
      </c>
      <c r="AI64" s="2" t="s">
        <v>57</v>
      </c>
      <c r="AJ64" s="2" t="s">
        <v>57</v>
      </c>
      <c r="AK64" s="2" t="s">
        <v>57</v>
      </c>
      <c r="AL64" s="2" t="s">
        <v>57</v>
      </c>
      <c r="AM64" s="2" t="s">
        <v>57</v>
      </c>
      <c r="AN64" s="2" t="s">
        <v>57</v>
      </c>
      <c r="AO64" s="2" t="s">
        <v>57</v>
      </c>
      <c r="AP64" s="2" t="s">
        <v>57</v>
      </c>
      <c r="AQ64" s="2" t="s">
        <v>57</v>
      </c>
      <c r="AR64" s="2" t="s">
        <v>57</v>
      </c>
      <c r="AS64" s="2" t="s">
        <v>57</v>
      </c>
      <c r="AT64" s="2" t="s">
        <v>57</v>
      </c>
      <c r="AU64" s="2" t="s">
        <v>57</v>
      </c>
      <c r="AV64" s="2" t="s">
        <v>57</v>
      </c>
      <c r="AW64" s="2" t="s">
        <v>94</v>
      </c>
      <c r="AX64" s="2">
        <v>1.8257810000000001</v>
      </c>
      <c r="AY64" s="2">
        <v>-1</v>
      </c>
      <c r="BA64" s="2">
        <v>-1</v>
      </c>
      <c r="BB64" s="2">
        <v>10250</v>
      </c>
      <c r="BC64" s="2">
        <v>1825781.25</v>
      </c>
    </row>
    <row r="65" spans="1:55" x14ac:dyDescent="0.6">
      <c r="A65" s="2">
        <v>39</v>
      </c>
      <c r="B65" s="2" t="s">
        <v>125</v>
      </c>
      <c r="C65" s="2" t="s">
        <v>55</v>
      </c>
      <c r="D65" s="2">
        <v>48</v>
      </c>
      <c r="E65" s="2">
        <v>77</v>
      </c>
      <c r="F65" s="2">
        <v>77</v>
      </c>
      <c r="G65" s="2">
        <v>2747</v>
      </c>
      <c r="H65" s="2">
        <v>2747</v>
      </c>
      <c r="I65" s="2" t="s">
        <v>57</v>
      </c>
      <c r="J65" s="2" t="s">
        <v>125</v>
      </c>
      <c r="K65" s="2" t="s">
        <v>57</v>
      </c>
      <c r="L65" s="2">
        <v>46.918467999999997</v>
      </c>
      <c r="M65" s="2" t="s">
        <v>58</v>
      </c>
      <c r="N65" s="2" t="s">
        <v>58</v>
      </c>
      <c r="O65" s="2" t="s">
        <v>57</v>
      </c>
      <c r="P65" s="2" t="s">
        <v>57</v>
      </c>
      <c r="Q65" s="2" t="s">
        <v>57</v>
      </c>
      <c r="R65" s="2">
        <v>68.406901000000005</v>
      </c>
      <c r="S65" s="2" t="s">
        <v>57</v>
      </c>
      <c r="T65" s="2" t="s">
        <v>59</v>
      </c>
      <c r="U65" s="2" t="s">
        <v>57</v>
      </c>
      <c r="V65" s="2">
        <v>1.8223860000000001</v>
      </c>
      <c r="W65" s="2" t="s">
        <v>57</v>
      </c>
      <c r="X65" s="2" t="s">
        <v>57</v>
      </c>
      <c r="Y65" s="2" t="s">
        <v>57</v>
      </c>
      <c r="Z65" s="2" t="s">
        <v>57</v>
      </c>
      <c r="AA65" s="2" t="s">
        <v>57</v>
      </c>
      <c r="AB65" s="2" t="s">
        <v>57</v>
      </c>
      <c r="AC65" s="2" t="s">
        <v>57</v>
      </c>
      <c r="AD65" s="2" t="s">
        <v>57</v>
      </c>
      <c r="AE65" s="2" t="s">
        <v>57</v>
      </c>
      <c r="AF65" s="2" t="s">
        <v>57</v>
      </c>
      <c r="AG65" s="2" t="s">
        <v>57</v>
      </c>
      <c r="AH65" s="2" t="s">
        <v>57</v>
      </c>
      <c r="AI65" s="2" t="s">
        <v>57</v>
      </c>
      <c r="AJ65" s="2" t="s">
        <v>57</v>
      </c>
      <c r="AK65" s="2" t="s">
        <v>57</v>
      </c>
      <c r="AL65" s="2" t="s">
        <v>57</v>
      </c>
      <c r="AM65" s="2" t="s">
        <v>57</v>
      </c>
      <c r="AN65" s="2" t="s">
        <v>57</v>
      </c>
      <c r="AO65" s="2" t="s">
        <v>57</v>
      </c>
      <c r="AP65" s="2" t="s">
        <v>57</v>
      </c>
      <c r="AQ65" s="2" t="s">
        <v>57</v>
      </c>
      <c r="AR65" s="2" t="s">
        <v>57</v>
      </c>
      <c r="AS65" s="2" t="s">
        <v>57</v>
      </c>
      <c r="AT65" s="2" t="s">
        <v>57</v>
      </c>
      <c r="AU65" s="2" t="s">
        <v>57</v>
      </c>
      <c r="AV65" s="2" t="s">
        <v>57</v>
      </c>
      <c r="AW65" s="2" t="s">
        <v>94</v>
      </c>
      <c r="AX65" s="2">
        <v>27.885155999999998</v>
      </c>
      <c r="AY65" s="2">
        <v>-1</v>
      </c>
      <c r="BA65" s="2">
        <v>-1</v>
      </c>
      <c r="BB65" s="2">
        <v>46775</v>
      </c>
      <c r="BC65" s="2">
        <v>27885156.25</v>
      </c>
    </row>
    <row r="66" spans="1:55" x14ac:dyDescent="0.6">
      <c r="A66" s="2">
        <v>40</v>
      </c>
      <c r="B66" s="2" t="s">
        <v>126</v>
      </c>
      <c r="C66" s="2" t="s">
        <v>55</v>
      </c>
      <c r="D66" s="2">
        <v>49</v>
      </c>
      <c r="E66" s="2">
        <v>78</v>
      </c>
      <c r="F66" s="2">
        <v>78</v>
      </c>
      <c r="G66" s="2">
        <v>2748</v>
      </c>
      <c r="H66" s="2">
        <v>2748</v>
      </c>
      <c r="I66" s="2" t="s">
        <v>57</v>
      </c>
      <c r="J66" s="2" t="s">
        <v>126</v>
      </c>
      <c r="K66" s="2" t="s">
        <v>57</v>
      </c>
      <c r="L66" s="2">
        <v>6.369529</v>
      </c>
      <c r="M66" s="2" t="s">
        <v>58</v>
      </c>
      <c r="N66" s="2" t="s">
        <v>58</v>
      </c>
      <c r="O66" s="2" t="s">
        <v>57</v>
      </c>
      <c r="P66" s="2" t="s">
        <v>57</v>
      </c>
      <c r="Q66" s="2" t="s">
        <v>57</v>
      </c>
      <c r="R66" s="2">
        <v>45.871436000000003</v>
      </c>
      <c r="S66" s="2" t="s">
        <v>57</v>
      </c>
      <c r="T66" s="2" t="s">
        <v>59</v>
      </c>
      <c r="U66" s="2" t="s">
        <v>57</v>
      </c>
      <c r="V66" s="2">
        <v>1.782227</v>
      </c>
      <c r="W66" s="2" t="s">
        <v>57</v>
      </c>
      <c r="X66" s="2" t="s">
        <v>57</v>
      </c>
      <c r="Y66" s="2" t="s">
        <v>57</v>
      </c>
      <c r="Z66" s="2" t="s">
        <v>57</v>
      </c>
      <c r="AA66" s="2" t="s">
        <v>57</v>
      </c>
      <c r="AB66" s="2" t="s">
        <v>57</v>
      </c>
      <c r="AC66" s="2" t="s">
        <v>57</v>
      </c>
      <c r="AD66" s="2" t="s">
        <v>57</v>
      </c>
      <c r="AE66" s="2" t="s">
        <v>57</v>
      </c>
      <c r="AF66" s="2" t="s">
        <v>57</v>
      </c>
      <c r="AG66" s="2" t="s">
        <v>57</v>
      </c>
      <c r="AH66" s="2" t="s">
        <v>57</v>
      </c>
      <c r="AI66" s="2" t="s">
        <v>57</v>
      </c>
      <c r="AJ66" s="2" t="s">
        <v>57</v>
      </c>
      <c r="AK66" s="2" t="s">
        <v>57</v>
      </c>
      <c r="AL66" s="2" t="s">
        <v>57</v>
      </c>
      <c r="AM66" s="2" t="s">
        <v>57</v>
      </c>
      <c r="AN66" s="2" t="s">
        <v>57</v>
      </c>
      <c r="AO66" s="2" t="s">
        <v>57</v>
      </c>
      <c r="AP66" s="2" t="s">
        <v>57</v>
      </c>
      <c r="AQ66" s="2" t="s">
        <v>57</v>
      </c>
      <c r="AR66" s="2" t="s">
        <v>57</v>
      </c>
      <c r="AS66" s="2" t="s">
        <v>57</v>
      </c>
      <c r="AT66" s="2" t="s">
        <v>57</v>
      </c>
      <c r="AU66" s="2" t="s">
        <v>57</v>
      </c>
      <c r="AV66" s="2" t="s">
        <v>57</v>
      </c>
      <c r="AW66" s="2" t="s">
        <v>94</v>
      </c>
      <c r="AX66" s="2">
        <v>1.1598440000000001</v>
      </c>
      <c r="AY66" s="2">
        <v>-1</v>
      </c>
      <c r="BA66" s="2">
        <v>-1</v>
      </c>
      <c r="BB66" s="2">
        <v>8225</v>
      </c>
      <c r="BC66" s="2">
        <v>1159843.75</v>
      </c>
    </row>
    <row r="67" spans="1:55" x14ac:dyDescent="0.6">
      <c r="A67" s="2">
        <v>41</v>
      </c>
      <c r="B67" s="2" t="s">
        <v>127</v>
      </c>
      <c r="C67" s="2" t="s">
        <v>55</v>
      </c>
      <c r="D67" s="2">
        <v>50</v>
      </c>
      <c r="E67" s="2">
        <v>79</v>
      </c>
      <c r="F67" s="2">
        <v>79</v>
      </c>
      <c r="G67" s="2">
        <v>2749</v>
      </c>
      <c r="H67" s="2">
        <v>2749</v>
      </c>
      <c r="I67" s="2" t="s">
        <v>57</v>
      </c>
      <c r="J67" s="2" t="s">
        <v>127</v>
      </c>
      <c r="K67" s="2" t="s">
        <v>57</v>
      </c>
      <c r="L67" s="2">
        <v>29.566500000000001</v>
      </c>
      <c r="M67" s="2" t="s">
        <v>58</v>
      </c>
      <c r="N67" s="2" t="s">
        <v>58</v>
      </c>
      <c r="O67" s="2" t="s">
        <v>57</v>
      </c>
      <c r="P67" s="2" t="s">
        <v>57</v>
      </c>
      <c r="Q67" s="2" t="s">
        <v>57</v>
      </c>
      <c r="R67" s="2">
        <v>68.463594999999998</v>
      </c>
      <c r="S67" s="2" t="s">
        <v>57</v>
      </c>
      <c r="T67" s="2" t="s">
        <v>59</v>
      </c>
      <c r="U67" s="2" t="s">
        <v>57</v>
      </c>
      <c r="V67" s="2">
        <v>1.0211429999999999</v>
      </c>
      <c r="W67" s="2" t="s">
        <v>57</v>
      </c>
      <c r="X67" s="2" t="s">
        <v>57</v>
      </c>
      <c r="Y67" s="2" t="s">
        <v>57</v>
      </c>
      <c r="Z67" s="2" t="s">
        <v>57</v>
      </c>
      <c r="AA67" s="2" t="s">
        <v>57</v>
      </c>
      <c r="AB67" s="2" t="s">
        <v>57</v>
      </c>
      <c r="AC67" s="2" t="s">
        <v>57</v>
      </c>
      <c r="AD67" s="2" t="s">
        <v>57</v>
      </c>
      <c r="AE67" s="2" t="s">
        <v>57</v>
      </c>
      <c r="AF67" s="2" t="s">
        <v>57</v>
      </c>
      <c r="AG67" s="2" t="s">
        <v>57</v>
      </c>
      <c r="AH67" s="2" t="s">
        <v>57</v>
      </c>
      <c r="AI67" s="2" t="s">
        <v>57</v>
      </c>
      <c r="AJ67" s="2" t="s">
        <v>57</v>
      </c>
      <c r="AK67" s="2" t="s">
        <v>57</v>
      </c>
      <c r="AL67" s="2" t="s">
        <v>57</v>
      </c>
      <c r="AM67" s="2" t="s">
        <v>57</v>
      </c>
      <c r="AN67" s="2" t="s">
        <v>57</v>
      </c>
      <c r="AO67" s="2" t="s">
        <v>57</v>
      </c>
      <c r="AP67" s="2" t="s">
        <v>57</v>
      </c>
      <c r="AQ67" s="2" t="s">
        <v>57</v>
      </c>
      <c r="AR67" s="2" t="s">
        <v>57</v>
      </c>
      <c r="AS67" s="2" t="s">
        <v>57</v>
      </c>
      <c r="AT67" s="2" t="s">
        <v>57</v>
      </c>
      <c r="AU67" s="2" t="s">
        <v>57</v>
      </c>
      <c r="AV67" s="2" t="s">
        <v>57</v>
      </c>
      <c r="AW67" s="2" t="s">
        <v>94</v>
      </c>
      <c r="AX67" s="2">
        <v>7.6289059999999997</v>
      </c>
      <c r="AY67" s="2">
        <v>-1</v>
      </c>
      <c r="BA67" s="2">
        <v>-1</v>
      </c>
      <c r="BB67" s="2">
        <v>18425</v>
      </c>
      <c r="BC67" s="2">
        <v>7628906.25</v>
      </c>
    </row>
    <row r="68" spans="1:55" x14ac:dyDescent="0.6">
      <c r="A68" s="2">
        <v>105</v>
      </c>
      <c r="B68" s="2" t="s">
        <v>128</v>
      </c>
      <c r="C68" s="2" t="s">
        <v>55</v>
      </c>
      <c r="D68" s="2">
        <v>121</v>
      </c>
      <c r="E68" s="2">
        <v>80</v>
      </c>
      <c r="F68" s="2">
        <v>80</v>
      </c>
      <c r="G68" s="2">
        <v>2750</v>
      </c>
      <c r="H68" s="2">
        <v>2750</v>
      </c>
      <c r="I68" s="2" t="s">
        <v>57</v>
      </c>
      <c r="J68" s="2" t="s">
        <v>128</v>
      </c>
      <c r="K68" s="2" t="s">
        <v>57</v>
      </c>
      <c r="L68" s="2">
        <v>71.780936999999994</v>
      </c>
      <c r="M68" s="2" t="s">
        <v>58</v>
      </c>
      <c r="N68" s="2" t="s">
        <v>58</v>
      </c>
      <c r="O68" s="2" t="s">
        <v>57</v>
      </c>
      <c r="P68" s="2" t="s">
        <v>57</v>
      </c>
      <c r="Q68" s="2" t="s">
        <v>57</v>
      </c>
      <c r="R68" s="2">
        <v>70</v>
      </c>
      <c r="S68" s="2" t="s">
        <v>57</v>
      </c>
      <c r="T68" s="2" t="s">
        <v>59</v>
      </c>
      <c r="U68" s="2" t="s">
        <v>57</v>
      </c>
      <c r="V68" s="2">
        <v>0.43033900000000003</v>
      </c>
      <c r="W68" s="2" t="s">
        <v>57</v>
      </c>
      <c r="X68" s="2" t="s">
        <v>57</v>
      </c>
      <c r="Y68" s="2" t="s">
        <v>57</v>
      </c>
      <c r="Z68" s="2" t="s">
        <v>57</v>
      </c>
      <c r="AA68" s="2" t="s">
        <v>57</v>
      </c>
      <c r="AB68" s="2" t="s">
        <v>57</v>
      </c>
      <c r="AC68" s="2" t="s">
        <v>57</v>
      </c>
      <c r="AD68" s="2" t="s">
        <v>57</v>
      </c>
      <c r="AE68" s="2" t="s">
        <v>57</v>
      </c>
      <c r="AF68" s="2" t="s">
        <v>57</v>
      </c>
      <c r="AG68" s="2" t="s">
        <v>57</v>
      </c>
      <c r="AH68" s="2" t="s">
        <v>57</v>
      </c>
      <c r="AI68" s="2" t="s">
        <v>57</v>
      </c>
      <c r="AJ68" s="2" t="s">
        <v>57</v>
      </c>
      <c r="AK68" s="2" t="s">
        <v>57</v>
      </c>
      <c r="AL68" s="2" t="s">
        <v>57</v>
      </c>
      <c r="AM68" s="2" t="s">
        <v>57</v>
      </c>
      <c r="AN68" s="2" t="s">
        <v>57</v>
      </c>
      <c r="AO68" s="2" t="s">
        <v>57</v>
      </c>
      <c r="AP68" s="2" t="s">
        <v>57</v>
      </c>
      <c r="AQ68" s="2" t="s">
        <v>57</v>
      </c>
      <c r="AR68" s="2" t="s">
        <v>57</v>
      </c>
      <c r="AS68" s="2" t="s">
        <v>57</v>
      </c>
      <c r="AT68" s="2" t="s">
        <v>57</v>
      </c>
      <c r="AU68" s="2" t="s">
        <v>57</v>
      </c>
      <c r="AV68" s="2" t="s">
        <v>57</v>
      </c>
      <c r="AW68" s="2" t="s">
        <v>60</v>
      </c>
      <c r="AX68" s="2">
        <v>4.6887499999999998</v>
      </c>
      <c r="AY68" s="2">
        <v>1</v>
      </c>
      <c r="AZ68" s="2" t="s">
        <v>61</v>
      </c>
      <c r="BA68" s="2">
        <v>-1</v>
      </c>
      <c r="BB68" s="2">
        <v>13175</v>
      </c>
      <c r="BC68" s="2">
        <v>4688750</v>
      </c>
    </row>
    <row r="69" spans="1:55" x14ac:dyDescent="0.6">
      <c r="A69" s="2">
        <v>106</v>
      </c>
      <c r="B69" s="2" t="s">
        <v>129</v>
      </c>
      <c r="C69" s="2" t="s">
        <v>55</v>
      </c>
      <c r="D69" s="2">
        <v>122</v>
      </c>
      <c r="E69" s="2">
        <v>81</v>
      </c>
      <c r="F69" s="2">
        <v>81</v>
      </c>
      <c r="G69" s="2">
        <v>2751</v>
      </c>
      <c r="H69" s="2">
        <v>2751</v>
      </c>
      <c r="I69" s="2" t="s">
        <v>57</v>
      </c>
      <c r="J69" s="2" t="s">
        <v>129</v>
      </c>
      <c r="K69" s="2" t="s">
        <v>57</v>
      </c>
      <c r="L69" s="2">
        <v>58.073425</v>
      </c>
      <c r="M69" s="2" t="s">
        <v>58</v>
      </c>
      <c r="N69" s="2" t="s">
        <v>58</v>
      </c>
      <c r="O69" s="2" t="s">
        <v>57</v>
      </c>
      <c r="P69" s="2" t="s">
        <v>57</v>
      </c>
      <c r="Q69" s="2" t="s">
        <v>57</v>
      </c>
      <c r="R69" s="2">
        <v>70</v>
      </c>
      <c r="S69" s="2" t="s">
        <v>57</v>
      </c>
      <c r="T69" s="2" t="s">
        <v>59</v>
      </c>
      <c r="U69" s="2" t="s">
        <v>57</v>
      </c>
      <c r="V69" s="2">
        <v>0.52401799999999998</v>
      </c>
      <c r="W69" s="2" t="s">
        <v>57</v>
      </c>
      <c r="X69" s="2" t="s">
        <v>57</v>
      </c>
      <c r="Y69" s="2" t="s">
        <v>57</v>
      </c>
      <c r="Z69" s="2" t="s">
        <v>57</v>
      </c>
      <c r="AA69" s="2" t="s">
        <v>57</v>
      </c>
      <c r="AB69" s="2" t="s">
        <v>57</v>
      </c>
      <c r="AC69" s="2" t="s">
        <v>57</v>
      </c>
      <c r="AD69" s="2" t="s">
        <v>57</v>
      </c>
      <c r="AE69" s="2" t="s">
        <v>57</v>
      </c>
      <c r="AF69" s="2" t="s">
        <v>57</v>
      </c>
      <c r="AG69" s="2" t="s">
        <v>57</v>
      </c>
      <c r="AH69" s="2" t="s">
        <v>57</v>
      </c>
      <c r="AI69" s="2" t="s">
        <v>57</v>
      </c>
      <c r="AJ69" s="2" t="s">
        <v>57</v>
      </c>
      <c r="AK69" s="2" t="s">
        <v>57</v>
      </c>
      <c r="AL69" s="2" t="s">
        <v>57</v>
      </c>
      <c r="AM69" s="2" t="s">
        <v>57</v>
      </c>
      <c r="AN69" s="2" t="s">
        <v>57</v>
      </c>
      <c r="AO69" s="2" t="s">
        <v>57</v>
      </c>
      <c r="AP69" s="2" t="s">
        <v>57</v>
      </c>
      <c r="AQ69" s="2" t="s">
        <v>57</v>
      </c>
      <c r="AR69" s="2" t="s">
        <v>57</v>
      </c>
      <c r="AS69" s="2" t="s">
        <v>57</v>
      </c>
      <c r="AT69" s="2" t="s">
        <v>57</v>
      </c>
      <c r="AU69" s="2" t="s">
        <v>57</v>
      </c>
      <c r="AV69" s="2" t="s">
        <v>57</v>
      </c>
      <c r="AW69" s="2" t="s">
        <v>60</v>
      </c>
      <c r="AX69" s="2">
        <v>4.12</v>
      </c>
      <c r="AY69" s="2">
        <v>1</v>
      </c>
      <c r="AZ69" s="2" t="s">
        <v>61</v>
      </c>
      <c r="BA69" s="2">
        <v>-1</v>
      </c>
      <c r="BB69" s="2">
        <v>14000</v>
      </c>
      <c r="BC69" s="2">
        <v>4120000</v>
      </c>
    </row>
    <row r="70" spans="1:55" x14ac:dyDescent="0.6">
      <c r="A70" s="2">
        <v>42</v>
      </c>
      <c r="B70" s="2" t="s">
        <v>130</v>
      </c>
      <c r="C70" s="2" t="s">
        <v>55</v>
      </c>
      <c r="D70" s="2">
        <v>51</v>
      </c>
      <c r="E70" s="2">
        <v>82</v>
      </c>
      <c r="F70" s="2">
        <v>82</v>
      </c>
      <c r="G70" s="2">
        <v>2752</v>
      </c>
      <c r="H70" s="2">
        <v>2752</v>
      </c>
      <c r="I70" s="2" t="s">
        <v>57</v>
      </c>
      <c r="J70" s="2" t="s">
        <v>130</v>
      </c>
      <c r="K70" s="2" t="s">
        <v>57</v>
      </c>
      <c r="L70" s="2">
        <v>51.381439</v>
      </c>
      <c r="M70" s="2" t="s">
        <v>58</v>
      </c>
      <c r="N70" s="2" t="s">
        <v>58</v>
      </c>
      <c r="O70" s="2" t="s">
        <v>57</v>
      </c>
      <c r="P70" s="2" t="s">
        <v>57</v>
      </c>
      <c r="Q70" s="2" t="s">
        <v>57</v>
      </c>
      <c r="R70" s="2">
        <v>70</v>
      </c>
      <c r="S70" s="2" t="s">
        <v>57</v>
      </c>
      <c r="T70" s="2" t="s">
        <v>59</v>
      </c>
      <c r="U70" s="2" t="s">
        <v>57</v>
      </c>
      <c r="V70" s="2">
        <v>0.50318799999999997</v>
      </c>
      <c r="W70" s="2" t="s">
        <v>57</v>
      </c>
      <c r="X70" s="2" t="s">
        <v>57</v>
      </c>
      <c r="Y70" s="2" t="s">
        <v>57</v>
      </c>
      <c r="Z70" s="2" t="s">
        <v>57</v>
      </c>
      <c r="AA70" s="2" t="s">
        <v>57</v>
      </c>
      <c r="AB70" s="2" t="s">
        <v>57</v>
      </c>
      <c r="AC70" s="2" t="s">
        <v>57</v>
      </c>
      <c r="AD70" s="2" t="s">
        <v>57</v>
      </c>
      <c r="AE70" s="2" t="s">
        <v>57</v>
      </c>
      <c r="AF70" s="2" t="s">
        <v>57</v>
      </c>
      <c r="AG70" s="2" t="s">
        <v>57</v>
      </c>
      <c r="AH70" s="2" t="s">
        <v>57</v>
      </c>
      <c r="AI70" s="2" t="s">
        <v>57</v>
      </c>
      <c r="AJ70" s="2" t="s">
        <v>57</v>
      </c>
      <c r="AK70" s="2" t="s">
        <v>57</v>
      </c>
      <c r="AL70" s="2" t="s">
        <v>57</v>
      </c>
      <c r="AM70" s="2" t="s">
        <v>57</v>
      </c>
      <c r="AN70" s="2" t="s">
        <v>57</v>
      </c>
      <c r="AO70" s="2" t="s">
        <v>57</v>
      </c>
      <c r="AP70" s="2" t="s">
        <v>57</v>
      </c>
      <c r="AQ70" s="2" t="s">
        <v>57</v>
      </c>
      <c r="AR70" s="2" t="s">
        <v>57</v>
      </c>
      <c r="AS70" s="2" t="s">
        <v>57</v>
      </c>
      <c r="AT70" s="2" t="s">
        <v>57</v>
      </c>
      <c r="AU70" s="2" t="s">
        <v>57</v>
      </c>
      <c r="AV70" s="2" t="s">
        <v>57</v>
      </c>
      <c r="AW70" s="2" t="s">
        <v>94</v>
      </c>
      <c r="AX70" s="2">
        <v>4.1290620000000002</v>
      </c>
      <c r="AY70" s="2">
        <v>-1</v>
      </c>
      <c r="BA70" s="2">
        <v>-1</v>
      </c>
      <c r="BB70" s="2">
        <v>12825</v>
      </c>
      <c r="BC70" s="2">
        <v>4129062.5</v>
      </c>
    </row>
    <row r="71" spans="1:55" x14ac:dyDescent="0.6">
      <c r="A71" s="2">
        <v>43</v>
      </c>
      <c r="B71" s="2" t="s">
        <v>131</v>
      </c>
      <c r="C71" s="2" t="s">
        <v>55</v>
      </c>
      <c r="D71" s="2">
        <v>52</v>
      </c>
      <c r="E71" s="2">
        <v>83</v>
      </c>
      <c r="F71" s="2">
        <v>83</v>
      </c>
      <c r="G71" s="2">
        <v>2753</v>
      </c>
      <c r="H71" s="2">
        <v>2753</v>
      </c>
      <c r="I71" s="2" t="s">
        <v>57</v>
      </c>
      <c r="J71" s="2" t="s">
        <v>131</v>
      </c>
      <c r="K71" s="2" t="s">
        <v>57</v>
      </c>
      <c r="L71" s="2">
        <v>61.750518999999997</v>
      </c>
      <c r="M71" s="2" t="s">
        <v>58</v>
      </c>
      <c r="N71" s="2" t="s">
        <v>58</v>
      </c>
      <c r="O71" s="2" t="s">
        <v>57</v>
      </c>
      <c r="P71" s="2" t="s">
        <v>57</v>
      </c>
      <c r="Q71" s="2" t="s">
        <v>57</v>
      </c>
      <c r="R71" s="2">
        <v>70</v>
      </c>
      <c r="S71" s="2" t="s">
        <v>57</v>
      </c>
      <c r="T71" s="2" t="s">
        <v>59</v>
      </c>
      <c r="U71" s="2" t="s">
        <v>57</v>
      </c>
      <c r="V71" s="2">
        <v>0.147952</v>
      </c>
      <c r="W71" s="2" t="s">
        <v>57</v>
      </c>
      <c r="X71" s="2" t="s">
        <v>57</v>
      </c>
      <c r="Y71" s="2" t="s">
        <v>57</v>
      </c>
      <c r="Z71" s="2" t="s">
        <v>57</v>
      </c>
      <c r="AA71" s="2" t="s">
        <v>57</v>
      </c>
      <c r="AB71" s="2" t="s">
        <v>57</v>
      </c>
      <c r="AC71" s="2" t="s">
        <v>57</v>
      </c>
      <c r="AD71" s="2" t="s">
        <v>57</v>
      </c>
      <c r="AE71" s="2" t="s">
        <v>57</v>
      </c>
      <c r="AF71" s="2" t="s">
        <v>57</v>
      </c>
      <c r="AG71" s="2" t="s">
        <v>57</v>
      </c>
      <c r="AH71" s="2" t="s">
        <v>57</v>
      </c>
      <c r="AI71" s="2" t="s">
        <v>57</v>
      </c>
      <c r="AJ71" s="2" t="s">
        <v>57</v>
      </c>
      <c r="AK71" s="2" t="s">
        <v>57</v>
      </c>
      <c r="AL71" s="2" t="s">
        <v>57</v>
      </c>
      <c r="AM71" s="2" t="s">
        <v>57</v>
      </c>
      <c r="AN71" s="2" t="s">
        <v>57</v>
      </c>
      <c r="AO71" s="2" t="s">
        <v>57</v>
      </c>
      <c r="AP71" s="2" t="s">
        <v>57</v>
      </c>
      <c r="AQ71" s="2" t="s">
        <v>57</v>
      </c>
      <c r="AR71" s="2" t="s">
        <v>57</v>
      </c>
      <c r="AS71" s="2" t="s">
        <v>57</v>
      </c>
      <c r="AT71" s="2" t="s">
        <v>57</v>
      </c>
      <c r="AU71" s="2" t="s">
        <v>57</v>
      </c>
      <c r="AV71" s="2" t="s">
        <v>57</v>
      </c>
      <c r="AW71" s="2" t="s">
        <v>94</v>
      </c>
      <c r="AX71" s="2">
        <v>0.41187499999999999</v>
      </c>
      <c r="AY71" s="2">
        <v>-1</v>
      </c>
      <c r="BA71" s="2">
        <v>-1</v>
      </c>
      <c r="BB71" s="2">
        <v>3600</v>
      </c>
      <c r="BC71" s="2">
        <v>411875</v>
      </c>
    </row>
    <row r="72" spans="1:55" x14ac:dyDescent="0.6">
      <c r="A72" s="2">
        <v>44</v>
      </c>
      <c r="B72" s="2" t="s">
        <v>132</v>
      </c>
      <c r="C72" s="2" t="s">
        <v>55</v>
      </c>
      <c r="D72" s="2">
        <v>53</v>
      </c>
      <c r="E72" s="2">
        <v>84</v>
      </c>
      <c r="F72" s="2">
        <v>84</v>
      </c>
      <c r="G72" s="2">
        <v>2754</v>
      </c>
      <c r="H72" s="2">
        <v>2754</v>
      </c>
      <c r="I72" s="2" t="s">
        <v>57</v>
      </c>
      <c r="J72" s="2" t="s">
        <v>132</v>
      </c>
      <c r="K72" s="2" t="s">
        <v>57</v>
      </c>
      <c r="L72" s="2">
        <v>52.117244999999997</v>
      </c>
      <c r="M72" s="2" t="s">
        <v>58</v>
      </c>
      <c r="N72" s="2" t="s">
        <v>58</v>
      </c>
      <c r="O72" s="2" t="s">
        <v>57</v>
      </c>
      <c r="P72" s="2" t="s">
        <v>57</v>
      </c>
      <c r="Q72" s="2" t="s">
        <v>57</v>
      </c>
      <c r="R72" s="2">
        <v>70</v>
      </c>
      <c r="S72" s="2" t="s">
        <v>57</v>
      </c>
      <c r="T72" s="2" t="s">
        <v>59</v>
      </c>
      <c r="U72" s="2" t="s">
        <v>57</v>
      </c>
      <c r="V72" s="2">
        <v>0.58147700000000002</v>
      </c>
      <c r="W72" s="2" t="s">
        <v>57</v>
      </c>
      <c r="X72" s="2" t="s">
        <v>57</v>
      </c>
      <c r="Y72" s="2" t="s">
        <v>57</v>
      </c>
      <c r="Z72" s="2" t="s">
        <v>57</v>
      </c>
      <c r="AA72" s="2" t="s">
        <v>57</v>
      </c>
      <c r="AB72" s="2" t="s">
        <v>57</v>
      </c>
      <c r="AC72" s="2" t="s">
        <v>57</v>
      </c>
      <c r="AD72" s="2" t="s">
        <v>57</v>
      </c>
      <c r="AE72" s="2" t="s">
        <v>57</v>
      </c>
      <c r="AF72" s="2" t="s">
        <v>57</v>
      </c>
      <c r="AG72" s="2" t="s">
        <v>57</v>
      </c>
      <c r="AH72" s="2" t="s">
        <v>57</v>
      </c>
      <c r="AI72" s="2" t="s">
        <v>57</v>
      </c>
      <c r="AJ72" s="2" t="s">
        <v>57</v>
      </c>
      <c r="AK72" s="2" t="s">
        <v>57</v>
      </c>
      <c r="AL72" s="2" t="s">
        <v>57</v>
      </c>
      <c r="AM72" s="2" t="s">
        <v>57</v>
      </c>
      <c r="AN72" s="2" t="s">
        <v>57</v>
      </c>
      <c r="AO72" s="2" t="s">
        <v>57</v>
      </c>
      <c r="AP72" s="2" t="s">
        <v>57</v>
      </c>
      <c r="AQ72" s="2" t="s">
        <v>57</v>
      </c>
      <c r="AR72" s="2" t="s">
        <v>57</v>
      </c>
      <c r="AS72" s="2" t="s">
        <v>57</v>
      </c>
      <c r="AT72" s="2" t="s">
        <v>57</v>
      </c>
      <c r="AU72" s="2" t="s">
        <v>57</v>
      </c>
      <c r="AV72" s="2" t="s">
        <v>57</v>
      </c>
      <c r="AW72" s="2" t="s">
        <v>94</v>
      </c>
      <c r="AX72" s="2">
        <v>4.7676559999999997</v>
      </c>
      <c r="AY72" s="2">
        <v>-1</v>
      </c>
      <c r="BA72" s="2">
        <v>-1</v>
      </c>
      <c r="BB72" s="2">
        <v>13800</v>
      </c>
      <c r="BC72" s="2">
        <v>4767656.25</v>
      </c>
    </row>
    <row r="73" spans="1:55" x14ac:dyDescent="0.6">
      <c r="A73" s="2">
        <v>45</v>
      </c>
      <c r="B73" s="2" t="s">
        <v>133</v>
      </c>
      <c r="C73" s="2" t="s">
        <v>55</v>
      </c>
      <c r="D73" s="2">
        <v>54</v>
      </c>
      <c r="E73" s="2">
        <v>85</v>
      </c>
      <c r="F73" s="2">
        <v>85</v>
      </c>
      <c r="G73" s="2">
        <v>2755</v>
      </c>
      <c r="H73" s="2">
        <v>2755</v>
      </c>
      <c r="I73" s="2" t="s">
        <v>57</v>
      </c>
      <c r="J73" s="2" t="s">
        <v>133</v>
      </c>
      <c r="K73" s="2" t="s">
        <v>57</v>
      </c>
      <c r="L73" s="2">
        <v>64.322677999999996</v>
      </c>
      <c r="M73" s="2" t="s">
        <v>58</v>
      </c>
      <c r="N73" s="2" t="s">
        <v>58</v>
      </c>
      <c r="O73" s="2" t="s">
        <v>57</v>
      </c>
      <c r="P73" s="2" t="s">
        <v>57</v>
      </c>
      <c r="Q73" s="2" t="s">
        <v>57</v>
      </c>
      <c r="R73" s="2">
        <v>70</v>
      </c>
      <c r="S73" s="2" t="s">
        <v>57</v>
      </c>
      <c r="T73" s="2" t="s">
        <v>59</v>
      </c>
      <c r="U73" s="2" t="s">
        <v>57</v>
      </c>
      <c r="V73" s="2">
        <v>0.68714600000000003</v>
      </c>
      <c r="W73" s="2" t="s">
        <v>57</v>
      </c>
      <c r="X73" s="2" t="s">
        <v>57</v>
      </c>
      <c r="Y73" s="2" t="s">
        <v>57</v>
      </c>
      <c r="Z73" s="2" t="s">
        <v>57</v>
      </c>
      <c r="AA73" s="2" t="s">
        <v>57</v>
      </c>
      <c r="AB73" s="2" t="s">
        <v>57</v>
      </c>
      <c r="AC73" s="2" t="s">
        <v>57</v>
      </c>
      <c r="AD73" s="2" t="s">
        <v>57</v>
      </c>
      <c r="AE73" s="2" t="s">
        <v>57</v>
      </c>
      <c r="AF73" s="2" t="s">
        <v>57</v>
      </c>
      <c r="AG73" s="2" t="s">
        <v>57</v>
      </c>
      <c r="AH73" s="2" t="s">
        <v>57</v>
      </c>
      <c r="AI73" s="2" t="s">
        <v>57</v>
      </c>
      <c r="AJ73" s="2" t="s">
        <v>57</v>
      </c>
      <c r="AK73" s="2" t="s">
        <v>57</v>
      </c>
      <c r="AL73" s="2" t="s">
        <v>57</v>
      </c>
      <c r="AM73" s="2" t="s">
        <v>57</v>
      </c>
      <c r="AN73" s="2" t="s">
        <v>57</v>
      </c>
      <c r="AO73" s="2" t="s">
        <v>57</v>
      </c>
      <c r="AP73" s="2" t="s">
        <v>57</v>
      </c>
      <c r="AQ73" s="2" t="s">
        <v>57</v>
      </c>
      <c r="AR73" s="2" t="s">
        <v>57</v>
      </c>
      <c r="AS73" s="2" t="s">
        <v>57</v>
      </c>
      <c r="AT73" s="2" t="s">
        <v>57</v>
      </c>
      <c r="AU73" s="2" t="s">
        <v>57</v>
      </c>
      <c r="AV73" s="2" t="s">
        <v>57</v>
      </c>
      <c r="AW73" s="2" t="s">
        <v>94</v>
      </c>
      <c r="AX73" s="2">
        <v>13.753125000000001</v>
      </c>
      <c r="AY73" s="2">
        <v>-1</v>
      </c>
      <c r="BA73" s="2">
        <v>-1</v>
      </c>
      <c r="BB73" s="2">
        <v>21800</v>
      </c>
      <c r="BC73" s="2">
        <v>13753125</v>
      </c>
    </row>
    <row r="74" spans="1:55" x14ac:dyDescent="0.6">
      <c r="A74" s="2">
        <v>1</v>
      </c>
      <c r="B74" s="2" t="s">
        <v>134</v>
      </c>
      <c r="C74" s="2" t="s">
        <v>55</v>
      </c>
      <c r="D74" s="2">
        <v>5</v>
      </c>
      <c r="E74" s="2">
        <v>19</v>
      </c>
      <c r="F74" s="2">
        <v>19</v>
      </c>
      <c r="G74" s="2">
        <v>2757</v>
      </c>
      <c r="H74" s="2">
        <v>2757</v>
      </c>
      <c r="I74" s="2" t="s">
        <v>57</v>
      </c>
      <c r="J74" s="2" t="s">
        <v>134</v>
      </c>
      <c r="K74" s="2" t="s">
        <v>57</v>
      </c>
      <c r="L74" s="2">
        <v>6.0419879999999999</v>
      </c>
      <c r="M74" s="2" t="s">
        <v>58</v>
      </c>
      <c r="N74" s="2" t="s">
        <v>58</v>
      </c>
      <c r="O74" s="2" t="s">
        <v>57</v>
      </c>
      <c r="P74" s="2" t="s">
        <v>57</v>
      </c>
      <c r="Q74" s="2" t="s">
        <v>57</v>
      </c>
      <c r="R74" s="2">
        <v>71.069999999999993</v>
      </c>
      <c r="S74" s="2" t="s">
        <v>57</v>
      </c>
      <c r="T74" s="2" t="s">
        <v>59</v>
      </c>
      <c r="U74" s="2" t="s">
        <v>57</v>
      </c>
      <c r="V74" s="2">
        <v>0.54872799999999999</v>
      </c>
      <c r="W74" s="2" t="s">
        <v>57</v>
      </c>
      <c r="X74" s="2" t="s">
        <v>57</v>
      </c>
      <c r="Y74" s="2" t="s">
        <v>57</v>
      </c>
      <c r="Z74" s="2" t="s">
        <v>57</v>
      </c>
      <c r="AA74" s="2" t="s">
        <v>57</v>
      </c>
      <c r="AB74" s="2" t="s">
        <v>57</v>
      </c>
      <c r="AC74" s="2" t="s">
        <v>57</v>
      </c>
      <c r="AD74" s="2" t="s">
        <v>57</v>
      </c>
      <c r="AE74" s="2" t="s">
        <v>57</v>
      </c>
      <c r="AF74" s="2" t="s">
        <v>57</v>
      </c>
      <c r="AG74" s="2" t="s">
        <v>57</v>
      </c>
      <c r="AH74" s="2" t="s">
        <v>57</v>
      </c>
      <c r="AI74" s="2" t="s">
        <v>57</v>
      </c>
      <c r="AJ74" s="2" t="s">
        <v>57</v>
      </c>
      <c r="AK74" s="2" t="s">
        <v>57</v>
      </c>
      <c r="AL74" s="2" t="s">
        <v>57</v>
      </c>
      <c r="AM74" s="2" t="s">
        <v>57</v>
      </c>
      <c r="AN74" s="2" t="s">
        <v>57</v>
      </c>
      <c r="AO74" s="2" t="s">
        <v>57</v>
      </c>
      <c r="AP74" s="2" t="s">
        <v>57</v>
      </c>
      <c r="AQ74" s="2" t="s">
        <v>57</v>
      </c>
      <c r="AR74" s="2" t="s">
        <v>57</v>
      </c>
      <c r="AS74" s="2" t="s">
        <v>57</v>
      </c>
      <c r="AT74" s="2" t="s">
        <v>57</v>
      </c>
      <c r="AU74" s="2" t="s">
        <v>57</v>
      </c>
      <c r="AV74" s="2" t="s">
        <v>57</v>
      </c>
      <c r="AW74" s="2" t="s">
        <v>57</v>
      </c>
      <c r="AX74" s="2">
        <v>0.245583</v>
      </c>
      <c r="AY74" s="2">
        <v>-1</v>
      </c>
      <c r="BA74" s="2">
        <v>-1</v>
      </c>
      <c r="BB74" s="2">
        <v>2985.842118</v>
      </c>
      <c r="BC74" s="2">
        <v>245583.06768499999</v>
      </c>
    </row>
    <row r="75" spans="1:55" x14ac:dyDescent="0.6">
      <c r="A75" s="2">
        <v>4</v>
      </c>
      <c r="B75" s="2" t="s">
        <v>135</v>
      </c>
      <c r="C75" s="2" t="s">
        <v>55</v>
      </c>
      <c r="D75" s="2">
        <v>10</v>
      </c>
      <c r="E75" s="2">
        <v>25</v>
      </c>
      <c r="F75" s="2">
        <v>25</v>
      </c>
      <c r="G75" s="2">
        <v>2762</v>
      </c>
      <c r="H75" s="2">
        <v>2762</v>
      </c>
      <c r="I75" s="2" t="s">
        <v>57</v>
      </c>
      <c r="J75" s="2" t="s">
        <v>135</v>
      </c>
      <c r="K75" s="2" t="s">
        <v>57</v>
      </c>
      <c r="L75" s="2">
        <v>5.292243</v>
      </c>
      <c r="M75" s="2" t="s">
        <v>58</v>
      </c>
      <c r="N75" s="2" t="s">
        <v>58</v>
      </c>
      <c r="O75" s="2" t="s">
        <v>57</v>
      </c>
      <c r="P75" s="2" t="s">
        <v>57</v>
      </c>
      <c r="Q75" s="2" t="s">
        <v>57</v>
      </c>
      <c r="R75" s="2">
        <v>71.069999999999993</v>
      </c>
      <c r="S75" s="2" t="s">
        <v>57</v>
      </c>
      <c r="T75" s="2" t="s">
        <v>59</v>
      </c>
      <c r="U75" s="2" t="s">
        <v>57</v>
      </c>
      <c r="V75" s="2">
        <v>0.81409900000000002</v>
      </c>
      <c r="W75" s="2" t="s">
        <v>57</v>
      </c>
      <c r="X75" s="2" t="s">
        <v>57</v>
      </c>
      <c r="Y75" s="2" t="s">
        <v>57</v>
      </c>
      <c r="Z75" s="2" t="s">
        <v>57</v>
      </c>
      <c r="AA75" s="2" t="s">
        <v>57</v>
      </c>
      <c r="AB75" s="2" t="s">
        <v>57</v>
      </c>
      <c r="AC75" s="2" t="s">
        <v>57</v>
      </c>
      <c r="AD75" s="2" t="s">
        <v>57</v>
      </c>
      <c r="AE75" s="2" t="s">
        <v>57</v>
      </c>
      <c r="AF75" s="2" t="s">
        <v>57</v>
      </c>
      <c r="AG75" s="2" t="s">
        <v>57</v>
      </c>
      <c r="AH75" s="2" t="s">
        <v>57</v>
      </c>
      <c r="AI75" s="2" t="s">
        <v>57</v>
      </c>
      <c r="AJ75" s="2" t="s">
        <v>57</v>
      </c>
      <c r="AK75" s="2" t="s">
        <v>57</v>
      </c>
      <c r="AL75" s="2" t="s">
        <v>57</v>
      </c>
      <c r="AM75" s="2" t="s">
        <v>57</v>
      </c>
      <c r="AN75" s="2" t="s">
        <v>57</v>
      </c>
      <c r="AO75" s="2" t="s">
        <v>57</v>
      </c>
      <c r="AP75" s="2" t="s">
        <v>57</v>
      </c>
      <c r="AQ75" s="2" t="s">
        <v>57</v>
      </c>
      <c r="AR75" s="2" t="s">
        <v>57</v>
      </c>
      <c r="AS75" s="2" t="s">
        <v>57</v>
      </c>
      <c r="AT75" s="2" t="s">
        <v>57</v>
      </c>
      <c r="AU75" s="2" t="s">
        <v>57</v>
      </c>
      <c r="AV75" s="2" t="s">
        <v>57</v>
      </c>
      <c r="AW75" s="2" t="s">
        <v>57</v>
      </c>
      <c r="AX75" s="2">
        <v>0.61933899999999997</v>
      </c>
      <c r="AY75" s="2">
        <v>-1</v>
      </c>
      <c r="BA75" s="2">
        <v>-1</v>
      </c>
      <c r="BB75" s="2">
        <v>5036.8645459999998</v>
      </c>
      <c r="BC75" s="2">
        <v>619338.83008400002</v>
      </c>
    </row>
    <row r="76" spans="1:55" x14ac:dyDescent="0.6">
      <c r="A76" s="2">
        <v>46</v>
      </c>
      <c r="B76" s="2" t="s">
        <v>136</v>
      </c>
      <c r="C76" s="2" t="s">
        <v>55</v>
      </c>
      <c r="D76" s="2">
        <v>55</v>
      </c>
      <c r="E76" s="2">
        <v>87</v>
      </c>
      <c r="F76" s="2" t="s">
        <v>57</v>
      </c>
      <c r="G76" s="2">
        <v>2763</v>
      </c>
      <c r="H76" s="2">
        <v>2763</v>
      </c>
      <c r="I76" s="2" t="s">
        <v>57</v>
      </c>
      <c r="J76" s="2" t="s">
        <v>136</v>
      </c>
      <c r="K76" s="2" t="s">
        <v>57</v>
      </c>
      <c r="L76" s="2">
        <v>5.3798219999999999</v>
      </c>
      <c r="M76" s="2" t="s">
        <v>58</v>
      </c>
      <c r="N76" s="2" t="s">
        <v>58</v>
      </c>
      <c r="O76" s="2" t="s">
        <v>57</v>
      </c>
      <c r="P76" s="2" t="s">
        <v>57</v>
      </c>
      <c r="Q76" s="2" t="s">
        <v>57</v>
      </c>
      <c r="R76" s="2">
        <v>74.337410000000006</v>
      </c>
      <c r="S76" s="2" t="s">
        <v>57</v>
      </c>
      <c r="T76" s="2" t="s">
        <v>59</v>
      </c>
      <c r="U76" s="2" t="s">
        <v>57</v>
      </c>
      <c r="V76" s="2">
        <v>2.3884699999999999</v>
      </c>
      <c r="W76" s="2" t="s">
        <v>57</v>
      </c>
      <c r="X76" s="2" t="s">
        <v>57</v>
      </c>
      <c r="Y76" s="2" t="s">
        <v>57</v>
      </c>
      <c r="Z76" s="2" t="s">
        <v>57</v>
      </c>
      <c r="AA76" s="2" t="s">
        <v>57</v>
      </c>
      <c r="AB76" s="2" t="s">
        <v>57</v>
      </c>
      <c r="AC76" s="2" t="s">
        <v>57</v>
      </c>
      <c r="AD76" s="2" t="s">
        <v>57</v>
      </c>
      <c r="AE76" s="2" t="s">
        <v>57</v>
      </c>
      <c r="AF76" s="2" t="s">
        <v>57</v>
      </c>
      <c r="AG76" s="2" t="s">
        <v>57</v>
      </c>
      <c r="AH76" s="2" t="s">
        <v>57</v>
      </c>
      <c r="AI76" s="2" t="s">
        <v>57</v>
      </c>
      <c r="AJ76" s="2" t="s">
        <v>57</v>
      </c>
      <c r="AK76" s="2" t="s">
        <v>57</v>
      </c>
      <c r="AL76" s="2" t="s">
        <v>57</v>
      </c>
      <c r="AM76" s="2" t="s">
        <v>57</v>
      </c>
      <c r="AN76" s="2" t="s">
        <v>57</v>
      </c>
      <c r="AO76" s="2" t="s">
        <v>57</v>
      </c>
      <c r="AP76" s="2" t="s">
        <v>57</v>
      </c>
      <c r="AQ76" s="2" t="s">
        <v>57</v>
      </c>
      <c r="AR76" s="2" t="s">
        <v>57</v>
      </c>
      <c r="AS76" s="2" t="s">
        <v>57</v>
      </c>
      <c r="AT76" s="2" t="s">
        <v>57</v>
      </c>
      <c r="AU76" s="2" t="s">
        <v>57</v>
      </c>
      <c r="AV76" s="2" t="s">
        <v>57</v>
      </c>
      <c r="AW76" s="2" t="s">
        <v>137</v>
      </c>
      <c r="AX76" s="2">
        <v>4.2537859999999998</v>
      </c>
      <c r="AY76" s="2">
        <v>-1</v>
      </c>
      <c r="BA76" s="2">
        <v>-1</v>
      </c>
      <c r="BB76" s="2">
        <v>24775.244146000001</v>
      </c>
      <c r="BC76" s="2">
        <v>4253786.1699160002</v>
      </c>
    </row>
    <row r="77" spans="1:55" x14ac:dyDescent="0.6">
      <c r="A77" s="2">
        <v>9</v>
      </c>
      <c r="B77" s="2" t="s">
        <v>138</v>
      </c>
      <c r="C77" s="2" t="s">
        <v>55</v>
      </c>
      <c r="D77" s="2">
        <v>18</v>
      </c>
      <c r="E77" s="2">
        <v>37</v>
      </c>
      <c r="F77" s="2">
        <v>37</v>
      </c>
      <c r="G77" s="2">
        <v>2767</v>
      </c>
      <c r="H77" s="2">
        <v>2767</v>
      </c>
      <c r="I77" s="2" t="s">
        <v>57</v>
      </c>
      <c r="J77" s="2" t="s">
        <v>138</v>
      </c>
      <c r="K77" s="2" t="s">
        <v>57</v>
      </c>
      <c r="L77" s="2">
        <v>5.6416529999999998</v>
      </c>
      <c r="M77" s="2" t="s">
        <v>58</v>
      </c>
      <c r="N77" s="2" t="s">
        <v>58</v>
      </c>
      <c r="O77" s="2" t="s">
        <v>57</v>
      </c>
      <c r="P77" s="2" t="s">
        <v>57</v>
      </c>
      <c r="Q77" s="2" t="s">
        <v>57</v>
      </c>
      <c r="R77" s="2">
        <v>71.069999999999993</v>
      </c>
      <c r="S77" s="2" t="s">
        <v>57</v>
      </c>
      <c r="T77" s="2" t="s">
        <v>59</v>
      </c>
      <c r="U77" s="2" t="s">
        <v>57</v>
      </c>
      <c r="V77" s="2">
        <v>0.90934300000000001</v>
      </c>
      <c r="W77" s="2" t="s">
        <v>57</v>
      </c>
      <c r="X77" s="2" t="s">
        <v>57</v>
      </c>
      <c r="Y77" s="2" t="s">
        <v>57</v>
      </c>
      <c r="Z77" s="2" t="s">
        <v>57</v>
      </c>
      <c r="AA77" s="2" t="s">
        <v>57</v>
      </c>
      <c r="AB77" s="2" t="s">
        <v>57</v>
      </c>
      <c r="AC77" s="2" t="s">
        <v>57</v>
      </c>
      <c r="AD77" s="2" t="s">
        <v>57</v>
      </c>
      <c r="AE77" s="2" t="s">
        <v>57</v>
      </c>
      <c r="AF77" s="2" t="s">
        <v>57</v>
      </c>
      <c r="AG77" s="2" t="s">
        <v>57</v>
      </c>
      <c r="AH77" s="2" t="s">
        <v>57</v>
      </c>
      <c r="AI77" s="2" t="s">
        <v>57</v>
      </c>
      <c r="AJ77" s="2" t="s">
        <v>57</v>
      </c>
      <c r="AK77" s="2" t="s">
        <v>57</v>
      </c>
      <c r="AL77" s="2" t="s">
        <v>57</v>
      </c>
      <c r="AM77" s="2" t="s">
        <v>57</v>
      </c>
      <c r="AN77" s="2" t="s">
        <v>57</v>
      </c>
      <c r="AO77" s="2" t="s">
        <v>57</v>
      </c>
      <c r="AP77" s="2" t="s">
        <v>57</v>
      </c>
      <c r="AQ77" s="2" t="s">
        <v>57</v>
      </c>
      <c r="AR77" s="2" t="s">
        <v>57</v>
      </c>
      <c r="AS77" s="2" t="s">
        <v>57</v>
      </c>
      <c r="AT77" s="2" t="s">
        <v>57</v>
      </c>
      <c r="AU77" s="2" t="s">
        <v>57</v>
      </c>
      <c r="AV77" s="2" t="s">
        <v>57</v>
      </c>
      <c r="AW77" s="2" t="s">
        <v>57</v>
      </c>
      <c r="AX77" s="2">
        <v>0.57643100000000003</v>
      </c>
      <c r="AY77" s="2">
        <v>-1</v>
      </c>
      <c r="BA77" s="2">
        <v>-1</v>
      </c>
      <c r="BB77" s="2">
        <v>5164.8984870000004</v>
      </c>
      <c r="BC77" s="2">
        <v>576431.21990300005</v>
      </c>
    </row>
    <row r="78" spans="1:55" x14ac:dyDescent="0.6">
      <c r="A78" s="2">
        <v>47</v>
      </c>
      <c r="B78" s="2" t="s">
        <v>139</v>
      </c>
      <c r="C78" s="2" t="s">
        <v>55</v>
      </c>
      <c r="D78" s="2">
        <v>56</v>
      </c>
      <c r="E78" s="2">
        <v>88</v>
      </c>
      <c r="F78" s="2" t="s">
        <v>57</v>
      </c>
      <c r="G78" s="2">
        <v>2768</v>
      </c>
      <c r="H78" s="2">
        <v>2768</v>
      </c>
      <c r="I78" s="2" t="s">
        <v>57</v>
      </c>
      <c r="J78" s="2" t="s">
        <v>139</v>
      </c>
      <c r="K78" s="2" t="s">
        <v>57</v>
      </c>
      <c r="L78" s="2">
        <v>5.0071009999999996</v>
      </c>
      <c r="M78" s="2" t="s">
        <v>58</v>
      </c>
      <c r="N78" s="2" t="s">
        <v>58</v>
      </c>
      <c r="O78" s="2" t="s">
        <v>57</v>
      </c>
      <c r="P78" s="2" t="s">
        <v>57</v>
      </c>
      <c r="Q78" s="2" t="s">
        <v>57</v>
      </c>
      <c r="R78" s="2">
        <v>71.836309999999997</v>
      </c>
      <c r="S78" s="2" t="s">
        <v>57</v>
      </c>
      <c r="T78" s="2" t="s">
        <v>59</v>
      </c>
      <c r="U78" s="2" t="s">
        <v>57</v>
      </c>
      <c r="V78" s="2">
        <v>1.0858300000000001</v>
      </c>
      <c r="W78" s="2" t="s">
        <v>57</v>
      </c>
      <c r="X78" s="2" t="s">
        <v>57</v>
      </c>
      <c r="Y78" s="2" t="s">
        <v>57</v>
      </c>
      <c r="Z78" s="2" t="s">
        <v>57</v>
      </c>
      <c r="AA78" s="2" t="s">
        <v>57</v>
      </c>
      <c r="AB78" s="2" t="s">
        <v>57</v>
      </c>
      <c r="AC78" s="2" t="s">
        <v>57</v>
      </c>
      <c r="AD78" s="2" t="s">
        <v>57</v>
      </c>
      <c r="AE78" s="2" t="s">
        <v>57</v>
      </c>
      <c r="AF78" s="2" t="s">
        <v>57</v>
      </c>
      <c r="AG78" s="2" t="s">
        <v>57</v>
      </c>
      <c r="AH78" s="2" t="s">
        <v>57</v>
      </c>
      <c r="AI78" s="2" t="s">
        <v>57</v>
      </c>
      <c r="AJ78" s="2" t="s">
        <v>57</v>
      </c>
      <c r="AK78" s="2" t="s">
        <v>57</v>
      </c>
      <c r="AL78" s="2" t="s">
        <v>57</v>
      </c>
      <c r="AM78" s="2" t="s">
        <v>57</v>
      </c>
      <c r="AN78" s="2" t="s">
        <v>57</v>
      </c>
      <c r="AO78" s="2" t="s">
        <v>57</v>
      </c>
      <c r="AP78" s="2" t="s">
        <v>57</v>
      </c>
      <c r="AQ78" s="2" t="s">
        <v>57</v>
      </c>
      <c r="AR78" s="2" t="s">
        <v>57</v>
      </c>
      <c r="AS78" s="2" t="s">
        <v>57</v>
      </c>
      <c r="AT78" s="2" t="s">
        <v>57</v>
      </c>
      <c r="AU78" s="2" t="s">
        <v>57</v>
      </c>
      <c r="AV78" s="2" t="s">
        <v>57</v>
      </c>
      <c r="AW78" s="2" t="s">
        <v>94</v>
      </c>
      <c r="AX78" s="2">
        <v>0.41200599999999998</v>
      </c>
      <c r="AY78" s="2">
        <v>-1</v>
      </c>
      <c r="BA78" s="2">
        <v>-1</v>
      </c>
      <c r="BB78" s="2">
        <v>7147.6574870000004</v>
      </c>
      <c r="BC78" s="2">
        <v>412006.28009700001</v>
      </c>
    </row>
    <row r="79" spans="1:55" x14ac:dyDescent="0.6">
      <c r="A79" s="2">
        <v>48</v>
      </c>
      <c r="B79" s="2" t="s">
        <v>140</v>
      </c>
      <c r="C79" s="2" t="s">
        <v>55</v>
      </c>
      <c r="D79" s="2">
        <v>57</v>
      </c>
      <c r="E79" s="2">
        <v>89</v>
      </c>
      <c r="F79" s="2" t="s">
        <v>57</v>
      </c>
      <c r="G79" s="2">
        <v>2773</v>
      </c>
      <c r="H79" s="2">
        <v>2773</v>
      </c>
      <c r="I79" s="2" t="s">
        <v>57</v>
      </c>
      <c r="J79" s="2" t="s">
        <v>140</v>
      </c>
      <c r="K79" s="2" t="s">
        <v>57</v>
      </c>
      <c r="L79" s="2">
        <v>6.3363139999999998</v>
      </c>
      <c r="M79" s="2" t="s">
        <v>58</v>
      </c>
      <c r="N79" s="2" t="s">
        <v>58</v>
      </c>
      <c r="O79" s="2" t="s">
        <v>57</v>
      </c>
      <c r="P79" s="2" t="s">
        <v>57</v>
      </c>
      <c r="Q79" s="2" t="s">
        <v>57</v>
      </c>
      <c r="R79" s="2">
        <v>57.405239999999999</v>
      </c>
      <c r="S79" s="2" t="s">
        <v>57</v>
      </c>
      <c r="T79" s="2" t="s">
        <v>59</v>
      </c>
      <c r="U79" s="2" t="s">
        <v>57</v>
      </c>
      <c r="V79" s="2">
        <v>2.8089550000000001</v>
      </c>
      <c r="W79" s="2" t="s">
        <v>57</v>
      </c>
      <c r="X79" s="2" t="s">
        <v>57</v>
      </c>
      <c r="Y79" s="2" t="s">
        <v>57</v>
      </c>
      <c r="Z79" s="2" t="s">
        <v>57</v>
      </c>
      <c r="AA79" s="2" t="s">
        <v>57</v>
      </c>
      <c r="AB79" s="2" t="s">
        <v>57</v>
      </c>
      <c r="AC79" s="2" t="s">
        <v>57</v>
      </c>
      <c r="AD79" s="2" t="s">
        <v>57</v>
      </c>
      <c r="AE79" s="2" t="s">
        <v>57</v>
      </c>
      <c r="AF79" s="2" t="s">
        <v>57</v>
      </c>
      <c r="AG79" s="2" t="s">
        <v>57</v>
      </c>
      <c r="AH79" s="2" t="s">
        <v>57</v>
      </c>
      <c r="AI79" s="2" t="s">
        <v>57</v>
      </c>
      <c r="AJ79" s="2" t="s">
        <v>57</v>
      </c>
      <c r="AK79" s="2" t="s">
        <v>57</v>
      </c>
      <c r="AL79" s="2" t="s">
        <v>57</v>
      </c>
      <c r="AM79" s="2" t="s">
        <v>57</v>
      </c>
      <c r="AN79" s="2" t="s">
        <v>57</v>
      </c>
      <c r="AO79" s="2" t="s">
        <v>57</v>
      </c>
      <c r="AP79" s="2" t="s">
        <v>57</v>
      </c>
      <c r="AQ79" s="2" t="s">
        <v>57</v>
      </c>
      <c r="AR79" s="2" t="s">
        <v>57</v>
      </c>
      <c r="AS79" s="2" t="s">
        <v>57</v>
      </c>
      <c r="AT79" s="2" t="s">
        <v>57</v>
      </c>
      <c r="AU79" s="2" t="s">
        <v>57</v>
      </c>
      <c r="AV79" s="2" t="s">
        <v>57</v>
      </c>
      <c r="AW79" s="2" t="s">
        <v>94</v>
      </c>
      <c r="AX79" s="2">
        <v>6.413125</v>
      </c>
      <c r="AY79" s="2">
        <v>-1</v>
      </c>
      <c r="BA79" s="2">
        <v>-1</v>
      </c>
      <c r="BB79" s="2">
        <v>21675</v>
      </c>
      <c r="BC79" s="2">
        <v>6413125</v>
      </c>
    </row>
    <row r="80" spans="1:55" x14ac:dyDescent="0.6">
      <c r="A80" s="2">
        <v>49</v>
      </c>
      <c r="B80" s="2" t="s">
        <v>141</v>
      </c>
      <c r="C80" s="2" t="s">
        <v>55</v>
      </c>
      <c r="D80" s="2">
        <v>58</v>
      </c>
      <c r="E80" s="2">
        <v>90</v>
      </c>
      <c r="F80" s="2" t="s">
        <v>57</v>
      </c>
      <c r="G80" s="2">
        <v>2778</v>
      </c>
      <c r="H80" s="2">
        <v>2778</v>
      </c>
      <c r="I80" s="2" t="s">
        <v>57</v>
      </c>
      <c r="J80" s="2" t="s">
        <v>141</v>
      </c>
      <c r="K80" s="2" t="s">
        <v>57</v>
      </c>
      <c r="L80" s="2">
        <v>8.2658430000000003</v>
      </c>
      <c r="M80" s="2" t="s">
        <v>58</v>
      </c>
      <c r="N80" s="2" t="s">
        <v>58</v>
      </c>
      <c r="O80" s="2" t="s">
        <v>57</v>
      </c>
      <c r="P80" s="2" t="s">
        <v>57</v>
      </c>
      <c r="Q80" s="2" t="s">
        <v>57</v>
      </c>
      <c r="R80" s="2">
        <v>61.188766999999999</v>
      </c>
      <c r="S80" s="2" t="s">
        <v>57</v>
      </c>
      <c r="T80" s="2" t="s">
        <v>59</v>
      </c>
      <c r="U80" s="2" t="s">
        <v>57</v>
      </c>
      <c r="V80" s="2">
        <v>2.2429519999999998</v>
      </c>
      <c r="W80" s="2" t="s">
        <v>57</v>
      </c>
      <c r="X80" s="2" t="s">
        <v>57</v>
      </c>
      <c r="Y80" s="2" t="s">
        <v>57</v>
      </c>
      <c r="Z80" s="2" t="s">
        <v>57</v>
      </c>
      <c r="AA80" s="2" t="s">
        <v>57</v>
      </c>
      <c r="AB80" s="2" t="s">
        <v>57</v>
      </c>
      <c r="AC80" s="2" t="s">
        <v>57</v>
      </c>
      <c r="AD80" s="2" t="s">
        <v>57</v>
      </c>
      <c r="AE80" s="2" t="s">
        <v>57</v>
      </c>
      <c r="AF80" s="2" t="s">
        <v>57</v>
      </c>
      <c r="AG80" s="2" t="s">
        <v>57</v>
      </c>
      <c r="AH80" s="2" t="s">
        <v>57</v>
      </c>
      <c r="AI80" s="2" t="s">
        <v>57</v>
      </c>
      <c r="AJ80" s="2" t="s">
        <v>57</v>
      </c>
      <c r="AK80" s="2" t="s">
        <v>57</v>
      </c>
      <c r="AL80" s="2" t="s">
        <v>57</v>
      </c>
      <c r="AM80" s="2" t="s">
        <v>57</v>
      </c>
      <c r="AN80" s="2" t="s">
        <v>57</v>
      </c>
      <c r="AO80" s="2" t="s">
        <v>57</v>
      </c>
      <c r="AP80" s="2" t="s">
        <v>57</v>
      </c>
      <c r="AQ80" s="2" t="s">
        <v>57</v>
      </c>
      <c r="AR80" s="2" t="s">
        <v>57</v>
      </c>
      <c r="AS80" s="2" t="s">
        <v>57</v>
      </c>
      <c r="AT80" s="2" t="s">
        <v>57</v>
      </c>
      <c r="AU80" s="2" t="s">
        <v>57</v>
      </c>
      <c r="AV80" s="2" t="s">
        <v>57</v>
      </c>
      <c r="AW80" s="2" t="s">
        <v>94</v>
      </c>
      <c r="AX80" s="2">
        <v>6.2557809999999998</v>
      </c>
      <c r="AY80" s="2">
        <v>-1</v>
      </c>
      <c r="BA80" s="2">
        <v>-1</v>
      </c>
      <c r="BB80" s="2">
        <v>19500</v>
      </c>
      <c r="BC80" s="2">
        <v>6255781.25</v>
      </c>
    </row>
    <row r="81" spans="1:55" x14ac:dyDescent="0.6">
      <c r="A81" s="2">
        <v>50</v>
      </c>
      <c r="B81" s="2" t="s">
        <v>142</v>
      </c>
      <c r="C81" s="2" t="s">
        <v>55</v>
      </c>
      <c r="D81" s="2">
        <v>59</v>
      </c>
      <c r="E81" s="2">
        <v>91</v>
      </c>
      <c r="F81" s="2" t="s">
        <v>57</v>
      </c>
      <c r="G81" s="2">
        <v>2783</v>
      </c>
      <c r="H81" s="2">
        <v>2783</v>
      </c>
      <c r="I81" s="2" t="s">
        <v>57</v>
      </c>
      <c r="J81" s="2" t="s">
        <v>142</v>
      </c>
      <c r="K81" s="2" t="s">
        <v>57</v>
      </c>
      <c r="L81" s="2">
        <v>5.6006689999999999</v>
      </c>
      <c r="M81" s="2" t="s">
        <v>58</v>
      </c>
      <c r="N81" s="2" t="s">
        <v>58</v>
      </c>
      <c r="O81" s="2" t="s">
        <v>57</v>
      </c>
      <c r="P81" s="2" t="s">
        <v>57</v>
      </c>
      <c r="Q81" s="2" t="s">
        <v>57</v>
      </c>
      <c r="R81" s="2">
        <v>73.666695000000004</v>
      </c>
      <c r="S81" s="2" t="s">
        <v>57</v>
      </c>
      <c r="T81" s="2" t="s">
        <v>59</v>
      </c>
      <c r="U81" s="2" t="s">
        <v>57</v>
      </c>
      <c r="V81" s="2">
        <v>1.3457969999999999</v>
      </c>
      <c r="W81" s="2" t="s">
        <v>57</v>
      </c>
      <c r="X81" s="2" t="s">
        <v>57</v>
      </c>
      <c r="Y81" s="2" t="s">
        <v>57</v>
      </c>
      <c r="Z81" s="2" t="s">
        <v>57</v>
      </c>
      <c r="AA81" s="2" t="s">
        <v>57</v>
      </c>
      <c r="AB81" s="2" t="s">
        <v>57</v>
      </c>
      <c r="AC81" s="2" t="s">
        <v>57</v>
      </c>
      <c r="AD81" s="2" t="s">
        <v>57</v>
      </c>
      <c r="AE81" s="2" t="s">
        <v>57</v>
      </c>
      <c r="AF81" s="2" t="s">
        <v>57</v>
      </c>
      <c r="AG81" s="2" t="s">
        <v>57</v>
      </c>
      <c r="AH81" s="2" t="s">
        <v>57</v>
      </c>
      <c r="AI81" s="2" t="s">
        <v>57</v>
      </c>
      <c r="AJ81" s="2" t="s">
        <v>57</v>
      </c>
      <c r="AK81" s="2" t="s">
        <v>57</v>
      </c>
      <c r="AL81" s="2" t="s">
        <v>57</v>
      </c>
      <c r="AM81" s="2" t="s">
        <v>57</v>
      </c>
      <c r="AN81" s="2" t="s">
        <v>57</v>
      </c>
      <c r="AO81" s="2" t="s">
        <v>57</v>
      </c>
      <c r="AP81" s="2" t="s">
        <v>57</v>
      </c>
      <c r="AQ81" s="2" t="s">
        <v>57</v>
      </c>
      <c r="AR81" s="2" t="s">
        <v>57</v>
      </c>
      <c r="AS81" s="2" t="s">
        <v>57</v>
      </c>
      <c r="AT81" s="2" t="s">
        <v>57</v>
      </c>
      <c r="AU81" s="2" t="s">
        <v>57</v>
      </c>
      <c r="AV81" s="2" t="s">
        <v>57</v>
      </c>
      <c r="AW81" s="2" t="s">
        <v>94</v>
      </c>
      <c r="AX81" s="2">
        <v>4.0568749999999998</v>
      </c>
      <c r="AY81" s="2">
        <v>-1</v>
      </c>
      <c r="BA81" s="2">
        <v>-1</v>
      </c>
      <c r="BB81" s="2">
        <v>16500</v>
      </c>
      <c r="BC81" s="2">
        <v>4056875</v>
      </c>
    </row>
    <row r="82" spans="1:55" x14ac:dyDescent="0.6">
      <c r="A82" s="2">
        <v>20</v>
      </c>
      <c r="B82" s="2" t="s">
        <v>143</v>
      </c>
      <c r="C82" s="2" t="s">
        <v>55</v>
      </c>
      <c r="D82" s="2">
        <v>29</v>
      </c>
      <c r="E82" s="2">
        <v>49</v>
      </c>
      <c r="F82" s="2">
        <v>49</v>
      </c>
      <c r="G82" s="2">
        <v>2787</v>
      </c>
      <c r="H82" s="2">
        <v>2787</v>
      </c>
      <c r="I82" s="2" t="s">
        <v>57</v>
      </c>
      <c r="J82" s="2" t="s">
        <v>143</v>
      </c>
      <c r="K82" s="2" t="s">
        <v>57</v>
      </c>
      <c r="L82" s="2">
        <v>5.3205239999999998</v>
      </c>
      <c r="M82" s="2" t="s">
        <v>58</v>
      </c>
      <c r="N82" s="2" t="s">
        <v>58</v>
      </c>
      <c r="O82" s="2" t="s">
        <v>57</v>
      </c>
      <c r="P82" s="2" t="s">
        <v>57</v>
      </c>
      <c r="Q82" s="2" t="s">
        <v>57</v>
      </c>
      <c r="R82" s="2">
        <v>82</v>
      </c>
      <c r="S82" s="2" t="s">
        <v>57</v>
      </c>
      <c r="T82" s="2" t="s">
        <v>59</v>
      </c>
      <c r="U82" s="2" t="s">
        <v>57</v>
      </c>
      <c r="V82" s="2">
        <v>0.40508699999999997</v>
      </c>
      <c r="W82" s="2" t="s">
        <v>57</v>
      </c>
      <c r="X82" s="2" t="s">
        <v>57</v>
      </c>
      <c r="Y82" s="2" t="s">
        <v>57</v>
      </c>
      <c r="Z82" s="2" t="s">
        <v>57</v>
      </c>
      <c r="AA82" s="2" t="s">
        <v>57</v>
      </c>
      <c r="AB82" s="2" t="s">
        <v>57</v>
      </c>
      <c r="AC82" s="2" t="s">
        <v>57</v>
      </c>
      <c r="AD82" s="2" t="s">
        <v>57</v>
      </c>
      <c r="AE82" s="2" t="s">
        <v>57</v>
      </c>
      <c r="AF82" s="2" t="s">
        <v>57</v>
      </c>
      <c r="AG82" s="2" t="s">
        <v>57</v>
      </c>
      <c r="AH82" s="2" t="s">
        <v>57</v>
      </c>
      <c r="AI82" s="2" t="s">
        <v>57</v>
      </c>
      <c r="AJ82" s="2" t="s">
        <v>57</v>
      </c>
      <c r="AK82" s="2" t="s">
        <v>57</v>
      </c>
      <c r="AL82" s="2" t="s">
        <v>57</v>
      </c>
      <c r="AM82" s="2" t="s">
        <v>57</v>
      </c>
      <c r="AN82" s="2" t="s">
        <v>57</v>
      </c>
      <c r="AO82" s="2" t="s">
        <v>57</v>
      </c>
      <c r="AP82" s="2" t="s">
        <v>57</v>
      </c>
      <c r="AQ82" s="2" t="s">
        <v>57</v>
      </c>
      <c r="AR82" s="2" t="s">
        <v>57</v>
      </c>
      <c r="AS82" s="2" t="s">
        <v>57</v>
      </c>
      <c r="AT82" s="2" t="s">
        <v>57</v>
      </c>
      <c r="AU82" s="2" t="s">
        <v>57</v>
      </c>
      <c r="AV82" s="2" t="s">
        <v>57</v>
      </c>
      <c r="AW82" s="2" t="s">
        <v>94</v>
      </c>
      <c r="AX82" s="2">
        <v>0.16453100000000001</v>
      </c>
      <c r="AY82" s="2">
        <v>-1</v>
      </c>
      <c r="BA82" s="2">
        <v>-1</v>
      </c>
      <c r="BB82" s="2">
        <v>3025</v>
      </c>
      <c r="BC82" s="2">
        <v>164531.25</v>
      </c>
    </row>
    <row r="83" spans="1:55" x14ac:dyDescent="0.6">
      <c r="A83" s="2">
        <v>51</v>
      </c>
      <c r="B83" s="2" t="s">
        <v>144</v>
      </c>
      <c r="C83" s="2" t="s">
        <v>55</v>
      </c>
      <c r="D83" s="2">
        <v>60</v>
      </c>
      <c r="E83" s="2">
        <v>92</v>
      </c>
      <c r="F83" s="2" t="s">
        <v>57</v>
      </c>
      <c r="G83" s="2">
        <v>2788</v>
      </c>
      <c r="H83" s="2">
        <v>2788</v>
      </c>
      <c r="I83" s="2" t="s">
        <v>57</v>
      </c>
      <c r="J83" s="2" t="s">
        <v>144</v>
      </c>
      <c r="K83" s="2" t="s">
        <v>57</v>
      </c>
      <c r="L83" s="2">
        <v>4.80586</v>
      </c>
      <c r="M83" s="2" t="s">
        <v>58</v>
      </c>
      <c r="N83" s="2" t="s">
        <v>58</v>
      </c>
      <c r="O83" s="2" t="s">
        <v>57</v>
      </c>
      <c r="P83" s="2" t="s">
        <v>57</v>
      </c>
      <c r="Q83" s="2" t="s">
        <v>57</v>
      </c>
      <c r="R83" s="2">
        <v>80.108091999999999</v>
      </c>
      <c r="S83" s="2" t="s">
        <v>57</v>
      </c>
      <c r="T83" s="2" t="s">
        <v>59</v>
      </c>
      <c r="U83" s="2" t="s">
        <v>57</v>
      </c>
      <c r="V83" s="2">
        <v>0.882162</v>
      </c>
      <c r="W83" s="2" t="s">
        <v>57</v>
      </c>
      <c r="X83" s="2" t="s">
        <v>57</v>
      </c>
      <c r="Y83" s="2" t="s">
        <v>57</v>
      </c>
      <c r="Z83" s="2" t="s">
        <v>57</v>
      </c>
      <c r="AA83" s="2" t="s">
        <v>57</v>
      </c>
      <c r="AB83" s="2" t="s">
        <v>57</v>
      </c>
      <c r="AC83" s="2" t="s">
        <v>57</v>
      </c>
      <c r="AD83" s="2" t="s">
        <v>57</v>
      </c>
      <c r="AE83" s="2" t="s">
        <v>57</v>
      </c>
      <c r="AF83" s="2" t="s">
        <v>57</v>
      </c>
      <c r="AG83" s="2" t="s">
        <v>57</v>
      </c>
      <c r="AH83" s="2" t="s">
        <v>57</v>
      </c>
      <c r="AI83" s="2" t="s">
        <v>57</v>
      </c>
      <c r="AJ83" s="2" t="s">
        <v>57</v>
      </c>
      <c r="AK83" s="2" t="s">
        <v>57</v>
      </c>
      <c r="AL83" s="2" t="s">
        <v>57</v>
      </c>
      <c r="AM83" s="2" t="s">
        <v>57</v>
      </c>
      <c r="AN83" s="2" t="s">
        <v>57</v>
      </c>
      <c r="AO83" s="2" t="s">
        <v>57</v>
      </c>
      <c r="AP83" s="2" t="s">
        <v>57</v>
      </c>
      <c r="AQ83" s="2" t="s">
        <v>57</v>
      </c>
      <c r="AR83" s="2" t="s">
        <v>57</v>
      </c>
      <c r="AS83" s="2" t="s">
        <v>57</v>
      </c>
      <c r="AT83" s="2" t="s">
        <v>57</v>
      </c>
      <c r="AU83" s="2" t="s">
        <v>57</v>
      </c>
      <c r="AV83" s="2" t="s">
        <v>57</v>
      </c>
      <c r="AW83" s="2" t="s">
        <v>94</v>
      </c>
      <c r="AX83" s="2">
        <v>1.6442190000000001</v>
      </c>
      <c r="AY83" s="2">
        <v>-1</v>
      </c>
      <c r="BA83" s="2">
        <v>-1</v>
      </c>
      <c r="BB83" s="2">
        <v>8750</v>
      </c>
      <c r="BC83" s="2">
        <v>1644218.75</v>
      </c>
    </row>
    <row r="84" spans="1:55" x14ac:dyDescent="0.6">
      <c r="A84" s="2">
        <v>52</v>
      </c>
      <c r="B84" s="2" t="s">
        <v>145</v>
      </c>
      <c r="C84" s="2" t="s">
        <v>55</v>
      </c>
      <c r="D84" s="2">
        <v>61</v>
      </c>
      <c r="E84" s="2">
        <v>93</v>
      </c>
      <c r="F84" s="2" t="s">
        <v>57</v>
      </c>
      <c r="G84" s="2">
        <v>2793</v>
      </c>
      <c r="H84" s="2">
        <v>2793</v>
      </c>
      <c r="I84" s="2" t="s">
        <v>57</v>
      </c>
      <c r="J84" s="2" t="s">
        <v>145</v>
      </c>
      <c r="K84" s="2" t="s">
        <v>57</v>
      </c>
      <c r="L84" s="2">
        <v>5.7728229999999998</v>
      </c>
      <c r="M84" s="2" t="s">
        <v>58</v>
      </c>
      <c r="N84" s="2" t="s">
        <v>58</v>
      </c>
      <c r="O84" s="2" t="s">
        <v>57</v>
      </c>
      <c r="P84" s="2" t="s">
        <v>57</v>
      </c>
      <c r="Q84" s="2" t="s">
        <v>57</v>
      </c>
      <c r="R84" s="2">
        <v>74.051355000000001</v>
      </c>
      <c r="S84" s="2" t="s">
        <v>57</v>
      </c>
      <c r="T84" s="2" t="s">
        <v>59</v>
      </c>
      <c r="U84" s="2" t="s">
        <v>57</v>
      </c>
      <c r="V84" s="2">
        <v>2.3842530000000002</v>
      </c>
      <c r="W84" s="2" t="s">
        <v>57</v>
      </c>
      <c r="X84" s="2" t="s">
        <v>57</v>
      </c>
      <c r="Y84" s="2" t="s">
        <v>57</v>
      </c>
      <c r="Z84" s="2" t="s">
        <v>57</v>
      </c>
      <c r="AA84" s="2" t="s">
        <v>57</v>
      </c>
      <c r="AB84" s="2" t="s">
        <v>57</v>
      </c>
      <c r="AC84" s="2" t="s">
        <v>57</v>
      </c>
      <c r="AD84" s="2" t="s">
        <v>57</v>
      </c>
      <c r="AE84" s="2" t="s">
        <v>57</v>
      </c>
      <c r="AF84" s="2" t="s">
        <v>57</v>
      </c>
      <c r="AG84" s="2" t="s">
        <v>57</v>
      </c>
      <c r="AH84" s="2" t="s">
        <v>57</v>
      </c>
      <c r="AI84" s="2" t="s">
        <v>57</v>
      </c>
      <c r="AJ84" s="2" t="s">
        <v>57</v>
      </c>
      <c r="AK84" s="2" t="s">
        <v>57</v>
      </c>
      <c r="AL84" s="2" t="s">
        <v>57</v>
      </c>
      <c r="AM84" s="2" t="s">
        <v>57</v>
      </c>
      <c r="AN84" s="2" t="s">
        <v>57</v>
      </c>
      <c r="AO84" s="2" t="s">
        <v>57</v>
      </c>
      <c r="AP84" s="2" t="s">
        <v>57</v>
      </c>
      <c r="AQ84" s="2" t="s">
        <v>57</v>
      </c>
      <c r="AR84" s="2" t="s">
        <v>57</v>
      </c>
      <c r="AS84" s="2" t="s">
        <v>57</v>
      </c>
      <c r="AT84" s="2" t="s">
        <v>57</v>
      </c>
      <c r="AU84" s="2" t="s">
        <v>57</v>
      </c>
      <c r="AV84" s="2" t="s">
        <v>57</v>
      </c>
      <c r="AW84" s="2" t="s">
        <v>94</v>
      </c>
      <c r="AX84" s="2">
        <v>10.331562999999999</v>
      </c>
      <c r="AY84" s="2">
        <v>-1</v>
      </c>
      <c r="BA84" s="2">
        <v>-1</v>
      </c>
      <c r="BB84" s="2">
        <v>28050</v>
      </c>
      <c r="BC84" s="2">
        <v>10331562.5</v>
      </c>
    </row>
    <row r="85" spans="1:55" x14ac:dyDescent="0.6">
      <c r="A85" s="2">
        <v>23</v>
      </c>
      <c r="B85" s="2" t="s">
        <v>146</v>
      </c>
      <c r="C85" s="2" t="s">
        <v>55</v>
      </c>
      <c r="D85" s="2">
        <v>32</v>
      </c>
      <c r="E85" s="2">
        <v>53</v>
      </c>
      <c r="F85" s="2">
        <v>53</v>
      </c>
      <c r="G85" s="2">
        <v>2797</v>
      </c>
      <c r="H85" s="2">
        <v>2797</v>
      </c>
      <c r="I85" s="2" t="s">
        <v>57</v>
      </c>
      <c r="J85" s="2" t="s">
        <v>146</v>
      </c>
      <c r="K85" s="2" t="s">
        <v>57</v>
      </c>
      <c r="L85" s="2">
        <v>7.482469</v>
      </c>
      <c r="M85" s="2" t="s">
        <v>58</v>
      </c>
      <c r="N85" s="2" t="s">
        <v>58</v>
      </c>
      <c r="O85" s="2" t="s">
        <v>57</v>
      </c>
      <c r="P85" s="2" t="s">
        <v>57</v>
      </c>
      <c r="Q85" s="2" t="s">
        <v>57</v>
      </c>
      <c r="R85" s="2">
        <v>76.318134999999998</v>
      </c>
      <c r="S85" s="2" t="s">
        <v>57</v>
      </c>
      <c r="T85" s="2" t="s">
        <v>59</v>
      </c>
      <c r="U85" s="2" t="s">
        <v>57</v>
      </c>
      <c r="V85" s="2">
        <v>0.50021000000000004</v>
      </c>
      <c r="W85" s="2" t="s">
        <v>57</v>
      </c>
      <c r="X85" s="2" t="s">
        <v>57</v>
      </c>
      <c r="Y85" s="2" t="s">
        <v>57</v>
      </c>
      <c r="Z85" s="2" t="s">
        <v>57</v>
      </c>
      <c r="AA85" s="2" t="s">
        <v>57</v>
      </c>
      <c r="AB85" s="2" t="s">
        <v>57</v>
      </c>
      <c r="AC85" s="2" t="s">
        <v>57</v>
      </c>
      <c r="AD85" s="2" t="s">
        <v>57</v>
      </c>
      <c r="AE85" s="2" t="s">
        <v>57</v>
      </c>
      <c r="AF85" s="2" t="s">
        <v>57</v>
      </c>
      <c r="AG85" s="2" t="s">
        <v>57</v>
      </c>
      <c r="AH85" s="2" t="s">
        <v>57</v>
      </c>
      <c r="AI85" s="2" t="s">
        <v>57</v>
      </c>
      <c r="AJ85" s="2" t="s">
        <v>57</v>
      </c>
      <c r="AK85" s="2" t="s">
        <v>57</v>
      </c>
      <c r="AL85" s="2" t="s">
        <v>57</v>
      </c>
      <c r="AM85" s="2" t="s">
        <v>57</v>
      </c>
      <c r="AN85" s="2" t="s">
        <v>57</v>
      </c>
      <c r="AO85" s="2" t="s">
        <v>57</v>
      </c>
      <c r="AP85" s="2" t="s">
        <v>57</v>
      </c>
      <c r="AQ85" s="2" t="s">
        <v>57</v>
      </c>
      <c r="AR85" s="2" t="s">
        <v>57</v>
      </c>
      <c r="AS85" s="2" t="s">
        <v>57</v>
      </c>
      <c r="AT85" s="2" t="s">
        <v>57</v>
      </c>
      <c r="AU85" s="2" t="s">
        <v>57</v>
      </c>
      <c r="AV85" s="2" t="s">
        <v>57</v>
      </c>
      <c r="AW85" s="2" t="s">
        <v>94</v>
      </c>
      <c r="AX85" s="2">
        <v>0.38281300000000001</v>
      </c>
      <c r="AY85" s="2">
        <v>-1</v>
      </c>
      <c r="BA85" s="2">
        <v>-1</v>
      </c>
      <c r="BB85" s="2">
        <v>4875</v>
      </c>
      <c r="BC85" s="2">
        <v>382812.5</v>
      </c>
    </row>
    <row r="86" spans="1:55" x14ac:dyDescent="0.6">
      <c r="A86" s="2">
        <v>53</v>
      </c>
      <c r="B86" s="2" t="s">
        <v>147</v>
      </c>
      <c r="C86" s="2" t="s">
        <v>55</v>
      </c>
      <c r="D86" s="2">
        <v>62</v>
      </c>
      <c r="E86" s="2">
        <v>94</v>
      </c>
      <c r="F86" s="2" t="s">
        <v>57</v>
      </c>
      <c r="G86" s="2">
        <v>2798</v>
      </c>
      <c r="H86" s="2">
        <v>2798</v>
      </c>
      <c r="I86" s="2" t="s">
        <v>57</v>
      </c>
      <c r="J86" s="2" t="s">
        <v>147</v>
      </c>
      <c r="K86" s="2" t="s">
        <v>57</v>
      </c>
      <c r="L86" s="2">
        <v>6.0291980000000001</v>
      </c>
      <c r="M86" s="2" t="s">
        <v>58</v>
      </c>
      <c r="N86" s="2" t="s">
        <v>58</v>
      </c>
      <c r="O86" s="2" t="s">
        <v>57</v>
      </c>
      <c r="P86" s="2" t="s">
        <v>57</v>
      </c>
      <c r="Q86" s="2" t="s">
        <v>57</v>
      </c>
      <c r="R86" s="2">
        <v>71.732423999999995</v>
      </c>
      <c r="S86" s="2" t="s">
        <v>57</v>
      </c>
      <c r="T86" s="2" t="s">
        <v>59</v>
      </c>
      <c r="U86" s="2" t="s">
        <v>57</v>
      </c>
      <c r="V86" s="2">
        <v>0.21606700000000001</v>
      </c>
      <c r="W86" s="2" t="s">
        <v>57</v>
      </c>
      <c r="X86" s="2" t="s">
        <v>57</v>
      </c>
      <c r="Y86" s="2" t="s">
        <v>57</v>
      </c>
      <c r="Z86" s="2" t="s">
        <v>57</v>
      </c>
      <c r="AA86" s="2" t="s">
        <v>57</v>
      </c>
      <c r="AB86" s="2" t="s">
        <v>57</v>
      </c>
      <c r="AC86" s="2" t="s">
        <v>57</v>
      </c>
      <c r="AD86" s="2" t="s">
        <v>57</v>
      </c>
      <c r="AE86" s="2" t="s">
        <v>57</v>
      </c>
      <c r="AF86" s="2" t="s">
        <v>57</v>
      </c>
      <c r="AG86" s="2" t="s">
        <v>57</v>
      </c>
      <c r="AH86" s="2" t="s">
        <v>57</v>
      </c>
      <c r="AI86" s="2" t="s">
        <v>57</v>
      </c>
      <c r="AJ86" s="2" t="s">
        <v>57</v>
      </c>
      <c r="AK86" s="2" t="s">
        <v>57</v>
      </c>
      <c r="AL86" s="2" t="s">
        <v>57</v>
      </c>
      <c r="AM86" s="2" t="s">
        <v>57</v>
      </c>
      <c r="AN86" s="2" t="s">
        <v>57</v>
      </c>
      <c r="AO86" s="2" t="s">
        <v>57</v>
      </c>
      <c r="AP86" s="2" t="s">
        <v>57</v>
      </c>
      <c r="AQ86" s="2" t="s">
        <v>57</v>
      </c>
      <c r="AR86" s="2" t="s">
        <v>57</v>
      </c>
      <c r="AS86" s="2" t="s">
        <v>57</v>
      </c>
      <c r="AT86" s="2" t="s">
        <v>57</v>
      </c>
      <c r="AU86" s="2" t="s">
        <v>57</v>
      </c>
      <c r="AV86" s="2" t="s">
        <v>57</v>
      </c>
      <c r="AW86" s="2" t="s">
        <v>94</v>
      </c>
      <c r="AX86" s="2">
        <v>5.2031000000000001E-2</v>
      </c>
      <c r="AY86" s="2">
        <v>-1</v>
      </c>
      <c r="BA86" s="2">
        <v>-1</v>
      </c>
      <c r="BB86" s="2">
        <v>1400</v>
      </c>
      <c r="BC86" s="2">
        <v>52031.25</v>
      </c>
    </row>
    <row r="87" spans="1:55" x14ac:dyDescent="0.6">
      <c r="A87" s="2">
        <v>54</v>
      </c>
      <c r="B87" s="2" t="s">
        <v>148</v>
      </c>
      <c r="C87" s="2" t="s">
        <v>55</v>
      </c>
      <c r="D87" s="2">
        <v>63</v>
      </c>
      <c r="E87" s="2">
        <v>95</v>
      </c>
      <c r="F87" s="2" t="s">
        <v>57</v>
      </c>
      <c r="G87" s="2">
        <v>2803</v>
      </c>
      <c r="H87" s="2">
        <v>2803</v>
      </c>
      <c r="I87" s="2" t="s">
        <v>57</v>
      </c>
      <c r="J87" s="2" t="s">
        <v>148</v>
      </c>
      <c r="K87" s="2" t="s">
        <v>57</v>
      </c>
      <c r="L87" s="2">
        <v>5.8808090000000002</v>
      </c>
      <c r="M87" s="2" t="s">
        <v>58</v>
      </c>
      <c r="N87" s="2" t="s">
        <v>58</v>
      </c>
      <c r="O87" s="2" t="s">
        <v>57</v>
      </c>
      <c r="P87" s="2" t="s">
        <v>57</v>
      </c>
      <c r="Q87" s="2" t="s">
        <v>57</v>
      </c>
      <c r="R87" s="2">
        <v>76.325147999999999</v>
      </c>
      <c r="S87" s="2" t="s">
        <v>57</v>
      </c>
      <c r="T87" s="2" t="s">
        <v>59</v>
      </c>
      <c r="U87" s="2" t="s">
        <v>57</v>
      </c>
      <c r="V87" s="2">
        <v>1.0093700000000001</v>
      </c>
      <c r="W87" s="2" t="s">
        <v>57</v>
      </c>
      <c r="X87" s="2" t="s">
        <v>57</v>
      </c>
      <c r="Y87" s="2" t="s">
        <v>57</v>
      </c>
      <c r="Z87" s="2" t="s">
        <v>57</v>
      </c>
      <c r="AA87" s="2" t="s">
        <v>57</v>
      </c>
      <c r="AB87" s="2" t="s">
        <v>57</v>
      </c>
      <c r="AC87" s="2" t="s">
        <v>57</v>
      </c>
      <c r="AD87" s="2" t="s">
        <v>57</v>
      </c>
      <c r="AE87" s="2" t="s">
        <v>57</v>
      </c>
      <c r="AF87" s="2" t="s">
        <v>57</v>
      </c>
      <c r="AG87" s="2" t="s">
        <v>57</v>
      </c>
      <c r="AH87" s="2" t="s">
        <v>57</v>
      </c>
      <c r="AI87" s="2" t="s">
        <v>57</v>
      </c>
      <c r="AJ87" s="2" t="s">
        <v>57</v>
      </c>
      <c r="AK87" s="2" t="s">
        <v>57</v>
      </c>
      <c r="AL87" s="2" t="s">
        <v>57</v>
      </c>
      <c r="AM87" s="2" t="s">
        <v>57</v>
      </c>
      <c r="AN87" s="2" t="s">
        <v>57</v>
      </c>
      <c r="AO87" s="2" t="s">
        <v>57</v>
      </c>
      <c r="AP87" s="2" t="s">
        <v>57</v>
      </c>
      <c r="AQ87" s="2" t="s">
        <v>57</v>
      </c>
      <c r="AR87" s="2" t="s">
        <v>57</v>
      </c>
      <c r="AS87" s="2" t="s">
        <v>57</v>
      </c>
      <c r="AT87" s="2" t="s">
        <v>57</v>
      </c>
      <c r="AU87" s="2" t="s">
        <v>57</v>
      </c>
      <c r="AV87" s="2" t="s">
        <v>57</v>
      </c>
      <c r="AW87" s="2" t="s">
        <v>137</v>
      </c>
      <c r="AX87" s="2">
        <v>4.2393749999999999</v>
      </c>
      <c r="AY87" s="2">
        <v>-1</v>
      </c>
      <c r="BA87" s="2">
        <v>-1</v>
      </c>
      <c r="BB87" s="2">
        <v>15275</v>
      </c>
      <c r="BC87" s="2">
        <v>4239375</v>
      </c>
    </row>
    <row r="88" spans="1:55" x14ac:dyDescent="0.6">
      <c r="A88" s="2">
        <v>55</v>
      </c>
      <c r="B88" s="2" t="s">
        <v>149</v>
      </c>
      <c r="C88" s="2" t="s">
        <v>55</v>
      </c>
      <c r="D88" s="2">
        <v>64</v>
      </c>
      <c r="E88" s="2">
        <v>96</v>
      </c>
      <c r="F88" s="2" t="s">
        <v>57</v>
      </c>
      <c r="G88" s="2">
        <v>2808</v>
      </c>
      <c r="H88" s="2">
        <v>2808</v>
      </c>
      <c r="I88" s="2" t="s">
        <v>57</v>
      </c>
      <c r="J88" s="2" t="s">
        <v>149</v>
      </c>
      <c r="K88" s="2" t="s">
        <v>57</v>
      </c>
      <c r="L88" s="2">
        <v>5.7502219999999999</v>
      </c>
      <c r="M88" s="2" t="s">
        <v>58</v>
      </c>
      <c r="N88" s="2" t="s">
        <v>58</v>
      </c>
      <c r="O88" s="2" t="s">
        <v>57</v>
      </c>
      <c r="P88" s="2" t="s">
        <v>57</v>
      </c>
      <c r="Q88" s="2" t="s">
        <v>57</v>
      </c>
      <c r="R88" s="2">
        <v>78.725970000000004</v>
      </c>
      <c r="S88" s="2" t="s">
        <v>57</v>
      </c>
      <c r="T88" s="2" t="s">
        <v>59</v>
      </c>
      <c r="U88" s="2" t="s">
        <v>57</v>
      </c>
      <c r="V88" s="2">
        <v>1.0174160000000001</v>
      </c>
      <c r="W88" s="2" t="s">
        <v>57</v>
      </c>
      <c r="X88" s="2" t="s">
        <v>57</v>
      </c>
      <c r="Y88" s="2" t="s">
        <v>57</v>
      </c>
      <c r="Z88" s="2" t="s">
        <v>57</v>
      </c>
      <c r="AA88" s="2" t="s">
        <v>57</v>
      </c>
      <c r="AB88" s="2" t="s">
        <v>57</v>
      </c>
      <c r="AC88" s="2" t="s">
        <v>57</v>
      </c>
      <c r="AD88" s="2" t="s">
        <v>57</v>
      </c>
      <c r="AE88" s="2" t="s">
        <v>57</v>
      </c>
      <c r="AF88" s="2" t="s">
        <v>57</v>
      </c>
      <c r="AG88" s="2" t="s">
        <v>57</v>
      </c>
      <c r="AH88" s="2" t="s">
        <v>57</v>
      </c>
      <c r="AI88" s="2" t="s">
        <v>57</v>
      </c>
      <c r="AJ88" s="2" t="s">
        <v>57</v>
      </c>
      <c r="AK88" s="2" t="s">
        <v>57</v>
      </c>
      <c r="AL88" s="2" t="s">
        <v>57</v>
      </c>
      <c r="AM88" s="2" t="s">
        <v>57</v>
      </c>
      <c r="AN88" s="2" t="s">
        <v>57</v>
      </c>
      <c r="AO88" s="2" t="s">
        <v>57</v>
      </c>
      <c r="AP88" s="2" t="s">
        <v>57</v>
      </c>
      <c r="AQ88" s="2" t="s">
        <v>57</v>
      </c>
      <c r="AR88" s="2" t="s">
        <v>57</v>
      </c>
      <c r="AS88" s="2" t="s">
        <v>57</v>
      </c>
      <c r="AT88" s="2" t="s">
        <v>57</v>
      </c>
      <c r="AU88" s="2" t="s">
        <v>57</v>
      </c>
      <c r="AV88" s="2" t="s">
        <v>57</v>
      </c>
      <c r="AW88" s="2" t="s">
        <v>137</v>
      </c>
      <c r="AX88" s="2">
        <v>2.3203130000000001</v>
      </c>
      <c r="AY88" s="2">
        <v>-1</v>
      </c>
      <c r="BA88" s="2">
        <v>-1</v>
      </c>
      <c r="BB88" s="2">
        <v>11100</v>
      </c>
      <c r="BC88" s="2">
        <v>2320312.5</v>
      </c>
    </row>
    <row r="89" spans="1:55" x14ac:dyDescent="0.6">
      <c r="A89" s="2">
        <v>56</v>
      </c>
      <c r="B89" s="2" t="s">
        <v>150</v>
      </c>
      <c r="C89" s="2" t="s">
        <v>55</v>
      </c>
      <c r="D89" s="2">
        <v>65</v>
      </c>
      <c r="E89" s="2">
        <v>97</v>
      </c>
      <c r="F89" s="2" t="s">
        <v>57</v>
      </c>
      <c r="G89" s="2">
        <v>2813</v>
      </c>
      <c r="H89" s="2">
        <v>2813</v>
      </c>
      <c r="I89" s="2" t="s">
        <v>57</v>
      </c>
      <c r="J89" s="2" t="s">
        <v>150</v>
      </c>
      <c r="K89" s="2" t="s">
        <v>57</v>
      </c>
      <c r="L89" s="2">
        <v>5.5842349999999996</v>
      </c>
      <c r="M89" s="2" t="s">
        <v>58</v>
      </c>
      <c r="N89" s="2" t="s">
        <v>58</v>
      </c>
      <c r="O89" s="2" t="s">
        <v>57</v>
      </c>
      <c r="P89" s="2" t="s">
        <v>57</v>
      </c>
      <c r="Q89" s="2" t="s">
        <v>57</v>
      </c>
      <c r="R89" s="2">
        <v>81.542010000000005</v>
      </c>
      <c r="S89" s="2" t="s">
        <v>57</v>
      </c>
      <c r="T89" s="2" t="s">
        <v>59</v>
      </c>
      <c r="U89" s="2" t="s">
        <v>57</v>
      </c>
      <c r="V89" s="2">
        <v>0.51001200000000002</v>
      </c>
      <c r="W89" s="2" t="s">
        <v>57</v>
      </c>
      <c r="X89" s="2" t="s">
        <v>57</v>
      </c>
      <c r="Y89" s="2" t="s">
        <v>57</v>
      </c>
      <c r="Z89" s="2" t="s">
        <v>57</v>
      </c>
      <c r="AA89" s="2" t="s">
        <v>57</v>
      </c>
      <c r="AB89" s="2" t="s">
        <v>57</v>
      </c>
      <c r="AC89" s="2" t="s">
        <v>57</v>
      </c>
      <c r="AD89" s="2" t="s">
        <v>57</v>
      </c>
      <c r="AE89" s="2" t="s">
        <v>57</v>
      </c>
      <c r="AF89" s="2" t="s">
        <v>57</v>
      </c>
      <c r="AG89" s="2" t="s">
        <v>57</v>
      </c>
      <c r="AH89" s="2" t="s">
        <v>57</v>
      </c>
      <c r="AI89" s="2" t="s">
        <v>57</v>
      </c>
      <c r="AJ89" s="2" t="s">
        <v>57</v>
      </c>
      <c r="AK89" s="2" t="s">
        <v>57</v>
      </c>
      <c r="AL89" s="2" t="s">
        <v>57</v>
      </c>
      <c r="AM89" s="2" t="s">
        <v>57</v>
      </c>
      <c r="AN89" s="2" t="s">
        <v>57</v>
      </c>
      <c r="AO89" s="2" t="s">
        <v>57</v>
      </c>
      <c r="AP89" s="2" t="s">
        <v>57</v>
      </c>
      <c r="AQ89" s="2" t="s">
        <v>57</v>
      </c>
      <c r="AR89" s="2" t="s">
        <v>57</v>
      </c>
      <c r="AS89" s="2" t="s">
        <v>57</v>
      </c>
      <c r="AT89" s="2" t="s">
        <v>57</v>
      </c>
      <c r="AU89" s="2" t="s">
        <v>57</v>
      </c>
      <c r="AV89" s="2" t="s">
        <v>57</v>
      </c>
      <c r="AW89" s="2" t="s">
        <v>137</v>
      </c>
      <c r="AX89" s="2">
        <v>0.63968700000000001</v>
      </c>
      <c r="AY89" s="2">
        <v>-1</v>
      </c>
      <c r="BA89" s="2">
        <v>-1</v>
      </c>
      <c r="BB89" s="2">
        <v>5800</v>
      </c>
      <c r="BC89" s="2">
        <v>639687.5</v>
      </c>
    </row>
    <row r="90" spans="1:55" x14ac:dyDescent="0.6">
      <c r="A90" s="2">
        <v>57</v>
      </c>
      <c r="B90" s="2" t="s">
        <v>151</v>
      </c>
      <c r="C90" s="2" t="s">
        <v>55</v>
      </c>
      <c r="D90" s="2">
        <v>66</v>
      </c>
      <c r="E90" s="2">
        <v>98</v>
      </c>
      <c r="F90" s="2" t="s">
        <v>57</v>
      </c>
      <c r="G90" s="2">
        <v>2818</v>
      </c>
      <c r="H90" s="2">
        <v>2818</v>
      </c>
      <c r="I90" s="2" t="s">
        <v>57</v>
      </c>
      <c r="J90" s="2" t="s">
        <v>151</v>
      </c>
      <c r="K90" s="2" t="s">
        <v>57</v>
      </c>
      <c r="L90" s="2">
        <v>10.75117</v>
      </c>
      <c r="M90" s="2" t="s">
        <v>58</v>
      </c>
      <c r="N90" s="2" t="s">
        <v>58</v>
      </c>
      <c r="O90" s="2" t="s">
        <v>57</v>
      </c>
      <c r="P90" s="2" t="s">
        <v>57</v>
      </c>
      <c r="Q90" s="2" t="s">
        <v>57</v>
      </c>
      <c r="R90" s="2">
        <v>82</v>
      </c>
      <c r="S90" s="2" t="s">
        <v>57</v>
      </c>
      <c r="T90" s="2" t="s">
        <v>59</v>
      </c>
      <c r="U90" s="2" t="s">
        <v>57</v>
      </c>
      <c r="V90" s="2">
        <v>4.8641999999999998E-2</v>
      </c>
      <c r="W90" s="2" t="s">
        <v>57</v>
      </c>
      <c r="X90" s="2" t="s">
        <v>57</v>
      </c>
      <c r="Y90" s="2" t="s">
        <v>57</v>
      </c>
      <c r="Z90" s="2" t="s">
        <v>57</v>
      </c>
      <c r="AA90" s="2" t="s">
        <v>57</v>
      </c>
      <c r="AB90" s="2" t="s">
        <v>57</v>
      </c>
      <c r="AC90" s="2" t="s">
        <v>57</v>
      </c>
      <c r="AD90" s="2" t="s">
        <v>57</v>
      </c>
      <c r="AE90" s="2" t="s">
        <v>57</v>
      </c>
      <c r="AF90" s="2" t="s">
        <v>57</v>
      </c>
      <c r="AG90" s="2" t="s">
        <v>57</v>
      </c>
      <c r="AH90" s="2" t="s">
        <v>57</v>
      </c>
      <c r="AI90" s="2" t="s">
        <v>57</v>
      </c>
      <c r="AJ90" s="2" t="s">
        <v>57</v>
      </c>
      <c r="AK90" s="2" t="s">
        <v>57</v>
      </c>
      <c r="AL90" s="2" t="s">
        <v>57</v>
      </c>
      <c r="AM90" s="2" t="s">
        <v>57</v>
      </c>
      <c r="AN90" s="2" t="s">
        <v>57</v>
      </c>
      <c r="AO90" s="2" t="s">
        <v>57</v>
      </c>
      <c r="AP90" s="2" t="s">
        <v>57</v>
      </c>
      <c r="AQ90" s="2" t="s">
        <v>57</v>
      </c>
      <c r="AR90" s="2" t="s">
        <v>57</v>
      </c>
      <c r="AS90" s="2" t="s">
        <v>57</v>
      </c>
      <c r="AT90" s="2" t="s">
        <v>57</v>
      </c>
      <c r="AU90" s="2" t="s">
        <v>57</v>
      </c>
      <c r="AV90" s="2" t="s">
        <v>57</v>
      </c>
      <c r="AW90" s="2" t="s">
        <v>94</v>
      </c>
      <c r="AX90" s="2">
        <v>1.0781000000000001E-2</v>
      </c>
      <c r="AY90" s="2">
        <v>-1</v>
      </c>
      <c r="BA90" s="2">
        <v>-1</v>
      </c>
      <c r="BB90" s="2">
        <v>550</v>
      </c>
      <c r="BC90" s="2">
        <v>10781.25</v>
      </c>
    </row>
    <row r="91" spans="1:55" x14ac:dyDescent="0.6">
      <c r="A91" s="2">
        <v>24</v>
      </c>
      <c r="B91" s="2" t="s">
        <v>152</v>
      </c>
      <c r="C91" s="2" t="s">
        <v>55</v>
      </c>
      <c r="D91" s="2">
        <v>33</v>
      </c>
      <c r="E91" s="2">
        <v>54</v>
      </c>
      <c r="F91" s="2">
        <v>54</v>
      </c>
      <c r="G91" s="2">
        <v>2822</v>
      </c>
      <c r="H91" s="2">
        <v>2822</v>
      </c>
      <c r="I91" s="2" t="s">
        <v>57</v>
      </c>
      <c r="J91" s="2" t="s">
        <v>152</v>
      </c>
      <c r="K91" s="2" t="s">
        <v>57</v>
      </c>
      <c r="L91" s="2">
        <v>6.333272</v>
      </c>
      <c r="M91" s="2" t="s">
        <v>58</v>
      </c>
      <c r="N91" s="2" t="s">
        <v>58</v>
      </c>
      <c r="O91" s="2" t="s">
        <v>57</v>
      </c>
      <c r="P91" s="2" t="s">
        <v>57</v>
      </c>
      <c r="Q91" s="2" t="s">
        <v>57</v>
      </c>
      <c r="R91" s="2">
        <v>82</v>
      </c>
      <c r="S91" s="2" t="s">
        <v>57</v>
      </c>
      <c r="T91" s="2" t="s">
        <v>59</v>
      </c>
      <c r="U91" s="2" t="s">
        <v>57</v>
      </c>
      <c r="V91" s="2">
        <v>0.221778</v>
      </c>
      <c r="W91" s="2" t="s">
        <v>57</v>
      </c>
      <c r="X91" s="2" t="s">
        <v>57</v>
      </c>
      <c r="Y91" s="2" t="s">
        <v>57</v>
      </c>
      <c r="Z91" s="2" t="s">
        <v>57</v>
      </c>
      <c r="AA91" s="2" t="s">
        <v>57</v>
      </c>
      <c r="AB91" s="2" t="s">
        <v>57</v>
      </c>
      <c r="AC91" s="2" t="s">
        <v>57</v>
      </c>
      <c r="AD91" s="2" t="s">
        <v>57</v>
      </c>
      <c r="AE91" s="2" t="s">
        <v>57</v>
      </c>
      <c r="AF91" s="2" t="s">
        <v>57</v>
      </c>
      <c r="AG91" s="2" t="s">
        <v>57</v>
      </c>
      <c r="AH91" s="2" t="s">
        <v>57</v>
      </c>
      <c r="AI91" s="2" t="s">
        <v>57</v>
      </c>
      <c r="AJ91" s="2" t="s">
        <v>57</v>
      </c>
      <c r="AK91" s="2" t="s">
        <v>57</v>
      </c>
      <c r="AL91" s="2" t="s">
        <v>57</v>
      </c>
      <c r="AM91" s="2" t="s">
        <v>57</v>
      </c>
      <c r="AN91" s="2" t="s">
        <v>57</v>
      </c>
      <c r="AO91" s="2" t="s">
        <v>57</v>
      </c>
      <c r="AP91" s="2" t="s">
        <v>57</v>
      </c>
      <c r="AQ91" s="2" t="s">
        <v>57</v>
      </c>
      <c r="AR91" s="2" t="s">
        <v>57</v>
      </c>
      <c r="AS91" s="2" t="s">
        <v>57</v>
      </c>
      <c r="AT91" s="2" t="s">
        <v>57</v>
      </c>
      <c r="AU91" s="2" t="s">
        <v>57</v>
      </c>
      <c r="AV91" s="2" t="s">
        <v>57</v>
      </c>
      <c r="AW91" s="2" t="s">
        <v>94</v>
      </c>
      <c r="AX91" s="2">
        <v>6.9844000000000003E-2</v>
      </c>
      <c r="AY91" s="2">
        <v>-1</v>
      </c>
      <c r="BA91" s="2">
        <v>-1</v>
      </c>
      <c r="BB91" s="2">
        <v>1600</v>
      </c>
      <c r="BC91" s="2">
        <v>69843.75</v>
      </c>
    </row>
    <row r="92" spans="1:55" x14ac:dyDescent="0.6">
      <c r="A92" s="2">
        <v>58</v>
      </c>
      <c r="B92" s="2" t="s">
        <v>153</v>
      </c>
      <c r="C92" s="2" t="s">
        <v>55</v>
      </c>
      <c r="D92" s="2">
        <v>67</v>
      </c>
      <c r="E92" s="2">
        <v>99</v>
      </c>
      <c r="F92" s="2" t="s">
        <v>57</v>
      </c>
      <c r="G92" s="2">
        <v>2823</v>
      </c>
      <c r="H92" s="2">
        <v>2823</v>
      </c>
      <c r="I92" s="2" t="s">
        <v>57</v>
      </c>
      <c r="J92" s="2" t="s">
        <v>153</v>
      </c>
      <c r="K92" s="2" t="s">
        <v>57</v>
      </c>
      <c r="L92" s="2">
        <v>5.1048840000000002</v>
      </c>
      <c r="M92" s="2" t="s">
        <v>58</v>
      </c>
      <c r="N92" s="2" t="s">
        <v>58</v>
      </c>
      <c r="O92" s="2" t="s">
        <v>57</v>
      </c>
      <c r="P92" s="2" t="s">
        <v>57</v>
      </c>
      <c r="Q92" s="2" t="s">
        <v>57</v>
      </c>
      <c r="R92" s="2">
        <v>82</v>
      </c>
      <c r="S92" s="2" t="s">
        <v>57</v>
      </c>
      <c r="T92" s="2" t="s">
        <v>59</v>
      </c>
      <c r="U92" s="2" t="s">
        <v>57</v>
      </c>
      <c r="V92" s="2">
        <v>0.55918100000000004</v>
      </c>
      <c r="W92" s="2" t="s">
        <v>57</v>
      </c>
      <c r="X92" s="2" t="s">
        <v>57</v>
      </c>
      <c r="Y92" s="2" t="s">
        <v>57</v>
      </c>
      <c r="Z92" s="2" t="s">
        <v>57</v>
      </c>
      <c r="AA92" s="2" t="s">
        <v>57</v>
      </c>
      <c r="AB92" s="2" t="s">
        <v>57</v>
      </c>
      <c r="AC92" s="2" t="s">
        <v>57</v>
      </c>
      <c r="AD92" s="2" t="s">
        <v>57</v>
      </c>
      <c r="AE92" s="2" t="s">
        <v>57</v>
      </c>
      <c r="AF92" s="2" t="s">
        <v>57</v>
      </c>
      <c r="AG92" s="2" t="s">
        <v>57</v>
      </c>
      <c r="AH92" s="2" t="s">
        <v>57</v>
      </c>
      <c r="AI92" s="2" t="s">
        <v>57</v>
      </c>
      <c r="AJ92" s="2" t="s">
        <v>57</v>
      </c>
      <c r="AK92" s="2" t="s">
        <v>57</v>
      </c>
      <c r="AL92" s="2" t="s">
        <v>57</v>
      </c>
      <c r="AM92" s="2" t="s">
        <v>57</v>
      </c>
      <c r="AN92" s="2" t="s">
        <v>57</v>
      </c>
      <c r="AO92" s="2" t="s">
        <v>57</v>
      </c>
      <c r="AP92" s="2" t="s">
        <v>57</v>
      </c>
      <c r="AQ92" s="2" t="s">
        <v>57</v>
      </c>
      <c r="AR92" s="2" t="s">
        <v>57</v>
      </c>
      <c r="AS92" s="2" t="s">
        <v>57</v>
      </c>
      <c r="AT92" s="2" t="s">
        <v>57</v>
      </c>
      <c r="AU92" s="2" t="s">
        <v>57</v>
      </c>
      <c r="AV92" s="2" t="s">
        <v>57</v>
      </c>
      <c r="AW92" s="2" t="s">
        <v>94</v>
      </c>
      <c r="AX92" s="2">
        <v>0.62312500000000004</v>
      </c>
      <c r="AY92" s="2">
        <v>-1</v>
      </c>
      <c r="BA92" s="2">
        <v>-1</v>
      </c>
      <c r="BB92" s="2">
        <v>5825</v>
      </c>
      <c r="BC92" s="2">
        <v>623125</v>
      </c>
    </row>
    <row r="93" spans="1:55" x14ac:dyDescent="0.6">
      <c r="A93" s="2">
        <v>59</v>
      </c>
      <c r="B93" s="2" t="s">
        <v>154</v>
      </c>
      <c r="C93" s="2" t="s">
        <v>55</v>
      </c>
      <c r="D93" s="2">
        <v>68</v>
      </c>
      <c r="E93" s="2">
        <v>100</v>
      </c>
      <c r="F93" s="2" t="s">
        <v>57</v>
      </c>
      <c r="G93" s="2">
        <v>2828</v>
      </c>
      <c r="H93" s="2">
        <v>2828</v>
      </c>
      <c r="I93" s="2" t="s">
        <v>57</v>
      </c>
      <c r="J93" s="2" t="s">
        <v>154</v>
      </c>
      <c r="K93" s="2" t="s">
        <v>57</v>
      </c>
      <c r="L93" s="2">
        <v>6.0815700000000001</v>
      </c>
      <c r="M93" s="2" t="s">
        <v>58</v>
      </c>
      <c r="N93" s="2" t="s">
        <v>58</v>
      </c>
      <c r="O93" s="2" t="s">
        <v>57</v>
      </c>
      <c r="P93" s="2" t="s">
        <v>57</v>
      </c>
      <c r="Q93" s="2" t="s">
        <v>57</v>
      </c>
      <c r="R93" s="2">
        <v>82</v>
      </c>
      <c r="S93" s="2" t="s">
        <v>57</v>
      </c>
      <c r="T93" s="2" t="s">
        <v>59</v>
      </c>
      <c r="U93" s="2" t="s">
        <v>57</v>
      </c>
      <c r="V93" s="2">
        <v>0.39391799999999999</v>
      </c>
      <c r="W93" s="2" t="s">
        <v>57</v>
      </c>
      <c r="X93" s="2" t="s">
        <v>57</v>
      </c>
      <c r="Y93" s="2" t="s">
        <v>57</v>
      </c>
      <c r="Z93" s="2" t="s">
        <v>57</v>
      </c>
      <c r="AA93" s="2" t="s">
        <v>57</v>
      </c>
      <c r="AB93" s="2" t="s">
        <v>57</v>
      </c>
      <c r="AC93" s="2" t="s">
        <v>57</v>
      </c>
      <c r="AD93" s="2" t="s">
        <v>57</v>
      </c>
      <c r="AE93" s="2" t="s">
        <v>57</v>
      </c>
      <c r="AF93" s="2" t="s">
        <v>57</v>
      </c>
      <c r="AG93" s="2" t="s">
        <v>57</v>
      </c>
      <c r="AH93" s="2" t="s">
        <v>57</v>
      </c>
      <c r="AI93" s="2" t="s">
        <v>57</v>
      </c>
      <c r="AJ93" s="2" t="s">
        <v>57</v>
      </c>
      <c r="AK93" s="2" t="s">
        <v>57</v>
      </c>
      <c r="AL93" s="2" t="s">
        <v>57</v>
      </c>
      <c r="AM93" s="2" t="s">
        <v>57</v>
      </c>
      <c r="AN93" s="2" t="s">
        <v>57</v>
      </c>
      <c r="AO93" s="2" t="s">
        <v>57</v>
      </c>
      <c r="AP93" s="2" t="s">
        <v>57</v>
      </c>
      <c r="AQ93" s="2" t="s">
        <v>57</v>
      </c>
      <c r="AR93" s="2" t="s">
        <v>57</v>
      </c>
      <c r="AS93" s="2" t="s">
        <v>57</v>
      </c>
      <c r="AT93" s="2" t="s">
        <v>57</v>
      </c>
      <c r="AU93" s="2" t="s">
        <v>57</v>
      </c>
      <c r="AV93" s="2" t="s">
        <v>57</v>
      </c>
      <c r="AW93" s="2" t="s">
        <v>94</v>
      </c>
      <c r="AX93" s="2">
        <v>0.45484400000000003</v>
      </c>
      <c r="AY93" s="2">
        <v>-1</v>
      </c>
      <c r="BA93" s="2">
        <v>-1</v>
      </c>
      <c r="BB93" s="2">
        <v>4650</v>
      </c>
      <c r="BC93" s="2">
        <v>454843.75</v>
      </c>
    </row>
    <row r="94" spans="1:55" x14ac:dyDescent="0.6">
      <c r="A94" s="2">
        <v>60</v>
      </c>
      <c r="B94" s="2" t="s">
        <v>155</v>
      </c>
      <c r="C94" s="2" t="s">
        <v>55</v>
      </c>
      <c r="D94" s="2">
        <v>69</v>
      </c>
      <c r="E94" s="2">
        <v>101</v>
      </c>
      <c r="F94" s="2" t="s">
        <v>57</v>
      </c>
      <c r="G94" s="2">
        <v>2833</v>
      </c>
      <c r="H94" s="2">
        <v>2833</v>
      </c>
      <c r="I94" s="2" t="s">
        <v>57</v>
      </c>
      <c r="J94" s="2" t="s">
        <v>155</v>
      </c>
      <c r="K94" s="2" t="s">
        <v>57</v>
      </c>
      <c r="L94" s="2">
        <v>6.8870589999999998</v>
      </c>
      <c r="M94" s="2" t="s">
        <v>58</v>
      </c>
      <c r="N94" s="2" t="s">
        <v>58</v>
      </c>
      <c r="O94" s="2" t="s">
        <v>57</v>
      </c>
      <c r="P94" s="2" t="s">
        <v>57</v>
      </c>
      <c r="Q94" s="2" t="s">
        <v>57</v>
      </c>
      <c r="R94" s="2">
        <v>82</v>
      </c>
      <c r="S94" s="2" t="s">
        <v>57</v>
      </c>
      <c r="T94" s="2" t="s">
        <v>59</v>
      </c>
      <c r="U94" s="2" t="s">
        <v>57</v>
      </c>
      <c r="V94" s="2">
        <v>0.33714100000000002</v>
      </c>
      <c r="W94" s="2" t="s">
        <v>57</v>
      </c>
      <c r="X94" s="2" t="s">
        <v>57</v>
      </c>
      <c r="Y94" s="2" t="s">
        <v>57</v>
      </c>
      <c r="Z94" s="2" t="s">
        <v>57</v>
      </c>
      <c r="AA94" s="2" t="s">
        <v>57</v>
      </c>
      <c r="AB94" s="2" t="s">
        <v>57</v>
      </c>
      <c r="AC94" s="2" t="s">
        <v>57</v>
      </c>
      <c r="AD94" s="2" t="s">
        <v>57</v>
      </c>
      <c r="AE94" s="2" t="s">
        <v>57</v>
      </c>
      <c r="AF94" s="2" t="s">
        <v>57</v>
      </c>
      <c r="AG94" s="2" t="s">
        <v>57</v>
      </c>
      <c r="AH94" s="2" t="s">
        <v>57</v>
      </c>
      <c r="AI94" s="2" t="s">
        <v>57</v>
      </c>
      <c r="AJ94" s="2" t="s">
        <v>57</v>
      </c>
      <c r="AK94" s="2" t="s">
        <v>57</v>
      </c>
      <c r="AL94" s="2" t="s">
        <v>57</v>
      </c>
      <c r="AM94" s="2" t="s">
        <v>57</v>
      </c>
      <c r="AN94" s="2" t="s">
        <v>57</v>
      </c>
      <c r="AO94" s="2" t="s">
        <v>57</v>
      </c>
      <c r="AP94" s="2" t="s">
        <v>57</v>
      </c>
      <c r="AQ94" s="2" t="s">
        <v>57</v>
      </c>
      <c r="AR94" s="2" t="s">
        <v>57</v>
      </c>
      <c r="AS94" s="2" t="s">
        <v>57</v>
      </c>
      <c r="AT94" s="2" t="s">
        <v>57</v>
      </c>
      <c r="AU94" s="2" t="s">
        <v>57</v>
      </c>
      <c r="AV94" s="2" t="s">
        <v>57</v>
      </c>
      <c r="AW94" s="2" t="s">
        <v>94</v>
      </c>
      <c r="AX94" s="2">
        <v>0.206563</v>
      </c>
      <c r="AY94" s="2">
        <v>-1</v>
      </c>
      <c r="BA94" s="2">
        <v>-1</v>
      </c>
      <c r="BB94" s="2">
        <v>2875</v>
      </c>
      <c r="BC94" s="2">
        <v>206562.5</v>
      </c>
    </row>
    <row r="95" spans="1:55" x14ac:dyDescent="0.6">
      <c r="A95" s="2">
        <v>61</v>
      </c>
      <c r="B95" s="2" t="s">
        <v>156</v>
      </c>
      <c r="C95" s="2" t="s">
        <v>55</v>
      </c>
      <c r="D95" s="2">
        <v>70</v>
      </c>
      <c r="E95" s="2">
        <v>102</v>
      </c>
      <c r="F95" s="2" t="s">
        <v>57</v>
      </c>
      <c r="G95" s="2">
        <v>2838</v>
      </c>
      <c r="H95" s="2">
        <v>2838</v>
      </c>
      <c r="I95" s="2" t="s">
        <v>57</v>
      </c>
      <c r="J95" s="2" t="s">
        <v>156</v>
      </c>
      <c r="K95" s="2" t="s">
        <v>57</v>
      </c>
      <c r="L95" s="2">
        <v>7.3214750000000004</v>
      </c>
      <c r="M95" s="2" t="s">
        <v>58</v>
      </c>
      <c r="N95" s="2" t="s">
        <v>58</v>
      </c>
      <c r="O95" s="2" t="s">
        <v>57</v>
      </c>
      <c r="P95" s="2" t="s">
        <v>57</v>
      </c>
      <c r="Q95" s="2" t="s">
        <v>57</v>
      </c>
      <c r="R95" s="2">
        <v>82</v>
      </c>
      <c r="S95" s="2" t="s">
        <v>57</v>
      </c>
      <c r="T95" s="2" t="s">
        <v>59</v>
      </c>
      <c r="U95" s="2" t="s">
        <v>57</v>
      </c>
      <c r="V95" s="2">
        <v>0.18488299999999999</v>
      </c>
      <c r="W95" s="2" t="s">
        <v>57</v>
      </c>
      <c r="X95" s="2" t="s">
        <v>57</v>
      </c>
      <c r="Y95" s="2" t="s">
        <v>57</v>
      </c>
      <c r="Z95" s="2" t="s">
        <v>57</v>
      </c>
      <c r="AA95" s="2" t="s">
        <v>57</v>
      </c>
      <c r="AB95" s="2" t="s">
        <v>57</v>
      </c>
      <c r="AC95" s="2" t="s">
        <v>57</v>
      </c>
      <c r="AD95" s="2" t="s">
        <v>57</v>
      </c>
      <c r="AE95" s="2" t="s">
        <v>57</v>
      </c>
      <c r="AF95" s="2" t="s">
        <v>57</v>
      </c>
      <c r="AG95" s="2" t="s">
        <v>57</v>
      </c>
      <c r="AH95" s="2" t="s">
        <v>57</v>
      </c>
      <c r="AI95" s="2" t="s">
        <v>57</v>
      </c>
      <c r="AJ95" s="2" t="s">
        <v>57</v>
      </c>
      <c r="AK95" s="2" t="s">
        <v>57</v>
      </c>
      <c r="AL95" s="2" t="s">
        <v>57</v>
      </c>
      <c r="AM95" s="2" t="s">
        <v>57</v>
      </c>
      <c r="AN95" s="2" t="s">
        <v>57</v>
      </c>
      <c r="AO95" s="2" t="s">
        <v>57</v>
      </c>
      <c r="AP95" s="2" t="s">
        <v>57</v>
      </c>
      <c r="AQ95" s="2" t="s">
        <v>57</v>
      </c>
      <c r="AR95" s="2" t="s">
        <v>57</v>
      </c>
      <c r="AS95" s="2" t="s">
        <v>57</v>
      </c>
      <c r="AT95" s="2" t="s">
        <v>57</v>
      </c>
      <c r="AU95" s="2" t="s">
        <v>57</v>
      </c>
      <c r="AV95" s="2" t="s">
        <v>57</v>
      </c>
      <c r="AW95" s="2" t="s">
        <v>94</v>
      </c>
      <c r="AX95" s="2">
        <v>9.9061999999999997E-2</v>
      </c>
      <c r="AY95" s="2">
        <v>-1</v>
      </c>
      <c r="BA95" s="2">
        <v>-1</v>
      </c>
      <c r="BB95" s="2">
        <v>1750</v>
      </c>
      <c r="BC95" s="2">
        <v>99062.5</v>
      </c>
    </row>
    <row r="96" spans="1:55" x14ac:dyDescent="0.6">
      <c r="A96" s="2">
        <v>62</v>
      </c>
      <c r="B96" s="2" t="s">
        <v>157</v>
      </c>
      <c r="C96" s="2" t="s">
        <v>55</v>
      </c>
      <c r="D96" s="2">
        <v>71</v>
      </c>
      <c r="E96" s="2">
        <v>103</v>
      </c>
      <c r="F96" s="2" t="s">
        <v>57</v>
      </c>
      <c r="G96" s="2">
        <v>2843</v>
      </c>
      <c r="H96" s="2">
        <v>2843</v>
      </c>
      <c r="I96" s="2" t="s">
        <v>57</v>
      </c>
      <c r="J96" s="2" t="s">
        <v>157</v>
      </c>
      <c r="K96" s="2" t="s">
        <v>57</v>
      </c>
      <c r="L96" s="2">
        <v>6.9590579999999997</v>
      </c>
      <c r="M96" s="2" t="s">
        <v>58</v>
      </c>
      <c r="N96" s="2" t="s">
        <v>58</v>
      </c>
      <c r="O96" s="2" t="s">
        <v>57</v>
      </c>
      <c r="P96" s="2" t="s">
        <v>57</v>
      </c>
      <c r="Q96" s="2" t="s">
        <v>57</v>
      </c>
      <c r="R96" s="2">
        <v>82</v>
      </c>
      <c r="S96" s="2" t="s">
        <v>57</v>
      </c>
      <c r="T96" s="2" t="s">
        <v>59</v>
      </c>
      <c r="U96" s="2" t="s">
        <v>57</v>
      </c>
      <c r="V96" s="2">
        <v>0.22932</v>
      </c>
      <c r="W96" s="2" t="s">
        <v>57</v>
      </c>
      <c r="X96" s="2" t="s">
        <v>57</v>
      </c>
      <c r="Y96" s="2" t="s">
        <v>57</v>
      </c>
      <c r="Z96" s="2" t="s">
        <v>57</v>
      </c>
      <c r="AA96" s="2" t="s">
        <v>57</v>
      </c>
      <c r="AB96" s="2" t="s">
        <v>57</v>
      </c>
      <c r="AC96" s="2" t="s">
        <v>57</v>
      </c>
      <c r="AD96" s="2" t="s">
        <v>57</v>
      </c>
      <c r="AE96" s="2" t="s">
        <v>57</v>
      </c>
      <c r="AF96" s="2" t="s">
        <v>57</v>
      </c>
      <c r="AG96" s="2" t="s">
        <v>57</v>
      </c>
      <c r="AH96" s="2" t="s">
        <v>57</v>
      </c>
      <c r="AI96" s="2" t="s">
        <v>57</v>
      </c>
      <c r="AJ96" s="2" t="s">
        <v>57</v>
      </c>
      <c r="AK96" s="2" t="s">
        <v>57</v>
      </c>
      <c r="AL96" s="2" t="s">
        <v>57</v>
      </c>
      <c r="AM96" s="2" t="s">
        <v>57</v>
      </c>
      <c r="AN96" s="2" t="s">
        <v>57</v>
      </c>
      <c r="AO96" s="2" t="s">
        <v>57</v>
      </c>
      <c r="AP96" s="2" t="s">
        <v>57</v>
      </c>
      <c r="AQ96" s="2" t="s">
        <v>57</v>
      </c>
      <c r="AR96" s="2" t="s">
        <v>57</v>
      </c>
      <c r="AS96" s="2" t="s">
        <v>57</v>
      </c>
      <c r="AT96" s="2" t="s">
        <v>57</v>
      </c>
      <c r="AU96" s="2" t="s">
        <v>57</v>
      </c>
      <c r="AV96" s="2" t="s">
        <v>57</v>
      </c>
      <c r="AW96" s="2" t="s">
        <v>94</v>
      </c>
      <c r="AX96" s="2">
        <v>0.21015600000000001</v>
      </c>
      <c r="AY96" s="2">
        <v>-1</v>
      </c>
      <c r="BA96" s="2">
        <v>-1</v>
      </c>
      <c r="BB96" s="2">
        <v>3100</v>
      </c>
      <c r="BC96" s="2">
        <v>210156.25</v>
      </c>
    </row>
    <row r="97" spans="1:55" x14ac:dyDescent="0.6">
      <c r="A97" s="2">
        <v>63</v>
      </c>
      <c r="B97" s="2" t="s">
        <v>158</v>
      </c>
      <c r="C97" s="2" t="s">
        <v>55</v>
      </c>
      <c r="D97" s="2">
        <v>72</v>
      </c>
      <c r="E97" s="2">
        <v>104</v>
      </c>
      <c r="F97" s="2" t="s">
        <v>57</v>
      </c>
      <c r="G97" s="2">
        <v>2848</v>
      </c>
      <c r="H97" s="2">
        <v>2848</v>
      </c>
      <c r="I97" s="2" t="s">
        <v>57</v>
      </c>
      <c r="J97" s="2" t="s">
        <v>158</v>
      </c>
      <c r="K97" s="2" t="s">
        <v>57</v>
      </c>
      <c r="L97" s="2">
        <v>8.3212100000000007</v>
      </c>
      <c r="M97" s="2" t="s">
        <v>58</v>
      </c>
      <c r="N97" s="2" t="s">
        <v>58</v>
      </c>
      <c r="O97" s="2" t="s">
        <v>57</v>
      </c>
      <c r="P97" s="2" t="s">
        <v>57</v>
      </c>
      <c r="Q97" s="2" t="s">
        <v>57</v>
      </c>
      <c r="R97" s="2">
        <v>82</v>
      </c>
      <c r="S97" s="2" t="s">
        <v>57</v>
      </c>
      <c r="T97" s="2" t="s">
        <v>59</v>
      </c>
      <c r="U97" s="2" t="s">
        <v>57</v>
      </c>
      <c r="V97" s="2">
        <v>0.182007</v>
      </c>
      <c r="W97" s="2" t="s">
        <v>57</v>
      </c>
      <c r="X97" s="2" t="s">
        <v>57</v>
      </c>
      <c r="Y97" s="2" t="s">
        <v>57</v>
      </c>
      <c r="Z97" s="2" t="s">
        <v>57</v>
      </c>
      <c r="AA97" s="2" t="s">
        <v>57</v>
      </c>
      <c r="AB97" s="2" t="s">
        <v>57</v>
      </c>
      <c r="AC97" s="2" t="s">
        <v>57</v>
      </c>
      <c r="AD97" s="2" t="s">
        <v>57</v>
      </c>
      <c r="AE97" s="2" t="s">
        <v>57</v>
      </c>
      <c r="AF97" s="2" t="s">
        <v>57</v>
      </c>
      <c r="AG97" s="2" t="s">
        <v>57</v>
      </c>
      <c r="AH97" s="2" t="s">
        <v>57</v>
      </c>
      <c r="AI97" s="2" t="s">
        <v>57</v>
      </c>
      <c r="AJ97" s="2" t="s">
        <v>57</v>
      </c>
      <c r="AK97" s="2" t="s">
        <v>57</v>
      </c>
      <c r="AL97" s="2" t="s">
        <v>57</v>
      </c>
      <c r="AM97" s="2" t="s">
        <v>57</v>
      </c>
      <c r="AN97" s="2" t="s">
        <v>57</v>
      </c>
      <c r="AO97" s="2" t="s">
        <v>57</v>
      </c>
      <c r="AP97" s="2" t="s">
        <v>57</v>
      </c>
      <c r="AQ97" s="2" t="s">
        <v>57</v>
      </c>
      <c r="AR97" s="2" t="s">
        <v>57</v>
      </c>
      <c r="AS97" s="2" t="s">
        <v>57</v>
      </c>
      <c r="AT97" s="2" t="s">
        <v>57</v>
      </c>
      <c r="AU97" s="2" t="s">
        <v>57</v>
      </c>
      <c r="AV97" s="2" t="s">
        <v>57</v>
      </c>
      <c r="AW97" s="2" t="s">
        <v>94</v>
      </c>
      <c r="AX97" s="2">
        <v>7.4843999999999994E-2</v>
      </c>
      <c r="AY97" s="2">
        <v>-1</v>
      </c>
      <c r="BA97" s="2">
        <v>-1</v>
      </c>
      <c r="BB97" s="2">
        <v>1500</v>
      </c>
      <c r="BC97" s="2">
        <v>74843.75</v>
      </c>
    </row>
    <row r="98" spans="1:55" x14ac:dyDescent="0.6">
      <c r="A98" s="2">
        <v>13</v>
      </c>
      <c r="B98" s="2" t="s">
        <v>159</v>
      </c>
      <c r="C98" s="2" t="s">
        <v>55</v>
      </c>
      <c r="D98" s="2">
        <v>22</v>
      </c>
      <c r="E98" s="2">
        <v>41</v>
      </c>
      <c r="F98" s="2">
        <v>41</v>
      </c>
      <c r="G98" s="2">
        <v>2852</v>
      </c>
      <c r="H98" s="2">
        <v>2852</v>
      </c>
      <c r="I98" s="2" t="s">
        <v>57</v>
      </c>
      <c r="J98" s="2" t="s">
        <v>159</v>
      </c>
      <c r="K98" s="2" t="s">
        <v>57</v>
      </c>
      <c r="L98" s="2">
        <v>6.6692999999999998</v>
      </c>
      <c r="M98" s="2" t="s">
        <v>58</v>
      </c>
      <c r="N98" s="2" t="s">
        <v>58</v>
      </c>
      <c r="O98" s="2" t="s">
        <v>57</v>
      </c>
      <c r="P98" s="2" t="s">
        <v>57</v>
      </c>
      <c r="Q98" s="2" t="s">
        <v>57</v>
      </c>
      <c r="R98" s="2">
        <v>82</v>
      </c>
      <c r="S98" s="2" t="s">
        <v>57</v>
      </c>
      <c r="T98" s="2" t="s">
        <v>59</v>
      </c>
      <c r="U98" s="2" t="s">
        <v>57</v>
      </c>
      <c r="V98" s="2">
        <v>0.93961099999999997</v>
      </c>
      <c r="W98" s="2" t="s">
        <v>57</v>
      </c>
      <c r="X98" s="2" t="s">
        <v>57</v>
      </c>
      <c r="Y98" s="2" t="s">
        <v>57</v>
      </c>
      <c r="Z98" s="2" t="s">
        <v>57</v>
      </c>
      <c r="AA98" s="2" t="s">
        <v>57</v>
      </c>
      <c r="AB98" s="2" t="s">
        <v>57</v>
      </c>
      <c r="AC98" s="2" t="s">
        <v>57</v>
      </c>
      <c r="AD98" s="2" t="s">
        <v>57</v>
      </c>
      <c r="AE98" s="2" t="s">
        <v>57</v>
      </c>
      <c r="AF98" s="2" t="s">
        <v>57</v>
      </c>
      <c r="AG98" s="2" t="s">
        <v>57</v>
      </c>
      <c r="AH98" s="2" t="s">
        <v>57</v>
      </c>
      <c r="AI98" s="2" t="s">
        <v>57</v>
      </c>
      <c r="AJ98" s="2" t="s">
        <v>57</v>
      </c>
      <c r="AK98" s="2" t="s">
        <v>57</v>
      </c>
      <c r="AL98" s="2" t="s">
        <v>57</v>
      </c>
      <c r="AM98" s="2" t="s">
        <v>57</v>
      </c>
      <c r="AN98" s="2" t="s">
        <v>57</v>
      </c>
      <c r="AO98" s="2" t="s">
        <v>57</v>
      </c>
      <c r="AP98" s="2" t="s">
        <v>57</v>
      </c>
      <c r="AQ98" s="2" t="s">
        <v>57</v>
      </c>
      <c r="AR98" s="2" t="s">
        <v>57</v>
      </c>
      <c r="AS98" s="2" t="s">
        <v>57</v>
      </c>
      <c r="AT98" s="2" t="s">
        <v>57</v>
      </c>
      <c r="AU98" s="2" t="s">
        <v>57</v>
      </c>
      <c r="AV98" s="2" t="s">
        <v>57</v>
      </c>
      <c r="AW98" s="2" t="s">
        <v>94</v>
      </c>
      <c r="AX98" s="2">
        <v>0.87437500000000001</v>
      </c>
      <c r="AY98" s="2">
        <v>-1</v>
      </c>
      <c r="BA98" s="2">
        <v>-1</v>
      </c>
      <c r="BB98" s="2">
        <v>10000</v>
      </c>
      <c r="BC98" s="2">
        <v>874375</v>
      </c>
    </row>
    <row r="99" spans="1:55" x14ac:dyDescent="0.6">
      <c r="A99" s="2">
        <v>64</v>
      </c>
      <c r="B99" s="2" t="s">
        <v>160</v>
      </c>
      <c r="C99" s="2" t="s">
        <v>55</v>
      </c>
      <c r="D99" s="2">
        <v>73</v>
      </c>
      <c r="E99" s="2">
        <v>105</v>
      </c>
      <c r="F99" s="2" t="s">
        <v>57</v>
      </c>
      <c r="G99" s="2">
        <v>2853</v>
      </c>
      <c r="H99" s="2">
        <v>2853</v>
      </c>
      <c r="I99" s="2" t="s">
        <v>57</v>
      </c>
      <c r="J99" s="2" t="s">
        <v>160</v>
      </c>
      <c r="K99" s="2" t="s">
        <v>57</v>
      </c>
      <c r="L99" s="2">
        <v>5.0890300000000002</v>
      </c>
      <c r="M99" s="2" t="s">
        <v>58</v>
      </c>
      <c r="N99" s="2" t="s">
        <v>58</v>
      </c>
      <c r="O99" s="2" t="s">
        <v>57</v>
      </c>
      <c r="P99" s="2" t="s">
        <v>57</v>
      </c>
      <c r="Q99" s="2" t="s">
        <v>57</v>
      </c>
      <c r="R99" s="2">
        <v>82</v>
      </c>
      <c r="S99" s="2" t="s">
        <v>57</v>
      </c>
      <c r="T99" s="2" t="s">
        <v>59</v>
      </c>
      <c r="U99" s="2" t="s">
        <v>57</v>
      </c>
      <c r="V99" s="2">
        <v>0.78531099999999998</v>
      </c>
      <c r="W99" s="2" t="s">
        <v>57</v>
      </c>
      <c r="X99" s="2" t="s">
        <v>57</v>
      </c>
      <c r="Y99" s="2" t="s">
        <v>57</v>
      </c>
      <c r="Z99" s="2" t="s">
        <v>57</v>
      </c>
      <c r="AA99" s="2" t="s">
        <v>57</v>
      </c>
      <c r="AB99" s="2" t="s">
        <v>57</v>
      </c>
      <c r="AC99" s="2" t="s">
        <v>57</v>
      </c>
      <c r="AD99" s="2" t="s">
        <v>57</v>
      </c>
      <c r="AE99" s="2" t="s">
        <v>57</v>
      </c>
      <c r="AF99" s="2" t="s">
        <v>57</v>
      </c>
      <c r="AG99" s="2" t="s">
        <v>57</v>
      </c>
      <c r="AH99" s="2" t="s">
        <v>57</v>
      </c>
      <c r="AI99" s="2" t="s">
        <v>57</v>
      </c>
      <c r="AJ99" s="2" t="s">
        <v>57</v>
      </c>
      <c r="AK99" s="2" t="s">
        <v>57</v>
      </c>
      <c r="AL99" s="2" t="s">
        <v>57</v>
      </c>
      <c r="AM99" s="2" t="s">
        <v>57</v>
      </c>
      <c r="AN99" s="2" t="s">
        <v>57</v>
      </c>
      <c r="AO99" s="2" t="s">
        <v>57</v>
      </c>
      <c r="AP99" s="2" t="s">
        <v>57</v>
      </c>
      <c r="AQ99" s="2" t="s">
        <v>57</v>
      </c>
      <c r="AR99" s="2" t="s">
        <v>57</v>
      </c>
      <c r="AS99" s="2" t="s">
        <v>57</v>
      </c>
      <c r="AT99" s="2" t="s">
        <v>57</v>
      </c>
      <c r="AU99" s="2" t="s">
        <v>57</v>
      </c>
      <c r="AV99" s="2" t="s">
        <v>57</v>
      </c>
      <c r="AW99" s="2" t="s">
        <v>94</v>
      </c>
      <c r="AX99" s="2">
        <v>1.4953129999999999</v>
      </c>
      <c r="AY99" s="2">
        <v>-1</v>
      </c>
      <c r="BA99" s="2">
        <v>-1</v>
      </c>
      <c r="BB99" s="2">
        <v>7825</v>
      </c>
      <c r="BC99" s="2">
        <v>1495312.5</v>
      </c>
    </row>
    <row r="100" spans="1:55" x14ac:dyDescent="0.6">
      <c r="A100" s="2">
        <v>11</v>
      </c>
      <c r="B100" s="2" t="s">
        <v>161</v>
      </c>
      <c r="C100" s="2" t="s">
        <v>55</v>
      </c>
      <c r="D100" s="2">
        <v>20</v>
      </c>
      <c r="E100" s="2">
        <v>39</v>
      </c>
      <c r="F100" s="2">
        <v>39</v>
      </c>
      <c r="G100" s="2">
        <v>2857</v>
      </c>
      <c r="H100" s="2">
        <v>2857</v>
      </c>
      <c r="I100" s="2" t="s">
        <v>57</v>
      </c>
      <c r="J100" s="2" t="s">
        <v>161</v>
      </c>
      <c r="K100" s="2" t="s">
        <v>57</v>
      </c>
      <c r="L100" s="2">
        <v>5.2735599999999998</v>
      </c>
      <c r="M100" s="2" t="s">
        <v>58</v>
      </c>
      <c r="N100" s="2" t="s">
        <v>58</v>
      </c>
      <c r="O100" s="2" t="s">
        <v>57</v>
      </c>
      <c r="P100" s="2" t="s">
        <v>57</v>
      </c>
      <c r="Q100" s="2" t="s">
        <v>57</v>
      </c>
      <c r="R100" s="2">
        <v>82</v>
      </c>
      <c r="S100" s="2" t="s">
        <v>57</v>
      </c>
      <c r="T100" s="2" t="s">
        <v>59</v>
      </c>
      <c r="U100" s="2" t="s">
        <v>57</v>
      </c>
      <c r="V100" s="2">
        <v>0.72796000000000005</v>
      </c>
      <c r="W100" s="2" t="s">
        <v>57</v>
      </c>
      <c r="X100" s="2" t="s">
        <v>57</v>
      </c>
      <c r="Y100" s="2" t="s">
        <v>57</v>
      </c>
      <c r="Z100" s="2" t="s">
        <v>57</v>
      </c>
      <c r="AA100" s="2" t="s">
        <v>57</v>
      </c>
      <c r="AB100" s="2" t="s">
        <v>57</v>
      </c>
      <c r="AC100" s="2" t="s">
        <v>57</v>
      </c>
      <c r="AD100" s="2" t="s">
        <v>57</v>
      </c>
      <c r="AE100" s="2" t="s">
        <v>57</v>
      </c>
      <c r="AF100" s="2" t="s">
        <v>57</v>
      </c>
      <c r="AG100" s="2" t="s">
        <v>57</v>
      </c>
      <c r="AH100" s="2" t="s">
        <v>57</v>
      </c>
      <c r="AI100" s="2" t="s">
        <v>57</v>
      </c>
      <c r="AJ100" s="2" t="s">
        <v>57</v>
      </c>
      <c r="AK100" s="2" t="s">
        <v>57</v>
      </c>
      <c r="AL100" s="2" t="s">
        <v>57</v>
      </c>
      <c r="AM100" s="2" t="s">
        <v>57</v>
      </c>
      <c r="AN100" s="2" t="s">
        <v>57</v>
      </c>
      <c r="AO100" s="2" t="s">
        <v>57</v>
      </c>
      <c r="AP100" s="2" t="s">
        <v>57</v>
      </c>
      <c r="AQ100" s="2" t="s">
        <v>57</v>
      </c>
      <c r="AR100" s="2" t="s">
        <v>57</v>
      </c>
      <c r="AS100" s="2" t="s">
        <v>57</v>
      </c>
      <c r="AT100" s="2" t="s">
        <v>57</v>
      </c>
      <c r="AU100" s="2" t="s">
        <v>57</v>
      </c>
      <c r="AV100" s="2" t="s">
        <v>57</v>
      </c>
      <c r="AW100" s="2" t="s">
        <v>137</v>
      </c>
      <c r="AX100" s="2">
        <v>0.95687500000000003</v>
      </c>
      <c r="AY100" s="2">
        <v>-1</v>
      </c>
      <c r="BA100" s="2">
        <v>-1</v>
      </c>
      <c r="BB100" s="2">
        <v>6750</v>
      </c>
      <c r="BC100" s="2">
        <v>956875</v>
      </c>
    </row>
    <row r="101" spans="1:55" x14ac:dyDescent="0.6">
      <c r="A101" s="2">
        <v>65</v>
      </c>
      <c r="B101" s="2" t="s">
        <v>162</v>
      </c>
      <c r="C101" s="2" t="s">
        <v>55</v>
      </c>
      <c r="D101" s="2">
        <v>74</v>
      </c>
      <c r="E101" s="2">
        <v>106</v>
      </c>
      <c r="F101" s="2" t="s">
        <v>57</v>
      </c>
      <c r="G101" s="2">
        <v>2858</v>
      </c>
      <c r="H101" s="2">
        <v>2858</v>
      </c>
      <c r="I101" s="2" t="s">
        <v>57</v>
      </c>
      <c r="J101" s="2" t="s">
        <v>162</v>
      </c>
      <c r="K101" s="2" t="s">
        <v>57</v>
      </c>
      <c r="L101" s="2">
        <v>4.8828659999999999</v>
      </c>
      <c r="M101" s="2" t="s">
        <v>58</v>
      </c>
      <c r="N101" s="2" t="s">
        <v>58</v>
      </c>
      <c r="O101" s="2" t="s">
        <v>57</v>
      </c>
      <c r="P101" s="2" t="s">
        <v>57</v>
      </c>
      <c r="Q101" s="2" t="s">
        <v>57</v>
      </c>
      <c r="R101" s="2">
        <v>82</v>
      </c>
      <c r="S101" s="2" t="s">
        <v>57</v>
      </c>
      <c r="T101" s="2" t="s">
        <v>59</v>
      </c>
      <c r="U101" s="2" t="s">
        <v>57</v>
      </c>
      <c r="V101" s="2">
        <v>0.67781000000000002</v>
      </c>
      <c r="W101" s="2" t="s">
        <v>57</v>
      </c>
      <c r="X101" s="2" t="s">
        <v>57</v>
      </c>
      <c r="Y101" s="2" t="s">
        <v>57</v>
      </c>
      <c r="Z101" s="2" t="s">
        <v>57</v>
      </c>
      <c r="AA101" s="2" t="s">
        <v>57</v>
      </c>
      <c r="AB101" s="2" t="s">
        <v>57</v>
      </c>
      <c r="AC101" s="2" t="s">
        <v>57</v>
      </c>
      <c r="AD101" s="2" t="s">
        <v>57</v>
      </c>
      <c r="AE101" s="2" t="s">
        <v>57</v>
      </c>
      <c r="AF101" s="2" t="s">
        <v>57</v>
      </c>
      <c r="AG101" s="2" t="s">
        <v>57</v>
      </c>
      <c r="AH101" s="2" t="s">
        <v>57</v>
      </c>
      <c r="AI101" s="2" t="s">
        <v>57</v>
      </c>
      <c r="AJ101" s="2" t="s">
        <v>57</v>
      </c>
      <c r="AK101" s="2" t="s">
        <v>57</v>
      </c>
      <c r="AL101" s="2" t="s">
        <v>57</v>
      </c>
      <c r="AM101" s="2" t="s">
        <v>57</v>
      </c>
      <c r="AN101" s="2" t="s">
        <v>57</v>
      </c>
      <c r="AO101" s="2" t="s">
        <v>57</v>
      </c>
      <c r="AP101" s="2" t="s">
        <v>57</v>
      </c>
      <c r="AQ101" s="2" t="s">
        <v>57</v>
      </c>
      <c r="AR101" s="2" t="s">
        <v>57</v>
      </c>
      <c r="AS101" s="2" t="s">
        <v>57</v>
      </c>
      <c r="AT101" s="2" t="s">
        <v>57</v>
      </c>
      <c r="AU101" s="2" t="s">
        <v>57</v>
      </c>
      <c r="AV101" s="2" t="s">
        <v>57</v>
      </c>
      <c r="AW101" s="2" t="s">
        <v>137</v>
      </c>
      <c r="AX101" s="2">
        <v>1.317188</v>
      </c>
      <c r="AY101" s="2">
        <v>-1</v>
      </c>
      <c r="BA101" s="2">
        <v>-1</v>
      </c>
      <c r="BB101" s="2">
        <v>7425</v>
      </c>
      <c r="BC101" s="2">
        <v>1317187.5</v>
      </c>
    </row>
    <row r="102" spans="1:55" x14ac:dyDescent="0.6">
      <c r="A102" s="2">
        <v>108</v>
      </c>
      <c r="B102" s="2" t="s">
        <v>163</v>
      </c>
      <c r="C102" s="2" t="s">
        <v>55</v>
      </c>
      <c r="D102" s="2">
        <v>124</v>
      </c>
      <c r="E102" s="2">
        <v>107</v>
      </c>
      <c r="F102" s="2" t="s">
        <v>57</v>
      </c>
      <c r="G102" s="2">
        <v>2863</v>
      </c>
      <c r="H102" s="2">
        <v>2863</v>
      </c>
      <c r="I102" s="2" t="s">
        <v>57</v>
      </c>
      <c r="J102" s="2" t="s">
        <v>163</v>
      </c>
      <c r="K102" s="2" t="s">
        <v>57</v>
      </c>
      <c r="L102" s="2">
        <v>8.7316079999999996</v>
      </c>
      <c r="M102" s="2" t="s">
        <v>58</v>
      </c>
      <c r="N102" s="2" t="s">
        <v>58</v>
      </c>
      <c r="O102" s="2" t="s">
        <v>57</v>
      </c>
      <c r="P102" s="2" t="s">
        <v>57</v>
      </c>
      <c r="Q102" s="2" t="s">
        <v>57</v>
      </c>
      <c r="R102" s="2">
        <v>72.358436999999995</v>
      </c>
      <c r="S102" s="2" t="s">
        <v>57</v>
      </c>
      <c r="T102" s="2" t="s">
        <v>59</v>
      </c>
      <c r="U102" s="2" t="s">
        <v>57</v>
      </c>
      <c r="V102" s="2">
        <v>0.31780900000000001</v>
      </c>
      <c r="W102" s="2" t="s">
        <v>57</v>
      </c>
      <c r="X102" s="2" t="s">
        <v>57</v>
      </c>
      <c r="Y102" s="2" t="s">
        <v>57</v>
      </c>
      <c r="Z102" s="2" t="s">
        <v>57</v>
      </c>
      <c r="AA102" s="2" t="s">
        <v>57</v>
      </c>
      <c r="AB102" s="2" t="s">
        <v>57</v>
      </c>
      <c r="AC102" s="2" t="s">
        <v>57</v>
      </c>
      <c r="AD102" s="2" t="s">
        <v>57</v>
      </c>
      <c r="AE102" s="2" t="s">
        <v>57</v>
      </c>
      <c r="AF102" s="2" t="s">
        <v>57</v>
      </c>
      <c r="AG102" s="2" t="s">
        <v>57</v>
      </c>
      <c r="AH102" s="2" t="s">
        <v>57</v>
      </c>
      <c r="AI102" s="2" t="s">
        <v>57</v>
      </c>
      <c r="AJ102" s="2" t="s">
        <v>57</v>
      </c>
      <c r="AK102" s="2" t="s">
        <v>57</v>
      </c>
      <c r="AL102" s="2" t="s">
        <v>57</v>
      </c>
      <c r="AM102" s="2" t="s">
        <v>57</v>
      </c>
      <c r="AN102" s="2" t="s">
        <v>57</v>
      </c>
      <c r="AO102" s="2" t="s">
        <v>57</v>
      </c>
      <c r="AP102" s="2" t="s">
        <v>57</v>
      </c>
      <c r="AQ102" s="2" t="s">
        <v>57</v>
      </c>
      <c r="AR102" s="2" t="s">
        <v>57</v>
      </c>
      <c r="AS102" s="2" t="s">
        <v>57</v>
      </c>
      <c r="AT102" s="2" t="s">
        <v>57</v>
      </c>
      <c r="AU102" s="2" t="s">
        <v>57</v>
      </c>
      <c r="AV102" s="2" t="s">
        <v>57</v>
      </c>
      <c r="AW102" s="2" t="s">
        <v>60</v>
      </c>
      <c r="AX102" s="2">
        <v>0.128247</v>
      </c>
      <c r="AY102" s="2">
        <v>1</v>
      </c>
      <c r="AZ102" s="2" t="s">
        <v>61</v>
      </c>
      <c r="BA102" s="2">
        <v>-1</v>
      </c>
      <c r="BB102" s="2">
        <v>2276.467306</v>
      </c>
      <c r="BC102" s="2">
        <v>128247.291119</v>
      </c>
    </row>
    <row r="103" spans="1:55" x14ac:dyDescent="0.6">
      <c r="A103" s="2">
        <v>80</v>
      </c>
      <c r="B103" s="2" t="s">
        <v>164</v>
      </c>
      <c r="C103" s="2" t="s">
        <v>55</v>
      </c>
      <c r="D103" s="2">
        <v>95</v>
      </c>
      <c r="E103" s="2">
        <v>13</v>
      </c>
      <c r="F103" s="2">
        <v>13</v>
      </c>
      <c r="G103" s="2">
        <v>2867</v>
      </c>
      <c r="H103" s="2">
        <v>2867</v>
      </c>
      <c r="I103" s="2" t="s">
        <v>57</v>
      </c>
      <c r="J103" s="2" t="s">
        <v>164</v>
      </c>
      <c r="K103" s="2" t="s">
        <v>57</v>
      </c>
      <c r="L103" s="2">
        <v>4.5487770000000003</v>
      </c>
      <c r="M103" s="2" t="s">
        <v>58</v>
      </c>
      <c r="N103" s="2" t="s">
        <v>58</v>
      </c>
      <c r="O103" s="2" t="s">
        <v>57</v>
      </c>
      <c r="P103" s="2" t="s">
        <v>57</v>
      </c>
      <c r="Q103" s="2" t="s">
        <v>57</v>
      </c>
      <c r="R103" s="2">
        <v>73.884996999999998</v>
      </c>
      <c r="S103" s="2" t="s">
        <v>57</v>
      </c>
      <c r="T103" s="2" t="s">
        <v>59</v>
      </c>
      <c r="U103" s="2" t="s">
        <v>57</v>
      </c>
      <c r="V103" s="2">
        <v>0.98632900000000001</v>
      </c>
      <c r="W103" s="2" t="s">
        <v>57</v>
      </c>
      <c r="X103" s="2" t="s">
        <v>57</v>
      </c>
      <c r="Y103" s="2" t="s">
        <v>57</v>
      </c>
      <c r="Z103" s="2" t="s">
        <v>57</v>
      </c>
      <c r="AA103" s="2" t="s">
        <v>57</v>
      </c>
      <c r="AB103" s="2" t="s">
        <v>57</v>
      </c>
      <c r="AC103" s="2" t="s">
        <v>57</v>
      </c>
      <c r="AD103" s="2" t="s">
        <v>57</v>
      </c>
      <c r="AE103" s="2" t="s">
        <v>57</v>
      </c>
      <c r="AF103" s="2" t="s">
        <v>57</v>
      </c>
      <c r="AG103" s="2" t="s">
        <v>57</v>
      </c>
      <c r="AH103" s="2" t="s">
        <v>57</v>
      </c>
      <c r="AI103" s="2" t="s">
        <v>57</v>
      </c>
      <c r="AJ103" s="2" t="s">
        <v>57</v>
      </c>
      <c r="AK103" s="2" t="s">
        <v>57</v>
      </c>
      <c r="AL103" s="2" t="s">
        <v>57</v>
      </c>
      <c r="AM103" s="2" t="s">
        <v>57</v>
      </c>
      <c r="AN103" s="2" t="s">
        <v>57</v>
      </c>
      <c r="AO103" s="2" t="s">
        <v>57</v>
      </c>
      <c r="AP103" s="2" t="s">
        <v>57</v>
      </c>
      <c r="AQ103" s="2" t="s">
        <v>57</v>
      </c>
      <c r="AR103" s="2" t="s">
        <v>57</v>
      </c>
      <c r="AS103" s="2" t="s">
        <v>57</v>
      </c>
      <c r="AT103" s="2" t="s">
        <v>57</v>
      </c>
      <c r="AU103" s="2" t="s">
        <v>57</v>
      </c>
      <c r="AV103" s="2" t="s">
        <v>57</v>
      </c>
      <c r="AW103" s="2" t="s">
        <v>60</v>
      </c>
      <c r="AX103" s="2">
        <v>0.63847799999999999</v>
      </c>
      <c r="AY103" s="2">
        <v>1</v>
      </c>
      <c r="AZ103" s="2" t="s">
        <v>61</v>
      </c>
      <c r="BA103" s="2">
        <v>-1</v>
      </c>
      <c r="BB103" s="2">
        <v>6020.4230889999999</v>
      </c>
      <c r="BC103" s="2">
        <v>638477.72808999999</v>
      </c>
    </row>
    <row r="104" spans="1:55" x14ac:dyDescent="0.6">
      <c r="A104" s="2">
        <v>116</v>
      </c>
      <c r="B104" s="2" t="s">
        <v>165</v>
      </c>
      <c r="C104" s="2" t="s">
        <v>55</v>
      </c>
      <c r="D104" s="2">
        <v>95</v>
      </c>
      <c r="E104" s="2">
        <v>13</v>
      </c>
      <c r="F104" s="2">
        <v>13</v>
      </c>
      <c r="G104" s="2">
        <v>2867</v>
      </c>
      <c r="H104" s="2">
        <v>2868</v>
      </c>
      <c r="I104" s="2" t="s">
        <v>57</v>
      </c>
      <c r="J104" s="2" t="s">
        <v>165</v>
      </c>
      <c r="K104" s="2" t="s">
        <v>57</v>
      </c>
      <c r="L104" s="2">
        <v>5.1843690000000002</v>
      </c>
      <c r="M104" s="2" t="s">
        <v>58</v>
      </c>
      <c r="N104" s="2" t="s">
        <v>58</v>
      </c>
      <c r="O104" s="2" t="s">
        <v>57</v>
      </c>
      <c r="P104" s="2" t="s">
        <v>57</v>
      </c>
      <c r="Q104" s="2" t="s">
        <v>57</v>
      </c>
      <c r="R104" s="2">
        <v>73.884996999999998</v>
      </c>
      <c r="S104" s="2" t="s">
        <v>57</v>
      </c>
      <c r="T104" s="2" t="s">
        <v>59</v>
      </c>
      <c r="U104" s="2" t="s">
        <v>57</v>
      </c>
      <c r="V104" s="2">
        <v>0.92389200000000005</v>
      </c>
      <c r="W104" s="2" t="s">
        <v>57</v>
      </c>
      <c r="X104" s="2" t="s">
        <v>57</v>
      </c>
      <c r="Y104" s="2" t="s">
        <v>57</v>
      </c>
      <c r="Z104" s="2" t="s">
        <v>57</v>
      </c>
      <c r="AA104" s="2" t="s">
        <v>57</v>
      </c>
      <c r="AB104" s="2" t="s">
        <v>57</v>
      </c>
      <c r="AC104" s="2" t="s">
        <v>57</v>
      </c>
      <c r="AD104" s="2" t="s">
        <v>57</v>
      </c>
      <c r="AE104" s="2" t="s">
        <v>57</v>
      </c>
      <c r="AF104" s="2" t="s">
        <v>57</v>
      </c>
      <c r="AG104" s="2" t="s">
        <v>57</v>
      </c>
      <c r="AH104" s="2" t="s">
        <v>57</v>
      </c>
      <c r="AI104" s="2" t="s">
        <v>57</v>
      </c>
      <c r="AJ104" s="2" t="s">
        <v>57</v>
      </c>
      <c r="AK104" s="2" t="s">
        <v>57</v>
      </c>
      <c r="AL104" s="2" t="s">
        <v>57</v>
      </c>
      <c r="AM104" s="2" t="s">
        <v>57</v>
      </c>
      <c r="AN104" s="2" t="s">
        <v>57</v>
      </c>
      <c r="AO104" s="2" t="s">
        <v>57</v>
      </c>
      <c r="AP104" s="2" t="s">
        <v>57</v>
      </c>
      <c r="AQ104" s="2" t="s">
        <v>57</v>
      </c>
      <c r="AR104" s="2" t="s">
        <v>57</v>
      </c>
      <c r="AS104" s="2" t="s">
        <v>57</v>
      </c>
      <c r="AT104" s="2" t="s">
        <v>57</v>
      </c>
      <c r="AU104" s="2" t="s">
        <v>57</v>
      </c>
      <c r="AV104" s="2" t="s">
        <v>57</v>
      </c>
      <c r="AW104" s="2" t="s">
        <v>60</v>
      </c>
      <c r="AX104" s="2">
        <v>0.31947500000000001</v>
      </c>
      <c r="AY104" s="2">
        <v>1</v>
      </c>
      <c r="AZ104" s="2" t="s">
        <v>61</v>
      </c>
      <c r="BA104" s="2">
        <v>0</v>
      </c>
      <c r="BB104" s="2">
        <v>3424.6159520000001</v>
      </c>
      <c r="BC104" s="2">
        <v>319474.88707599998</v>
      </c>
    </row>
    <row r="105" spans="1:55" x14ac:dyDescent="0.6">
      <c r="A105" s="2">
        <v>7</v>
      </c>
      <c r="B105" s="2" t="s">
        <v>166</v>
      </c>
      <c r="C105" s="2" t="s">
        <v>55</v>
      </c>
      <c r="D105" s="2">
        <v>16</v>
      </c>
      <c r="E105" s="2">
        <v>35</v>
      </c>
      <c r="F105" s="2">
        <v>35</v>
      </c>
      <c r="G105" s="2">
        <v>2872</v>
      </c>
      <c r="H105" s="2">
        <v>2872</v>
      </c>
      <c r="I105" s="2" t="s">
        <v>57</v>
      </c>
      <c r="J105" s="2" t="s">
        <v>166</v>
      </c>
      <c r="K105" s="2" t="s">
        <v>57</v>
      </c>
      <c r="L105" s="2">
        <v>5.5249920000000001</v>
      </c>
      <c r="M105" s="2" t="s">
        <v>58</v>
      </c>
      <c r="N105" s="2" t="s">
        <v>58</v>
      </c>
      <c r="O105" s="2" t="s">
        <v>57</v>
      </c>
      <c r="P105" s="2" t="s">
        <v>57</v>
      </c>
      <c r="Q105" s="2" t="s">
        <v>57</v>
      </c>
      <c r="R105" s="2">
        <v>82</v>
      </c>
      <c r="S105" s="2" t="s">
        <v>57</v>
      </c>
      <c r="T105" s="2" t="s">
        <v>59</v>
      </c>
      <c r="U105" s="2" t="s">
        <v>57</v>
      </c>
      <c r="V105" s="2">
        <v>0.91635</v>
      </c>
      <c r="W105" s="2" t="s">
        <v>57</v>
      </c>
      <c r="X105" s="2" t="s">
        <v>57</v>
      </c>
      <c r="Y105" s="2" t="s">
        <v>57</v>
      </c>
      <c r="Z105" s="2" t="s">
        <v>57</v>
      </c>
      <c r="AA105" s="2" t="s">
        <v>57</v>
      </c>
      <c r="AB105" s="2" t="s">
        <v>57</v>
      </c>
      <c r="AC105" s="2" t="s">
        <v>57</v>
      </c>
      <c r="AD105" s="2" t="s">
        <v>57</v>
      </c>
      <c r="AE105" s="2" t="s">
        <v>57</v>
      </c>
      <c r="AF105" s="2" t="s">
        <v>57</v>
      </c>
      <c r="AG105" s="2" t="s">
        <v>57</v>
      </c>
      <c r="AH105" s="2" t="s">
        <v>57</v>
      </c>
      <c r="AI105" s="2" t="s">
        <v>57</v>
      </c>
      <c r="AJ105" s="2" t="s">
        <v>57</v>
      </c>
      <c r="AK105" s="2" t="s">
        <v>57</v>
      </c>
      <c r="AL105" s="2" t="s">
        <v>57</v>
      </c>
      <c r="AM105" s="2" t="s">
        <v>57</v>
      </c>
      <c r="AN105" s="2" t="s">
        <v>57</v>
      </c>
      <c r="AO105" s="2" t="s">
        <v>57</v>
      </c>
      <c r="AP105" s="2" t="s">
        <v>57</v>
      </c>
      <c r="AQ105" s="2" t="s">
        <v>57</v>
      </c>
      <c r="AR105" s="2" t="s">
        <v>57</v>
      </c>
      <c r="AS105" s="2" t="s">
        <v>57</v>
      </c>
      <c r="AT105" s="2" t="s">
        <v>57</v>
      </c>
      <c r="AU105" s="2" t="s">
        <v>57</v>
      </c>
      <c r="AV105" s="2" t="s">
        <v>57</v>
      </c>
      <c r="AW105" s="2" t="s">
        <v>167</v>
      </c>
      <c r="AX105" s="2">
        <v>1.3321879999999999</v>
      </c>
      <c r="AY105" s="2">
        <v>-1</v>
      </c>
      <c r="BA105" s="2">
        <v>-1</v>
      </c>
      <c r="BB105" s="2">
        <v>9825</v>
      </c>
      <c r="BC105" s="2">
        <v>1332187.5</v>
      </c>
    </row>
    <row r="106" spans="1:55" x14ac:dyDescent="0.6">
      <c r="A106" s="2">
        <v>66</v>
      </c>
      <c r="B106" s="2" t="s">
        <v>168</v>
      </c>
      <c r="C106" s="2" t="s">
        <v>55</v>
      </c>
      <c r="D106" s="2">
        <v>77</v>
      </c>
      <c r="E106" s="2">
        <v>109</v>
      </c>
      <c r="F106" s="2" t="s">
        <v>57</v>
      </c>
      <c r="G106" s="2">
        <v>2873</v>
      </c>
      <c r="H106" s="2">
        <v>2873</v>
      </c>
      <c r="I106" s="2" t="s">
        <v>57</v>
      </c>
      <c r="J106" s="2" t="s">
        <v>168</v>
      </c>
      <c r="K106" s="2" t="s">
        <v>57</v>
      </c>
      <c r="L106" s="2">
        <v>5.8230680000000001</v>
      </c>
      <c r="M106" s="2" t="s">
        <v>58</v>
      </c>
      <c r="N106" s="2" t="s">
        <v>58</v>
      </c>
      <c r="O106" s="2" t="s">
        <v>57</v>
      </c>
      <c r="P106" s="2" t="s">
        <v>57</v>
      </c>
      <c r="Q106" s="2" t="s">
        <v>57</v>
      </c>
      <c r="R106" s="2">
        <v>76.426765000000003</v>
      </c>
      <c r="S106" s="2" t="s">
        <v>57</v>
      </c>
      <c r="T106" s="2" t="s">
        <v>59</v>
      </c>
      <c r="U106" s="2" t="s">
        <v>57</v>
      </c>
      <c r="V106" s="2">
        <v>1.4202889999999999</v>
      </c>
      <c r="W106" s="2" t="s">
        <v>57</v>
      </c>
      <c r="X106" s="2" t="s">
        <v>57</v>
      </c>
      <c r="Y106" s="2" t="s">
        <v>57</v>
      </c>
      <c r="Z106" s="2" t="s">
        <v>57</v>
      </c>
      <c r="AA106" s="2" t="s">
        <v>57</v>
      </c>
      <c r="AB106" s="2" t="s">
        <v>57</v>
      </c>
      <c r="AC106" s="2" t="s">
        <v>57</v>
      </c>
      <c r="AD106" s="2" t="s">
        <v>57</v>
      </c>
      <c r="AE106" s="2" t="s">
        <v>57</v>
      </c>
      <c r="AF106" s="2" t="s">
        <v>57</v>
      </c>
      <c r="AG106" s="2" t="s">
        <v>57</v>
      </c>
      <c r="AH106" s="2" t="s">
        <v>57</v>
      </c>
      <c r="AI106" s="2" t="s">
        <v>57</v>
      </c>
      <c r="AJ106" s="2" t="s">
        <v>57</v>
      </c>
      <c r="AK106" s="2" t="s">
        <v>57</v>
      </c>
      <c r="AL106" s="2" t="s">
        <v>57</v>
      </c>
      <c r="AM106" s="2" t="s">
        <v>57</v>
      </c>
      <c r="AN106" s="2" t="s">
        <v>57</v>
      </c>
      <c r="AO106" s="2" t="s">
        <v>57</v>
      </c>
      <c r="AP106" s="2" t="s">
        <v>57</v>
      </c>
      <c r="AQ106" s="2" t="s">
        <v>57</v>
      </c>
      <c r="AR106" s="2" t="s">
        <v>57</v>
      </c>
      <c r="AS106" s="2" t="s">
        <v>57</v>
      </c>
      <c r="AT106" s="2" t="s">
        <v>57</v>
      </c>
      <c r="AU106" s="2" t="s">
        <v>57</v>
      </c>
      <c r="AV106" s="2" t="s">
        <v>57</v>
      </c>
      <c r="AW106" s="2" t="s">
        <v>167</v>
      </c>
      <c r="AX106" s="2">
        <v>5.4211020000000003</v>
      </c>
      <c r="AY106" s="2">
        <v>-1</v>
      </c>
      <c r="BA106" s="2">
        <v>-1</v>
      </c>
      <c r="BB106" s="2">
        <v>15360.288708</v>
      </c>
      <c r="BC106" s="2">
        <v>5421102.4922019998</v>
      </c>
    </row>
    <row r="107" spans="1:55" x14ac:dyDescent="0.6">
      <c r="A107" s="2">
        <v>109</v>
      </c>
      <c r="B107" s="2" t="s">
        <v>169</v>
      </c>
      <c r="C107" s="2" t="s">
        <v>55</v>
      </c>
      <c r="D107" s="2">
        <v>125</v>
      </c>
      <c r="E107" s="2">
        <v>110</v>
      </c>
      <c r="F107" s="2" t="s">
        <v>57</v>
      </c>
      <c r="G107" s="2">
        <v>2878</v>
      </c>
      <c r="H107" s="2">
        <v>2878</v>
      </c>
      <c r="I107" s="2" t="s">
        <v>57</v>
      </c>
      <c r="J107" s="2" t="s">
        <v>169</v>
      </c>
      <c r="K107" s="2" t="s">
        <v>57</v>
      </c>
      <c r="L107" s="2">
        <v>5.9111820000000002</v>
      </c>
      <c r="M107" s="2" t="s">
        <v>58</v>
      </c>
      <c r="N107" s="2" t="s">
        <v>58</v>
      </c>
      <c r="O107" s="2" t="s">
        <v>57</v>
      </c>
      <c r="P107" s="2" t="s">
        <v>57</v>
      </c>
      <c r="Q107" s="2" t="s">
        <v>57</v>
      </c>
      <c r="R107" s="2">
        <v>71.777004000000005</v>
      </c>
      <c r="S107" s="2" t="s">
        <v>57</v>
      </c>
      <c r="T107" s="2" t="s">
        <v>59</v>
      </c>
      <c r="U107" s="2" t="s">
        <v>57</v>
      </c>
      <c r="V107" s="2">
        <v>0.55693700000000002</v>
      </c>
      <c r="W107" s="2" t="s">
        <v>57</v>
      </c>
      <c r="X107" s="2" t="s">
        <v>57</v>
      </c>
      <c r="Y107" s="2" t="s">
        <v>57</v>
      </c>
      <c r="Z107" s="2" t="s">
        <v>57</v>
      </c>
      <c r="AA107" s="2" t="s">
        <v>57</v>
      </c>
      <c r="AB107" s="2" t="s">
        <v>57</v>
      </c>
      <c r="AC107" s="2" t="s">
        <v>57</v>
      </c>
      <c r="AD107" s="2" t="s">
        <v>57</v>
      </c>
      <c r="AE107" s="2" t="s">
        <v>57</v>
      </c>
      <c r="AF107" s="2" t="s">
        <v>57</v>
      </c>
      <c r="AG107" s="2" t="s">
        <v>57</v>
      </c>
      <c r="AH107" s="2" t="s">
        <v>57</v>
      </c>
      <c r="AI107" s="2" t="s">
        <v>57</v>
      </c>
      <c r="AJ107" s="2" t="s">
        <v>57</v>
      </c>
      <c r="AK107" s="2" t="s">
        <v>57</v>
      </c>
      <c r="AL107" s="2" t="s">
        <v>57</v>
      </c>
      <c r="AM107" s="2" t="s">
        <v>57</v>
      </c>
      <c r="AN107" s="2" t="s">
        <v>57</v>
      </c>
      <c r="AO107" s="2" t="s">
        <v>57</v>
      </c>
      <c r="AP107" s="2" t="s">
        <v>57</v>
      </c>
      <c r="AQ107" s="2" t="s">
        <v>57</v>
      </c>
      <c r="AR107" s="2" t="s">
        <v>57</v>
      </c>
      <c r="AS107" s="2" t="s">
        <v>57</v>
      </c>
      <c r="AT107" s="2" t="s">
        <v>57</v>
      </c>
      <c r="AU107" s="2" t="s">
        <v>57</v>
      </c>
      <c r="AV107" s="2" t="s">
        <v>57</v>
      </c>
      <c r="AW107" s="2" t="s">
        <v>60</v>
      </c>
      <c r="AX107" s="2">
        <v>1.3210660000000001</v>
      </c>
      <c r="AY107" s="2">
        <v>1</v>
      </c>
      <c r="AZ107" s="2" t="s">
        <v>61</v>
      </c>
      <c r="BA107" s="2">
        <v>-1</v>
      </c>
      <c r="BB107" s="2">
        <v>7968.0178070000002</v>
      </c>
      <c r="BC107" s="2">
        <v>1321065.8781679999</v>
      </c>
    </row>
    <row r="108" spans="1:55" x14ac:dyDescent="0.6">
      <c r="A108" s="2">
        <v>110</v>
      </c>
      <c r="B108" s="2" t="s">
        <v>170</v>
      </c>
      <c r="C108" s="2" t="s">
        <v>55</v>
      </c>
      <c r="D108" s="2">
        <v>126</v>
      </c>
      <c r="E108" s="2">
        <v>111</v>
      </c>
      <c r="F108" s="2" t="s">
        <v>57</v>
      </c>
      <c r="G108" s="2">
        <v>2883</v>
      </c>
      <c r="H108" s="2">
        <v>2883</v>
      </c>
      <c r="I108" s="2" t="s">
        <v>57</v>
      </c>
      <c r="J108" s="2" t="s">
        <v>170</v>
      </c>
      <c r="K108" s="2" t="s">
        <v>57</v>
      </c>
      <c r="L108" s="2">
        <v>7.3879700000000001</v>
      </c>
      <c r="M108" s="2" t="s">
        <v>58</v>
      </c>
      <c r="N108" s="2" t="s">
        <v>58</v>
      </c>
      <c r="O108" s="2" t="s">
        <v>57</v>
      </c>
      <c r="P108" s="2" t="s">
        <v>57</v>
      </c>
      <c r="Q108" s="2" t="s">
        <v>57</v>
      </c>
      <c r="R108" s="2">
        <v>72.300003000000004</v>
      </c>
      <c r="S108" s="2" t="s">
        <v>57</v>
      </c>
      <c r="T108" s="2" t="s">
        <v>59</v>
      </c>
      <c r="U108" s="2" t="s">
        <v>57</v>
      </c>
      <c r="V108" s="2">
        <v>1.000075</v>
      </c>
      <c r="W108" s="2" t="s">
        <v>57</v>
      </c>
      <c r="X108" s="2" t="s">
        <v>57</v>
      </c>
      <c r="Y108" s="2" t="s">
        <v>57</v>
      </c>
      <c r="Z108" s="2" t="s">
        <v>57</v>
      </c>
      <c r="AA108" s="2" t="s">
        <v>57</v>
      </c>
      <c r="AB108" s="2" t="s">
        <v>57</v>
      </c>
      <c r="AC108" s="2" t="s">
        <v>57</v>
      </c>
      <c r="AD108" s="2" t="s">
        <v>57</v>
      </c>
      <c r="AE108" s="2" t="s">
        <v>57</v>
      </c>
      <c r="AF108" s="2" t="s">
        <v>57</v>
      </c>
      <c r="AG108" s="2" t="s">
        <v>57</v>
      </c>
      <c r="AH108" s="2" t="s">
        <v>57</v>
      </c>
      <c r="AI108" s="2" t="s">
        <v>57</v>
      </c>
      <c r="AJ108" s="2" t="s">
        <v>57</v>
      </c>
      <c r="AK108" s="2" t="s">
        <v>57</v>
      </c>
      <c r="AL108" s="2" t="s">
        <v>57</v>
      </c>
      <c r="AM108" s="2" t="s">
        <v>57</v>
      </c>
      <c r="AN108" s="2" t="s">
        <v>57</v>
      </c>
      <c r="AO108" s="2" t="s">
        <v>57</v>
      </c>
      <c r="AP108" s="2" t="s">
        <v>57</v>
      </c>
      <c r="AQ108" s="2" t="s">
        <v>57</v>
      </c>
      <c r="AR108" s="2" t="s">
        <v>57</v>
      </c>
      <c r="AS108" s="2" t="s">
        <v>57</v>
      </c>
      <c r="AT108" s="2" t="s">
        <v>57</v>
      </c>
      <c r="AU108" s="2" t="s">
        <v>57</v>
      </c>
      <c r="AV108" s="2" t="s">
        <v>57</v>
      </c>
      <c r="AW108" s="2" t="s">
        <v>60</v>
      </c>
      <c r="AX108" s="2">
        <v>0.81864099999999995</v>
      </c>
      <c r="AY108" s="2">
        <v>1</v>
      </c>
      <c r="AZ108" s="2" t="s">
        <v>61</v>
      </c>
      <c r="BA108" s="2">
        <v>-1</v>
      </c>
      <c r="BB108" s="2">
        <v>7235.8984810000002</v>
      </c>
      <c r="BC108" s="2">
        <v>818641.23389699997</v>
      </c>
    </row>
    <row r="109" spans="1:55" x14ac:dyDescent="0.6">
      <c r="A109" s="2">
        <v>107</v>
      </c>
      <c r="B109" s="2" t="s">
        <v>171</v>
      </c>
      <c r="C109" s="2" t="s">
        <v>55</v>
      </c>
      <c r="D109" s="2">
        <v>123</v>
      </c>
      <c r="E109" s="2">
        <v>86</v>
      </c>
      <c r="F109" s="2" t="s">
        <v>57</v>
      </c>
      <c r="G109" s="2">
        <v>2887</v>
      </c>
      <c r="H109" s="2">
        <v>2887</v>
      </c>
      <c r="I109" s="2" t="s">
        <v>57</v>
      </c>
      <c r="J109" s="2" t="s">
        <v>171</v>
      </c>
      <c r="K109" s="2" t="s">
        <v>57</v>
      </c>
      <c r="L109" s="2">
        <v>5.6505179999999999</v>
      </c>
      <c r="M109" s="2" t="s">
        <v>58</v>
      </c>
      <c r="N109" s="2" t="s">
        <v>58</v>
      </c>
      <c r="O109" s="2" t="s">
        <v>57</v>
      </c>
      <c r="P109" s="2" t="s">
        <v>57</v>
      </c>
      <c r="Q109" s="2" t="s">
        <v>57</v>
      </c>
      <c r="R109" s="2">
        <v>71.203349000000003</v>
      </c>
      <c r="S109" s="2" t="s">
        <v>57</v>
      </c>
      <c r="T109" s="2" t="s">
        <v>59</v>
      </c>
      <c r="U109" s="2" t="s">
        <v>57</v>
      </c>
      <c r="V109" s="2">
        <v>3.5212349999999999</v>
      </c>
      <c r="W109" s="2" t="s">
        <v>57</v>
      </c>
      <c r="X109" s="2" t="s">
        <v>57</v>
      </c>
      <c r="Y109" s="2" t="s">
        <v>57</v>
      </c>
      <c r="Z109" s="2" t="s">
        <v>57</v>
      </c>
      <c r="AA109" s="2" t="s">
        <v>57</v>
      </c>
      <c r="AB109" s="2" t="s">
        <v>57</v>
      </c>
      <c r="AC109" s="2" t="s">
        <v>57</v>
      </c>
      <c r="AD109" s="2" t="s">
        <v>57</v>
      </c>
      <c r="AE109" s="2" t="s">
        <v>57</v>
      </c>
      <c r="AF109" s="2" t="s">
        <v>57</v>
      </c>
      <c r="AG109" s="2" t="s">
        <v>57</v>
      </c>
      <c r="AH109" s="2" t="s">
        <v>57</v>
      </c>
      <c r="AI109" s="2" t="s">
        <v>57</v>
      </c>
      <c r="AJ109" s="2" t="s">
        <v>57</v>
      </c>
      <c r="AK109" s="2" t="s">
        <v>57</v>
      </c>
      <c r="AL109" s="2" t="s">
        <v>57</v>
      </c>
      <c r="AM109" s="2" t="s">
        <v>57</v>
      </c>
      <c r="AN109" s="2" t="s">
        <v>57</v>
      </c>
      <c r="AO109" s="2" t="s">
        <v>57</v>
      </c>
      <c r="AP109" s="2" t="s">
        <v>57</v>
      </c>
      <c r="AQ109" s="2" t="s">
        <v>57</v>
      </c>
      <c r="AR109" s="2" t="s">
        <v>57</v>
      </c>
      <c r="AS109" s="2" t="s">
        <v>57</v>
      </c>
      <c r="AT109" s="2" t="s">
        <v>57</v>
      </c>
      <c r="AU109" s="2" t="s">
        <v>57</v>
      </c>
      <c r="AV109" s="2" t="s">
        <v>57</v>
      </c>
      <c r="AW109" s="2" t="s">
        <v>60</v>
      </c>
      <c r="AX109" s="2">
        <v>9.7783999999999995</v>
      </c>
      <c r="AY109" s="2">
        <v>1</v>
      </c>
      <c r="AZ109" s="2" t="s">
        <v>61</v>
      </c>
      <c r="BA109" s="2">
        <v>-1</v>
      </c>
      <c r="BB109" s="2">
        <v>29499.600452999999</v>
      </c>
      <c r="BC109" s="2">
        <v>9778399.5391899999</v>
      </c>
    </row>
    <row r="110" spans="1:55" x14ac:dyDescent="0.6">
      <c r="A110" s="2">
        <v>111</v>
      </c>
      <c r="B110" s="2" t="s">
        <v>172</v>
      </c>
      <c r="C110" s="2" t="s">
        <v>55</v>
      </c>
      <c r="D110" s="2">
        <v>127</v>
      </c>
      <c r="E110" s="2">
        <v>112</v>
      </c>
      <c r="F110" s="2" t="s">
        <v>57</v>
      </c>
      <c r="G110" s="2">
        <v>2888</v>
      </c>
      <c r="H110" s="2">
        <v>2888</v>
      </c>
      <c r="I110" s="2" t="s">
        <v>57</v>
      </c>
      <c r="J110" s="2" t="s">
        <v>172</v>
      </c>
      <c r="K110" s="2" t="s">
        <v>57</v>
      </c>
      <c r="L110" s="2">
        <v>5.6877449999999996</v>
      </c>
      <c r="M110" s="2" t="s">
        <v>58</v>
      </c>
      <c r="N110" s="2" t="s">
        <v>58</v>
      </c>
      <c r="O110" s="2" t="s">
        <v>57</v>
      </c>
      <c r="P110" s="2" t="s">
        <v>57</v>
      </c>
      <c r="Q110" s="2" t="s">
        <v>57</v>
      </c>
      <c r="R110" s="2">
        <v>72.698490000000007</v>
      </c>
      <c r="S110" s="2" t="s">
        <v>57</v>
      </c>
      <c r="T110" s="2" t="s">
        <v>59</v>
      </c>
      <c r="U110" s="2" t="s">
        <v>57</v>
      </c>
      <c r="V110" s="2">
        <v>0.42272700000000002</v>
      </c>
      <c r="W110" s="2" t="s">
        <v>57</v>
      </c>
      <c r="X110" s="2" t="s">
        <v>57</v>
      </c>
      <c r="Y110" s="2" t="s">
        <v>57</v>
      </c>
      <c r="Z110" s="2" t="s">
        <v>57</v>
      </c>
      <c r="AA110" s="2" t="s">
        <v>57</v>
      </c>
      <c r="AB110" s="2" t="s">
        <v>57</v>
      </c>
      <c r="AC110" s="2" t="s">
        <v>57</v>
      </c>
      <c r="AD110" s="2" t="s">
        <v>57</v>
      </c>
      <c r="AE110" s="2" t="s">
        <v>57</v>
      </c>
      <c r="AF110" s="2" t="s">
        <v>57</v>
      </c>
      <c r="AG110" s="2" t="s">
        <v>57</v>
      </c>
      <c r="AH110" s="2" t="s">
        <v>57</v>
      </c>
      <c r="AI110" s="2" t="s">
        <v>57</v>
      </c>
      <c r="AJ110" s="2" t="s">
        <v>57</v>
      </c>
      <c r="AK110" s="2" t="s">
        <v>57</v>
      </c>
      <c r="AL110" s="2" t="s">
        <v>57</v>
      </c>
      <c r="AM110" s="2" t="s">
        <v>57</v>
      </c>
      <c r="AN110" s="2" t="s">
        <v>57</v>
      </c>
      <c r="AO110" s="2" t="s">
        <v>57</v>
      </c>
      <c r="AP110" s="2" t="s">
        <v>57</v>
      </c>
      <c r="AQ110" s="2" t="s">
        <v>57</v>
      </c>
      <c r="AR110" s="2" t="s">
        <v>57</v>
      </c>
      <c r="AS110" s="2" t="s">
        <v>57</v>
      </c>
      <c r="AT110" s="2" t="s">
        <v>57</v>
      </c>
      <c r="AU110" s="2" t="s">
        <v>57</v>
      </c>
      <c r="AV110" s="2" t="s">
        <v>57</v>
      </c>
      <c r="AW110" s="2" t="s">
        <v>60</v>
      </c>
      <c r="AX110" s="2">
        <v>0.40625</v>
      </c>
      <c r="AY110" s="2">
        <v>1</v>
      </c>
      <c r="AZ110" s="2" t="s">
        <v>61</v>
      </c>
      <c r="BA110" s="2">
        <v>-1</v>
      </c>
      <c r="BB110" s="2">
        <v>4500</v>
      </c>
      <c r="BC110" s="2">
        <v>406250</v>
      </c>
    </row>
    <row r="111" spans="1:55" x14ac:dyDescent="0.6">
      <c r="A111" s="2">
        <v>90</v>
      </c>
      <c r="B111" s="2" t="s">
        <v>173</v>
      </c>
      <c r="C111" s="2" t="s">
        <v>55</v>
      </c>
      <c r="D111" s="2">
        <v>106</v>
      </c>
      <c r="E111" s="2">
        <v>28</v>
      </c>
      <c r="F111" s="2">
        <v>28</v>
      </c>
      <c r="G111" s="2">
        <v>2892</v>
      </c>
      <c r="H111" s="2">
        <v>2892</v>
      </c>
      <c r="I111" s="2" t="s">
        <v>57</v>
      </c>
      <c r="J111" s="2" t="s">
        <v>173</v>
      </c>
      <c r="K111" s="2" t="s">
        <v>57</v>
      </c>
      <c r="L111" s="2">
        <v>5.9788050000000004</v>
      </c>
      <c r="M111" s="2" t="s">
        <v>58</v>
      </c>
      <c r="N111" s="2" t="s">
        <v>58</v>
      </c>
      <c r="O111" s="2" t="s">
        <v>57</v>
      </c>
      <c r="P111" s="2" t="s">
        <v>57</v>
      </c>
      <c r="Q111" s="2" t="s">
        <v>57</v>
      </c>
      <c r="R111" s="2">
        <v>73.539095000000003</v>
      </c>
      <c r="S111" s="2" t="s">
        <v>57</v>
      </c>
      <c r="T111" s="2" t="s">
        <v>59</v>
      </c>
      <c r="U111" s="2" t="s">
        <v>57</v>
      </c>
      <c r="V111" s="2">
        <v>0.25126199999999999</v>
      </c>
      <c r="W111" s="2" t="s">
        <v>57</v>
      </c>
      <c r="X111" s="2" t="s">
        <v>57</v>
      </c>
      <c r="Y111" s="2" t="s">
        <v>57</v>
      </c>
      <c r="Z111" s="2" t="s">
        <v>57</v>
      </c>
      <c r="AA111" s="2" t="s">
        <v>57</v>
      </c>
      <c r="AB111" s="2" t="s">
        <v>57</v>
      </c>
      <c r="AC111" s="2" t="s">
        <v>57</v>
      </c>
      <c r="AD111" s="2" t="s">
        <v>57</v>
      </c>
      <c r="AE111" s="2" t="s">
        <v>57</v>
      </c>
      <c r="AF111" s="2" t="s">
        <v>57</v>
      </c>
      <c r="AG111" s="2" t="s">
        <v>57</v>
      </c>
      <c r="AH111" s="2" t="s">
        <v>57</v>
      </c>
      <c r="AI111" s="2" t="s">
        <v>57</v>
      </c>
      <c r="AJ111" s="2" t="s">
        <v>57</v>
      </c>
      <c r="AK111" s="2" t="s">
        <v>57</v>
      </c>
      <c r="AL111" s="2" t="s">
        <v>57</v>
      </c>
      <c r="AM111" s="2" t="s">
        <v>57</v>
      </c>
      <c r="AN111" s="2" t="s">
        <v>57</v>
      </c>
      <c r="AO111" s="2" t="s">
        <v>57</v>
      </c>
      <c r="AP111" s="2" t="s">
        <v>57</v>
      </c>
      <c r="AQ111" s="2" t="s">
        <v>57</v>
      </c>
      <c r="AR111" s="2" t="s">
        <v>57</v>
      </c>
      <c r="AS111" s="2" t="s">
        <v>57</v>
      </c>
      <c r="AT111" s="2" t="s">
        <v>57</v>
      </c>
      <c r="AU111" s="2" t="s">
        <v>57</v>
      </c>
      <c r="AV111" s="2" t="s">
        <v>57</v>
      </c>
      <c r="AW111" s="2" t="s">
        <v>60</v>
      </c>
      <c r="AX111" s="2">
        <v>0.10177799999999999</v>
      </c>
      <c r="AY111" s="2">
        <v>1</v>
      </c>
      <c r="AZ111" s="2" t="s">
        <v>61</v>
      </c>
      <c r="BA111" s="2">
        <v>-1</v>
      </c>
      <c r="BB111" s="2">
        <v>1724.7134169999999</v>
      </c>
      <c r="BC111" s="2">
        <v>101777.502102</v>
      </c>
    </row>
    <row r="112" spans="1:55" x14ac:dyDescent="0.6">
      <c r="A112" s="2">
        <v>112</v>
      </c>
      <c r="B112" s="2" t="s">
        <v>174</v>
      </c>
      <c r="C112" s="2" t="s">
        <v>55</v>
      </c>
      <c r="D112" s="2">
        <v>128</v>
      </c>
      <c r="E112" s="2">
        <v>113</v>
      </c>
      <c r="F112" s="2" t="s">
        <v>57</v>
      </c>
      <c r="G112" s="2">
        <v>2893</v>
      </c>
      <c r="H112" s="2">
        <v>2893</v>
      </c>
      <c r="I112" s="2" t="s">
        <v>57</v>
      </c>
      <c r="J112" s="2" t="s">
        <v>174</v>
      </c>
      <c r="K112" s="2" t="s">
        <v>57</v>
      </c>
      <c r="L112" s="2">
        <v>6.0279090000000002</v>
      </c>
      <c r="M112" s="2" t="s">
        <v>58</v>
      </c>
      <c r="N112" s="2" t="s">
        <v>58</v>
      </c>
      <c r="O112" s="2" t="s">
        <v>57</v>
      </c>
      <c r="P112" s="2" t="s">
        <v>57</v>
      </c>
      <c r="Q112" s="2" t="s">
        <v>57</v>
      </c>
      <c r="R112" s="2">
        <v>77.887591999999998</v>
      </c>
      <c r="S112" s="2" t="s">
        <v>57</v>
      </c>
      <c r="T112" s="2" t="s">
        <v>59</v>
      </c>
      <c r="U112" s="2" t="s">
        <v>57</v>
      </c>
      <c r="V112" s="2">
        <v>0.65202700000000002</v>
      </c>
      <c r="W112" s="2" t="s">
        <v>57</v>
      </c>
      <c r="X112" s="2" t="s">
        <v>57</v>
      </c>
      <c r="Y112" s="2" t="s">
        <v>57</v>
      </c>
      <c r="Z112" s="2" t="s">
        <v>57</v>
      </c>
      <c r="AA112" s="2" t="s">
        <v>57</v>
      </c>
      <c r="AB112" s="2" t="s">
        <v>57</v>
      </c>
      <c r="AC112" s="2" t="s">
        <v>57</v>
      </c>
      <c r="AD112" s="2" t="s">
        <v>57</v>
      </c>
      <c r="AE112" s="2" t="s">
        <v>57</v>
      </c>
      <c r="AF112" s="2" t="s">
        <v>57</v>
      </c>
      <c r="AG112" s="2" t="s">
        <v>57</v>
      </c>
      <c r="AH112" s="2" t="s">
        <v>57</v>
      </c>
      <c r="AI112" s="2" t="s">
        <v>57</v>
      </c>
      <c r="AJ112" s="2" t="s">
        <v>57</v>
      </c>
      <c r="AK112" s="2" t="s">
        <v>57</v>
      </c>
      <c r="AL112" s="2" t="s">
        <v>57</v>
      </c>
      <c r="AM112" s="2" t="s">
        <v>57</v>
      </c>
      <c r="AN112" s="2" t="s">
        <v>57</v>
      </c>
      <c r="AO112" s="2" t="s">
        <v>57</v>
      </c>
      <c r="AP112" s="2" t="s">
        <v>57</v>
      </c>
      <c r="AQ112" s="2" t="s">
        <v>57</v>
      </c>
      <c r="AR112" s="2" t="s">
        <v>57</v>
      </c>
      <c r="AS112" s="2" t="s">
        <v>57</v>
      </c>
      <c r="AT112" s="2" t="s">
        <v>57</v>
      </c>
      <c r="AU112" s="2" t="s">
        <v>57</v>
      </c>
      <c r="AV112" s="2" t="s">
        <v>57</v>
      </c>
      <c r="AW112" s="2" t="s">
        <v>60</v>
      </c>
      <c r="AX112" s="2">
        <v>0.52829599999999999</v>
      </c>
      <c r="AY112" s="2">
        <v>1</v>
      </c>
      <c r="AZ112" s="2" t="s">
        <v>61</v>
      </c>
      <c r="BA112" s="2">
        <v>-1</v>
      </c>
      <c r="BB112" s="2">
        <v>6066.5564539999996</v>
      </c>
      <c r="BC112" s="2">
        <v>528296.33086900006</v>
      </c>
    </row>
    <row r="113" spans="1:55" x14ac:dyDescent="0.6">
      <c r="A113" s="2">
        <v>21</v>
      </c>
      <c r="B113" s="2" t="s">
        <v>175</v>
      </c>
      <c r="C113" s="2" t="s">
        <v>55</v>
      </c>
      <c r="D113" s="2">
        <v>30</v>
      </c>
      <c r="E113" s="2">
        <v>51</v>
      </c>
      <c r="F113" s="2">
        <v>51</v>
      </c>
      <c r="G113" s="2">
        <v>3618</v>
      </c>
      <c r="H113" s="2">
        <v>3618</v>
      </c>
      <c r="I113" s="2" t="s">
        <v>57</v>
      </c>
      <c r="J113" s="2" t="s">
        <v>175</v>
      </c>
      <c r="K113" s="2" t="s">
        <v>57</v>
      </c>
      <c r="L113" s="2">
        <v>5.6749780000000003</v>
      </c>
      <c r="M113" s="2" t="s">
        <v>58</v>
      </c>
      <c r="N113" s="2" t="s">
        <v>58</v>
      </c>
      <c r="O113" s="2" t="s">
        <v>57</v>
      </c>
      <c r="P113" s="2" t="s">
        <v>57</v>
      </c>
      <c r="Q113" s="2" t="s">
        <v>57</v>
      </c>
      <c r="R113" s="2">
        <v>81.902933000000004</v>
      </c>
      <c r="S113" s="2" t="s">
        <v>57</v>
      </c>
      <c r="T113" s="2" t="s">
        <v>59</v>
      </c>
      <c r="U113" s="2" t="s">
        <v>57</v>
      </c>
      <c r="V113" s="2">
        <v>1.5440659999999999</v>
      </c>
      <c r="W113" s="2" t="s">
        <v>57</v>
      </c>
      <c r="X113" s="2" t="s">
        <v>57</v>
      </c>
      <c r="Y113" s="2" t="s">
        <v>57</v>
      </c>
      <c r="Z113" s="2" t="s">
        <v>57</v>
      </c>
      <c r="AA113" s="2" t="s">
        <v>57</v>
      </c>
      <c r="AB113" s="2" t="s">
        <v>57</v>
      </c>
      <c r="AC113" s="2" t="s">
        <v>57</v>
      </c>
      <c r="AD113" s="2" t="s">
        <v>57</v>
      </c>
      <c r="AE113" s="2" t="s">
        <v>57</v>
      </c>
      <c r="AF113" s="2" t="s">
        <v>57</v>
      </c>
      <c r="AG113" s="2" t="s">
        <v>57</v>
      </c>
      <c r="AH113" s="2" t="s">
        <v>57</v>
      </c>
      <c r="AI113" s="2" t="s">
        <v>57</v>
      </c>
      <c r="AJ113" s="2" t="s">
        <v>57</v>
      </c>
      <c r="AK113" s="2" t="s">
        <v>57</v>
      </c>
      <c r="AL113" s="2" t="s">
        <v>57</v>
      </c>
      <c r="AM113" s="2" t="s">
        <v>57</v>
      </c>
      <c r="AN113" s="2" t="s">
        <v>57</v>
      </c>
      <c r="AO113" s="2" t="s">
        <v>57</v>
      </c>
      <c r="AP113" s="2" t="s">
        <v>57</v>
      </c>
      <c r="AQ113" s="2" t="s">
        <v>57</v>
      </c>
      <c r="AR113" s="2" t="s">
        <v>57</v>
      </c>
      <c r="AS113" s="2" t="s">
        <v>57</v>
      </c>
      <c r="AT113" s="2" t="s">
        <v>57</v>
      </c>
      <c r="AU113" s="2" t="s">
        <v>57</v>
      </c>
      <c r="AV113" s="2" t="s">
        <v>57</v>
      </c>
      <c r="AW113" s="2" t="s">
        <v>94</v>
      </c>
      <c r="AX113" s="2">
        <v>2.2400000000000002</v>
      </c>
      <c r="AY113" s="2">
        <v>-1</v>
      </c>
      <c r="BA113" s="2">
        <v>-1</v>
      </c>
      <c r="BB113" s="2">
        <v>15775</v>
      </c>
      <c r="BC113" s="2">
        <v>2240000</v>
      </c>
    </row>
    <row r="114" spans="1:55" x14ac:dyDescent="0.6">
      <c r="A114" s="2">
        <v>67</v>
      </c>
      <c r="B114" s="2" t="s">
        <v>176</v>
      </c>
      <c r="C114" s="2" t="s">
        <v>55</v>
      </c>
      <c r="D114" s="2">
        <v>81</v>
      </c>
      <c r="E114" s="2">
        <v>114</v>
      </c>
      <c r="F114" s="2" t="s">
        <v>57</v>
      </c>
      <c r="G114" s="2">
        <v>3619</v>
      </c>
      <c r="H114" s="2">
        <v>3619</v>
      </c>
      <c r="I114" s="2" t="s">
        <v>57</v>
      </c>
      <c r="J114" s="2" t="s">
        <v>176</v>
      </c>
      <c r="K114" s="2" t="s">
        <v>57</v>
      </c>
      <c r="L114" s="2">
        <v>6.4654379999999998</v>
      </c>
      <c r="M114" s="2" t="s">
        <v>58</v>
      </c>
      <c r="N114" s="2" t="s">
        <v>58</v>
      </c>
      <c r="O114" s="2" t="s">
        <v>57</v>
      </c>
      <c r="P114" s="2" t="s">
        <v>57</v>
      </c>
      <c r="Q114" s="2" t="s">
        <v>57</v>
      </c>
      <c r="R114" s="2">
        <v>80.727868999999998</v>
      </c>
      <c r="S114" s="2" t="s">
        <v>57</v>
      </c>
      <c r="T114" s="2" t="s">
        <v>59</v>
      </c>
      <c r="U114" s="2" t="s">
        <v>57</v>
      </c>
      <c r="V114" s="2">
        <v>0.241563</v>
      </c>
      <c r="W114" s="2" t="s">
        <v>57</v>
      </c>
      <c r="X114" s="2" t="s">
        <v>57</v>
      </c>
      <c r="Y114" s="2" t="s">
        <v>57</v>
      </c>
      <c r="Z114" s="2" t="s">
        <v>57</v>
      </c>
      <c r="AA114" s="2" t="s">
        <v>57</v>
      </c>
      <c r="AB114" s="2" t="s">
        <v>57</v>
      </c>
      <c r="AC114" s="2" t="s">
        <v>57</v>
      </c>
      <c r="AD114" s="2" t="s">
        <v>57</v>
      </c>
      <c r="AE114" s="2" t="s">
        <v>57</v>
      </c>
      <c r="AF114" s="2" t="s">
        <v>57</v>
      </c>
      <c r="AG114" s="2" t="s">
        <v>57</v>
      </c>
      <c r="AH114" s="2" t="s">
        <v>57</v>
      </c>
      <c r="AI114" s="2" t="s">
        <v>57</v>
      </c>
      <c r="AJ114" s="2" t="s">
        <v>57</v>
      </c>
      <c r="AK114" s="2" t="s">
        <v>57</v>
      </c>
      <c r="AL114" s="2" t="s">
        <v>57</v>
      </c>
      <c r="AM114" s="2" t="s">
        <v>57</v>
      </c>
      <c r="AN114" s="2" t="s">
        <v>57</v>
      </c>
      <c r="AO114" s="2" t="s">
        <v>57</v>
      </c>
      <c r="AP114" s="2" t="s">
        <v>57</v>
      </c>
      <c r="AQ114" s="2" t="s">
        <v>57</v>
      </c>
      <c r="AR114" s="2" t="s">
        <v>57</v>
      </c>
      <c r="AS114" s="2" t="s">
        <v>57</v>
      </c>
      <c r="AT114" s="2" t="s">
        <v>57</v>
      </c>
      <c r="AU114" s="2" t="s">
        <v>57</v>
      </c>
      <c r="AV114" s="2" t="s">
        <v>57</v>
      </c>
      <c r="AW114" s="2" t="s">
        <v>94</v>
      </c>
      <c r="AX114" s="2">
        <v>9.4218999999999997E-2</v>
      </c>
      <c r="AY114" s="2">
        <v>-1</v>
      </c>
      <c r="BA114" s="2">
        <v>-1</v>
      </c>
      <c r="BB114" s="2">
        <v>1800</v>
      </c>
      <c r="BC114" s="2">
        <v>94218.75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CNLag</vt:lpstr>
      <vt:lpstr>Ref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2019-07-05T18:49:55Z</dcterms:created>
  <dcterms:modified xsi:type="dcterms:W3CDTF">2026-04-14T13:44:56Z</dcterms:modified>
</cp:coreProperties>
</file>