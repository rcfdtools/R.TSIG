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DBB9E53B-3080-42EF-8D94-8261576DACBA}" xr6:coauthVersionLast="47" xr6:coauthVersionMax="47" xr10:uidLastSave="{00000000-0000-0000-0000-000000000000}"/>
  <bookViews>
    <workbookView xWindow="-98" yWindow="-98" windowWidth="28996" windowHeight="15675" xr2:uid="{FADDA20A-9183-4748-AD77-0EE003FE428D}"/>
  </bookViews>
  <sheets>
    <sheet name="Análisis" sheetId="1" r:id="rId1"/>
    <sheet name="{R}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F10" i="1" l="1"/>
  <c r="E10" i="1"/>
  <c r="F9" i="1"/>
  <c r="F8" i="1"/>
  <c r="F7" i="1"/>
  <c r="F6" i="1"/>
  <c r="E6" i="1"/>
  <c r="F5" i="1"/>
  <c r="E5" i="1"/>
</calcChain>
</file>

<file path=xl/sharedStrings.xml><?xml version="1.0" encoding="utf-8"?>
<sst xmlns="http://schemas.openxmlformats.org/spreadsheetml/2006/main" count="20" uniqueCount="20">
  <si>
    <t>Ejemplo con valores de la precipitación máxima probable para 2 años de periodo de retorno</t>
  </si>
  <si>
    <t>Min, mm</t>
  </si>
  <si>
    <t>Max, mm</t>
  </si>
  <si>
    <t>Similitud
Min, %</t>
  </si>
  <si>
    <t>Similitud
Max, %</t>
  </si>
  <si>
    <t>IDW</t>
  </si>
  <si>
    <t>Krigging</t>
  </si>
  <si>
    <t>Trend</t>
  </si>
  <si>
    <t>SPLine</t>
  </si>
  <si>
    <t>Tr 2yr</t>
  </si>
  <si>
    <t>Natural Neighbor</t>
  </si>
  <si>
    <t>Análisis de rangos obtenidos en la interpolación espacial</t>
  </si>
  <si>
    <t>Precipitación e interpolación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</si>
  <si>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</si>
  <si>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</si>
  <si>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</si>
  <si>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</si>
  <si>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</si>
  <si>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</si>
  <si>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v.20211123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</si>
</sst>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8"/>
      <color theme="1"/>
      <name val="Segoe UI Light"/>
      <family val="2"/>
    </font>
    <font>
      <sz val="11"/>
      <color rgb="FF0070C0"/>
      <name val="Segoe UI Light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4" fillId="0" borderId="0" xfId="2" applyFont="1" applyAlignment="1" applyProtection="1">
      <alignment horizontal="center" vertical="top" wrapText="1"/>
    </xf>
    <xf numFmtId="0" fontId="4" fillId="0" borderId="0" xfId="2" applyFont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top" wrapText="1"/>
    </xf>
    <xf numFmtId="2" fontId="4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64" fontId="2" fillId="0" borderId="6" xfId="1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A5D9DB"/>
      <color rgb="FFFADF9C"/>
      <color rgb="FFEDA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strRef>
          <c:f>Análisis!$B$4</c:f>
          <c:strCache>
            <c:ptCount val="1"/>
            <c:pt idx="0">
              <c:v>Precipitación e interpolación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75000000000001"/>
          <c:y val="0.14784703247940503"/>
          <c:w val="0.85280907407407402"/>
          <c:h val="0.513183273871072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Análisis!$C$4</c:f>
              <c:strCache>
                <c:ptCount val="1"/>
                <c:pt idx="0">
                  <c:v>Min, mm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Análisis!$B$5:$B$10</c:f>
              <c:strCache>
                <c:ptCount val="6"/>
                <c:pt idx="0">
                  <c:v>Tr 2yr</c:v>
                </c:pt>
                <c:pt idx="1">
                  <c:v>IDW</c:v>
                </c:pt>
                <c:pt idx="2">
                  <c:v>Krigging</c:v>
                </c:pt>
                <c:pt idx="3">
                  <c:v>SPLine</c:v>
                </c:pt>
                <c:pt idx="4">
                  <c:v>Trend</c:v>
                </c:pt>
                <c:pt idx="5">
                  <c:v>Natural Neighbor</c:v>
                </c:pt>
              </c:strCache>
            </c:strRef>
          </c:cat>
          <c:val>
            <c:numRef>
              <c:f>Análisis!$C$5:$C$10</c:f>
              <c:numCache>
                <c:formatCode>0.00</c:formatCode>
                <c:ptCount val="6"/>
                <c:pt idx="0">
                  <c:v>62.748829999999998</c:v>
                </c:pt>
                <c:pt idx="1">
                  <c:v>62.749160770000003</c:v>
                </c:pt>
                <c:pt idx="2">
                  <c:v>76.717338560000002</c:v>
                </c:pt>
                <c:pt idx="3">
                  <c:v>51.862159730000002</c:v>
                </c:pt>
                <c:pt idx="4">
                  <c:v>77.893066410000003</c:v>
                </c:pt>
                <c:pt idx="5">
                  <c:v>62.763599399999997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4-48F0-8D0B-7CCD3CD06DC6}"/>
            </c:ext>
          </c:extLst>
        </c:ser>
        <c:ser>
          <c:idx val="1"/>
          <c:order val="1"/>
          <c:tx>
            <c:strRef>
              <c:f>Análisis!$D$4</c:f>
              <c:strCache>
                <c:ptCount val="1"/>
                <c:pt idx="0">
                  <c:v>Max, mm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Análisis!$B$5:$B$10</c:f>
              <c:strCache>
                <c:ptCount val="6"/>
                <c:pt idx="0">
                  <c:v>Tr 2yr</c:v>
                </c:pt>
                <c:pt idx="1">
                  <c:v>IDW</c:v>
                </c:pt>
                <c:pt idx="2">
                  <c:v>Krigging</c:v>
                </c:pt>
                <c:pt idx="3">
                  <c:v>SPLine</c:v>
                </c:pt>
                <c:pt idx="4">
                  <c:v>Trend</c:v>
                </c:pt>
                <c:pt idx="5">
                  <c:v>Natural Neighbor</c:v>
                </c:pt>
              </c:strCache>
            </c:strRef>
          </c:cat>
          <c:val>
            <c:numRef>
              <c:f>Análisis!$D$5:$D$10</c:f>
              <c:numCache>
                <c:formatCode>0.00</c:formatCode>
                <c:ptCount val="6"/>
                <c:pt idx="0">
                  <c:v>100.2906</c:v>
                </c:pt>
                <c:pt idx="1">
                  <c:v>100.1432835</c:v>
                </c:pt>
                <c:pt idx="2">
                  <c:v>85.143211249999993</c:v>
                </c:pt>
                <c:pt idx="3">
                  <c:v>119.8896536</c:v>
                </c:pt>
                <c:pt idx="4">
                  <c:v>85.607711789999996</c:v>
                </c:pt>
                <c:pt idx="5">
                  <c:v>100.1144469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4-48F0-8D0B-7CCD3CD06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57243600"/>
        <c:axId val="583413200"/>
      </c:barChart>
      <c:catAx>
        <c:axId val="35724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583413200"/>
        <c:crosses val="autoZero"/>
        <c:auto val="1"/>
        <c:lblAlgn val="ctr"/>
        <c:lblOffset val="100"/>
        <c:noMultiLvlLbl val="0"/>
      </c:catAx>
      <c:valAx>
        <c:axId val="58341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35724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dash"/>
      <a:round/>
    </a:ln>
    <a:effectLst/>
  </c:spPr>
  <c:txPr>
    <a:bodyPr/>
    <a:lstStyle/>
    <a:p>
      <a:pPr>
        <a:defRPr sz="1000"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n-US" sz="1050"/>
              <a:t>Similitud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45370370370369"/>
          <c:y val="0.13342899034000966"/>
          <c:w val="0.85280907407407402"/>
          <c:h val="0.5201744273327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Análisis!$E$4</c:f>
              <c:strCache>
                <c:ptCount val="1"/>
                <c:pt idx="0">
                  <c:v>Similitud
Min, %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Análisis!$B$5:$B$10</c:f>
              <c:strCache>
                <c:ptCount val="6"/>
                <c:pt idx="0">
                  <c:v>Tr 2yr</c:v>
                </c:pt>
                <c:pt idx="1">
                  <c:v>IDW</c:v>
                </c:pt>
                <c:pt idx="2">
                  <c:v>Krigging</c:v>
                </c:pt>
                <c:pt idx="3">
                  <c:v>SPLine</c:v>
                </c:pt>
                <c:pt idx="4">
                  <c:v>Trend</c:v>
                </c:pt>
                <c:pt idx="5">
                  <c:v>Natural Neighbor</c:v>
                </c:pt>
              </c:strCache>
            </c:strRef>
          </c:cat>
          <c:val>
            <c:numRef>
              <c:f>Análisis!$E$5:$E$10</c:f>
              <c:numCache>
                <c:formatCode>0.0%</c:formatCode>
                <c:ptCount val="6"/>
                <c:pt idx="0">
                  <c:v>1</c:v>
                </c:pt>
                <c:pt idx="1">
                  <c:v>0.99999472866665395</c:v>
                </c:pt>
                <c:pt idx="2">
                  <c:v>0.77739013524236222</c:v>
                </c:pt>
                <c:pt idx="3">
                  <c:v>0.82650401178794897</c:v>
                </c:pt>
                <c:pt idx="4">
                  <c:v>0.75865308707748014</c:v>
                </c:pt>
                <c:pt idx="5">
                  <c:v>0.99976462668706345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E-417E-97EE-378028579AAA}"/>
            </c:ext>
          </c:extLst>
        </c:ser>
        <c:ser>
          <c:idx val="1"/>
          <c:order val="1"/>
          <c:tx>
            <c:strRef>
              <c:f>Análisis!$F$4</c:f>
              <c:strCache>
                <c:ptCount val="1"/>
                <c:pt idx="0">
                  <c:v>Similitud
Max, %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Análisis!$B$5:$B$10</c:f>
              <c:strCache>
                <c:ptCount val="6"/>
                <c:pt idx="0">
                  <c:v>Tr 2yr</c:v>
                </c:pt>
                <c:pt idx="1">
                  <c:v>IDW</c:v>
                </c:pt>
                <c:pt idx="2">
                  <c:v>Krigging</c:v>
                </c:pt>
                <c:pt idx="3">
                  <c:v>SPLine</c:v>
                </c:pt>
                <c:pt idx="4">
                  <c:v>Trend</c:v>
                </c:pt>
                <c:pt idx="5">
                  <c:v>Natural Neighbor</c:v>
                </c:pt>
              </c:strCache>
            </c:strRef>
          </c:cat>
          <c:val>
            <c:numRef>
              <c:f>Análisis!$F$5:$F$10</c:f>
              <c:numCache>
                <c:formatCode>0.0%</c:formatCode>
                <c:ptCount val="6"/>
                <c:pt idx="0">
                  <c:v>1</c:v>
                </c:pt>
                <c:pt idx="1">
                  <c:v>0.99853110361290087</c:v>
                </c:pt>
                <c:pt idx="2">
                  <c:v>0.84896502015143982</c:v>
                </c:pt>
                <c:pt idx="3">
                  <c:v>0.80457736218548881</c:v>
                </c:pt>
                <c:pt idx="4">
                  <c:v>0.85359656627839497</c:v>
                </c:pt>
                <c:pt idx="5">
                  <c:v>0.9982435731763496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7E-417E-97EE-378028579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357243600"/>
        <c:axId val="583413200"/>
      </c:barChart>
      <c:catAx>
        <c:axId val="35724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583413200"/>
        <c:crosses val="autoZero"/>
        <c:auto val="1"/>
        <c:lblAlgn val="ctr"/>
        <c:lblOffset val="100"/>
        <c:noMultiLvlLbl val="0"/>
      </c:catAx>
      <c:valAx>
        <c:axId val="58341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P,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35724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dash"/>
      <a:round/>
    </a:ln>
    <a:effectLst/>
  </c:spPr>
  <c:txPr>
    <a:bodyPr/>
    <a:lstStyle/>
    <a:p>
      <a:pPr>
        <a:defRPr sz="1000"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60434</xdr:rowOff>
    </xdr:from>
    <xdr:to>
      <xdr:col>3</xdr:col>
      <xdr:colOff>756866</xdr:colOff>
      <xdr:row>26</xdr:row>
      <xdr:rowOff>165486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252570-4DF8-419A-B40B-158F40B14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952180</xdr:colOff>
      <xdr:row>10</xdr:row>
      <xdr:rowOff>65305</xdr:rowOff>
    </xdr:from>
    <xdr:to>
      <xdr:col>6</xdr:col>
      <xdr:colOff>18433</xdr:colOff>
      <xdr:row>26</xdr:row>
      <xdr:rowOff>176072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A44099-D2A9-494B-BF57-958FFF319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62D3E8F1-3125-4BB4-89B7-46B1C115E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7793-14EA-4377-A050-B635B54AEB8D}">
  <dimension ref="B1:H10"/>
  <sheetViews>
    <sheetView showGridLines="0" tabSelected="1" zoomScale="130" zoomScaleNormal="130" workbookViewId="0">
      <selection activeCell="J10" sqref="J10"/>
    </sheetView>
  </sheetViews>
  <sheetFormatPr defaultColWidth="11.3984375" defaultRowHeight="16.5" x14ac:dyDescent="0.6"/>
  <cols>
    <col min="1" max="1" width="2.73046875" style="1" customWidth="1"/>
    <col min="2" max="2" width="25.3984375" style="1" customWidth="1"/>
    <col min="3" max="4" width="25.3984375" style="2" customWidth="1"/>
    <col min="5" max="6" width="25.3984375" style="1" customWidth="1"/>
    <col min="7" max="7" width="2.73046875" style="1" customWidth="1"/>
    <col min="8" max="16384" width="11.3984375" style="1"/>
  </cols>
  <sheetData>
    <row r="1" spans="2:8" x14ac:dyDescent="0.6">
      <c r="F1" s="3" t="s">
        <v>19</v>
      </c>
    </row>
    <row r="2" spans="2:8" x14ac:dyDescent="0.6">
      <c r="B2" s="1" t="s">
        <v>11</v>
      </c>
    </row>
    <row r="3" spans="2:8" x14ac:dyDescent="0.6">
      <c r="B3" s="1" t="s">
        <v>0</v>
      </c>
    </row>
    <row r="4" spans="2:8" s="4" customFormat="1" ht="33" x14ac:dyDescent="0.45">
      <c r="B4" s="13" t="s">
        <v>12</v>
      </c>
      <c r="C4" s="14" t="s">
        <v>1</v>
      </c>
      <c r="D4" s="14" t="s">
        <v>2</v>
      </c>
      <c r="E4" s="14" t="s">
        <v>3</v>
      </c>
      <c r="F4" s="15" t="s">
        <v>4</v>
      </c>
      <c r="H4" s="5"/>
    </row>
    <row r="5" spans="2:8" x14ac:dyDescent="0.6">
      <c r="B5" s="16" t="s">
        <v>9</v>
      </c>
      <c r="C5" s="11">
        <v>62.748829999999998</v>
      </c>
      <c r="D5" s="11">
        <v>100.2906</v>
      </c>
      <c r="E5" s="12">
        <f>IF(ABS(C5/C$5)&gt;1,1-ABS(1-(C5/C$5)),C5/C$5)</f>
        <v>1</v>
      </c>
      <c r="F5" s="17">
        <f t="shared" ref="F5:F10" si="0">IF(ABS(D5/D$5)&gt;1,1-ABS(1-(D5/D$5)),D5/D$5)</f>
        <v>1</v>
      </c>
    </row>
    <row r="6" spans="2:8" x14ac:dyDescent="0.6">
      <c r="B6" s="16" t="s">
        <v>5</v>
      </c>
      <c r="C6" s="11">
        <v>62.749160770000003</v>
      </c>
      <c r="D6" s="11">
        <v>100.1432835</v>
      </c>
      <c r="E6" s="12">
        <f t="shared" ref="E6:E10" si="1">IF(ABS(C6/C$5)&gt;1,1-ABS(1-(C6/C$5)),C6/C$5)</f>
        <v>0.99999472866665395</v>
      </c>
      <c r="F6" s="17">
        <f t="shared" si="0"/>
        <v>0.99853110361290087</v>
      </c>
    </row>
    <row r="7" spans="2:8" x14ac:dyDescent="0.6">
      <c r="B7" s="16" t="s">
        <v>6</v>
      </c>
      <c r="C7" s="11">
        <v>76.717338560000002</v>
      </c>
      <c r="D7" s="11">
        <v>85.143211249999993</v>
      </c>
      <c r="E7" s="12">
        <f>IF(ABS(C7/C$5)&gt;1,1-ABS(1-(C7/C$5)),C7/C$5)</f>
        <v>0.77739013524236222</v>
      </c>
      <c r="F7" s="17">
        <f t="shared" si="0"/>
        <v>0.84896502015143982</v>
      </c>
    </row>
    <row r="8" spans="2:8" x14ac:dyDescent="0.6">
      <c r="B8" s="16" t="s">
        <v>8</v>
      </c>
      <c r="C8" s="11">
        <v>51.862159730000002</v>
      </c>
      <c r="D8" s="11">
        <v>119.8896536</v>
      </c>
      <c r="E8" s="12">
        <f>IF(ABS(C8/C$5)&gt;1,1-ABS(1-(C8/C$5)),C8/C$5)</f>
        <v>0.82650401178794897</v>
      </c>
      <c r="F8" s="17">
        <f t="shared" si="0"/>
        <v>0.80457736218548881</v>
      </c>
    </row>
    <row r="9" spans="2:8" x14ac:dyDescent="0.6">
      <c r="B9" s="16" t="s">
        <v>7</v>
      </c>
      <c r="C9" s="11">
        <v>77.893066410000003</v>
      </c>
      <c r="D9" s="11">
        <v>85.607711789999996</v>
      </c>
      <c r="E9" s="12">
        <f>IF(ABS(C9/C$5)&gt;1,1-ABS(1-(C9/C$5)),C9/C$5)</f>
        <v>0.75865308707748014</v>
      </c>
      <c r="F9" s="17">
        <f t="shared" si="0"/>
        <v>0.85359656627839497</v>
      </c>
    </row>
    <row r="10" spans="2:8" x14ac:dyDescent="0.6">
      <c r="B10" s="18" t="s">
        <v>10</v>
      </c>
      <c r="C10" s="19">
        <v>62.763599399999997</v>
      </c>
      <c r="D10" s="19">
        <v>100.1144469</v>
      </c>
      <c r="E10" s="20">
        <f t="shared" si="1"/>
        <v>0.99976462668706345</v>
      </c>
      <c r="F10" s="21">
        <f t="shared" si="0"/>
        <v>0.9982435731763496</v>
      </c>
    </row>
  </sheetData>
  <sheetProtection algorithmName="SHA-512" hashValue="SUFVJNQvktojvmG3omKfuSbW+qj9IBjDclg3vBv6ygqKVaQb8/eQKdQToXg2yW6ylU0lLOWTMWm5uo6Ux1NmkQ==" saltValue="68OiSiB99Quk8RDbbH+itg==" spinCount="100000" sheet="1" objects="1" scenarios="1"/>
  <conditionalFormatting sqref="E5:F10">
    <cfRule type="colorScale" priority="1">
      <colorScale>
        <cfvo type="min"/>
        <cfvo type="percentile" val="50"/>
        <cfvo type="max"/>
        <color rgb="FFEDA595"/>
        <color rgb="FFFADF9C"/>
        <color rgb="FFA5D9D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2715-2416-4CB2-9819-9592930C09A8}">
  <dimension ref="B2:B22"/>
  <sheetViews>
    <sheetView showGridLines="0" showRowColHeaders="0" zoomScale="115" zoomScaleNormal="115" workbookViewId="0">
      <selection activeCell="B7" sqref="B7"/>
    </sheetView>
  </sheetViews>
  <sheetFormatPr defaultColWidth="11.3984375" defaultRowHeight="16.5" x14ac:dyDescent="0.45"/>
  <cols>
    <col min="1" max="1" width="2.73046875" style="7" customWidth="1"/>
    <col min="2" max="2" width="63.86328125" style="7" customWidth="1"/>
    <col min="3" max="16384" width="11.3984375" style="7"/>
  </cols>
  <sheetData>
    <row r="2" spans="2:2" x14ac:dyDescent="0.45">
      <c r="B2" s="6" t="s">
        <v>13</v>
      </c>
    </row>
    <row r="3" spans="2:2" x14ac:dyDescent="0.45">
      <c r="B3" s="8" t="s">
        <v>14</v>
      </c>
    </row>
    <row r="4" spans="2:2" x14ac:dyDescent="0.45">
      <c r="B4" s="8" t="s">
        <v>15</v>
      </c>
    </row>
    <row r="5" spans="2:2" x14ac:dyDescent="0.45">
      <c r="B5" s="6"/>
    </row>
    <row r="6" spans="2:2" x14ac:dyDescent="0.45">
      <c r="B6" s="6" t="s">
        <v>16</v>
      </c>
    </row>
    <row r="7" spans="2:2" x14ac:dyDescent="0.45">
      <c r="B7" s="9" t="s">
        <v>17</v>
      </c>
    </row>
    <row r="22" spans="2:2" x14ac:dyDescent="0.45">
      <c r="B22" s="10" t="s">
        <v>18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4BAC633D-2C8B-4684-B805-75BAFF38434E}"/>
    <hyperlink ref="B4" r:id="rId2" xr:uid="{3B1F6D45-5BB0-4F63-A9C1-0ADE5FF6FE2B}"/>
    <hyperlink ref="B7" r:id="rId3" xr:uid="{49F5B083-FD70-4630-9E79-FA716DEA4CEA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7322AB1F17A44BE7FE5C8D995D347" ma:contentTypeVersion="11" ma:contentTypeDescription="Create a new document." ma:contentTypeScope="" ma:versionID="4f0eaf909b120e26083489ce242c1a00">
  <xsd:schema xmlns:xsd="http://www.w3.org/2001/XMLSchema" xmlns:xs="http://www.w3.org/2001/XMLSchema" xmlns:p="http://schemas.microsoft.com/office/2006/metadata/properties" xmlns:ns3="7eeb79fa-ffdc-4bd7-a04f-d010a9c58256" xmlns:ns4="85273d68-90a1-4455-8abc-8dc013f26eed" targetNamespace="http://schemas.microsoft.com/office/2006/metadata/properties" ma:root="true" ma:fieldsID="13d25ac077f1851dc74415cb12145526" ns3:_="" ns4:_="">
    <xsd:import namespace="7eeb79fa-ffdc-4bd7-a04f-d010a9c58256"/>
    <xsd:import namespace="85273d68-90a1-4455-8abc-8dc013f26e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b79fa-ffdc-4bd7-a04f-d010a9c582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73d68-90a1-4455-8abc-8dc013f26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102464-CD91-4CF0-9717-D53DCDB3C887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85273d68-90a1-4455-8abc-8dc013f26eed"/>
    <ds:schemaRef ds:uri="http://purl.org/dc/elements/1.1/"/>
    <ds:schemaRef ds:uri="7eeb79fa-ffdc-4bd7-a04f-d010a9c5825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A043BA3-F7E3-4624-A38E-A4FEFD1604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eb79fa-ffdc-4bd7-a04f-d010a9c58256"/>
    <ds:schemaRef ds:uri="85273d68-90a1-4455-8abc-8dc013f26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45D1B4-DFE2-471A-8D54-4207738784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Análisis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2019-07-26T13:59:44Z</dcterms:created>
  <dcterms:modified xsi:type="dcterms:W3CDTF">2026-04-14T13:46:38Z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0x01010071D7322AB1F17A44BE7FE5C8D995D347</vt:lpwstr>
  </property>
</Properties>
</file>