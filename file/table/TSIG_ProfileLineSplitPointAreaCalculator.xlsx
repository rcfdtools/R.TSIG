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47C81FD2-2D0D-451B-AD49-3FD3B78AB59E}" xr6:coauthVersionLast="47" xr6:coauthVersionMax="47" xr10:uidLastSave="{00000000-0000-0000-0000-000000000000}"/>
  <bookViews>
    <workbookView xWindow="-98" yWindow="-98" windowWidth="28996" windowHeight="15675" xr2:uid="{A09F916A-28C8-41E1-92D8-E990655A0D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H30" i="1"/>
  <c r="H2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4" i="1"/>
  <c r="H1" i="1" l="1"/>
  <c r="E1" i="1"/>
  <c r="F17" i="1" s="1"/>
  <c r="F16" i="1" l="1"/>
  <c r="F30" i="1"/>
  <c r="F29" i="1"/>
  <c r="F44" i="1"/>
  <c r="F26" i="1"/>
  <c r="F24" i="1"/>
  <c r="F31" i="1"/>
  <c r="G31" i="1" s="1"/>
  <c r="F39" i="1"/>
  <c r="F6" i="1"/>
  <c r="G6" i="1" s="1"/>
  <c r="F32" i="1"/>
  <c r="G32" i="1" s="1"/>
  <c r="F46" i="1"/>
  <c r="G46" i="1" s="1"/>
  <c r="F13" i="1"/>
  <c r="F12" i="1"/>
  <c r="G12" i="1" s="1"/>
  <c r="F41" i="1"/>
  <c r="G41" i="1" s="1"/>
  <c r="F48" i="1"/>
  <c r="G48" i="1" s="1"/>
  <c r="F47" i="1"/>
  <c r="F14" i="1"/>
  <c r="F28" i="1"/>
  <c r="F27" i="1"/>
  <c r="F40" i="1"/>
  <c r="F36" i="1"/>
  <c r="G36" i="1" s="1"/>
  <c r="F15" i="1"/>
  <c r="G15" i="1" s="1"/>
  <c r="F43" i="1"/>
  <c r="F42" i="1"/>
  <c r="F22" i="1"/>
  <c r="F45" i="1"/>
  <c r="G45" i="1" s="1"/>
  <c r="F11" i="1"/>
  <c r="G11" i="1" s="1"/>
  <c r="F25" i="1"/>
  <c r="G25" i="1" s="1"/>
  <c r="F8" i="1"/>
  <c r="G8" i="1" s="1"/>
  <c r="F23" i="1"/>
  <c r="G23" i="1" s="1"/>
  <c r="F38" i="1"/>
  <c r="G38" i="1" s="1"/>
  <c r="F53" i="1"/>
  <c r="F37" i="1"/>
  <c r="F5" i="1"/>
  <c r="F4" i="1"/>
  <c r="F35" i="1"/>
  <c r="G35" i="1" s="1"/>
  <c r="F50" i="1"/>
  <c r="G50" i="1" s="1"/>
  <c r="F18" i="1"/>
  <c r="G18" i="1" s="1"/>
  <c r="F10" i="1"/>
  <c r="G10" i="1" s="1"/>
  <c r="F9" i="1"/>
  <c r="F7" i="1"/>
  <c r="F21" i="1"/>
  <c r="F52" i="1"/>
  <c r="F20" i="1"/>
  <c r="F51" i="1"/>
  <c r="G51" i="1" s="1"/>
  <c r="F19" i="1"/>
  <c r="G19" i="1" s="1"/>
  <c r="F34" i="1"/>
  <c r="F49" i="1"/>
  <c r="F33" i="1"/>
  <c r="G52" i="1" l="1"/>
  <c r="G13" i="1"/>
  <c r="G22" i="1"/>
  <c r="G43" i="1"/>
  <c r="G24" i="1"/>
  <c r="G44" i="1"/>
  <c r="G9" i="1"/>
  <c r="G26" i="1"/>
  <c r="G27" i="1"/>
  <c r="G29" i="1"/>
  <c r="G7" i="1"/>
  <c r="G5" i="1"/>
  <c r="G30" i="1"/>
  <c r="G21" i="1"/>
  <c r="G39" i="1"/>
  <c r="G4" i="1"/>
  <c r="G1" i="1" s="1"/>
  <c r="G28" i="1"/>
  <c r="G37" i="1"/>
  <c r="G14" i="1"/>
  <c r="G16" i="1"/>
  <c r="G20" i="1"/>
  <c r="G42" i="1"/>
  <c r="G40" i="1"/>
  <c r="G33" i="1"/>
  <c r="G49" i="1"/>
  <c r="G34" i="1"/>
  <c r="G53" i="1"/>
  <c r="G47" i="1"/>
  <c r="G17" i="1"/>
</calcChain>
</file>

<file path=xl/sharedStrings.xml><?xml version="1.0" encoding="utf-8"?>
<sst xmlns="http://schemas.openxmlformats.org/spreadsheetml/2006/main" count="61" uniqueCount="11">
  <si>
    <t>FID</t>
  </si>
  <si>
    <t>Shape *</t>
  </si>
  <si>
    <t>Id</t>
  </si>
  <si>
    <t>Stationm</t>
  </si>
  <si>
    <t>Cotam</t>
  </si>
  <si>
    <t>Point</t>
  </si>
  <si>
    <t>Ladom</t>
  </si>
  <si>
    <t>Areakm2</t>
  </si>
  <si>
    <t>Area</t>
  </si>
  <si>
    <t>Pendientmm</t>
  </si>
  <si>
    <t>Cotam, min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</si>
</sst>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 Light"/>
      <family val="2"/>
    </font>
    <font>
      <sz val="11"/>
      <color theme="1"/>
      <name val="Segoe UI Light"/>
      <family val="2"/>
    </font>
    <font>
      <sz val="11"/>
      <color rgb="FF0070C0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s-CO"/>
              <a:t>Perfil y pendiente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2501864083420876E-2"/>
          <c:y val="0.1584599796052964"/>
          <c:w val="0.84179322660066525"/>
          <c:h val="0.65621254546373331"/>
        </c:manualLayout>
      </c:layout>
      <c:lineChart>
        <c:grouping val="standard"/>
        <c:varyColors val="0"/>
        <c:ser>
          <c:idx val="1"/>
          <c:order val="0"/>
          <c:tx>
            <c:strRef>
              <c:f>Hoja1!$E$2</c:f>
              <c:strCache>
                <c:ptCount val="1"/>
                <c:pt idx="0">
                  <c:v>Cotam</c:v>
                </c:pt>
              </c:strCache>
            </c:strRef>
          </c:tx>
          <c:spPr>
            <a:ln w="15875">
              <a:solidFill>
                <a:schemeClr val="tx1"/>
              </a:solidFill>
            </a:ln>
          </c:spPr>
          <c:marker>
            <c:symbol val="none"/>
          </c:marker>
          <c:cat>
            <c:numRef>
              <c:f>Hoja1!$D$3:$D$53</c:f>
              <c:numCache>
                <c:formatCode>General</c:formatCode>
                <c:ptCount val="51"/>
                <c:pt idx="0">
                  <c:v>0</c:v>
                </c:pt>
                <c:pt idx="1">
                  <c:v>2335.4859849999998</c:v>
                </c:pt>
                <c:pt idx="2">
                  <c:v>4670.9719699999996</c:v>
                </c:pt>
                <c:pt idx="3">
                  <c:v>7006.4579549999999</c:v>
                </c:pt>
                <c:pt idx="4">
                  <c:v>9341.9439399999992</c:v>
                </c:pt>
                <c:pt idx="5">
                  <c:v>11677.429925</c:v>
                </c:pt>
                <c:pt idx="6">
                  <c:v>14012.91591</c:v>
                </c:pt>
                <c:pt idx="7">
                  <c:v>16348.401895000001</c:v>
                </c:pt>
                <c:pt idx="8">
                  <c:v>18683.887879999998</c:v>
                </c:pt>
                <c:pt idx="9">
                  <c:v>21019.373865000001</c:v>
                </c:pt>
                <c:pt idx="10">
                  <c:v>23354.859850000001</c:v>
                </c:pt>
                <c:pt idx="11">
                  <c:v>25690.345835</c:v>
                </c:pt>
                <c:pt idx="12">
                  <c:v>28025.831819999999</c:v>
                </c:pt>
                <c:pt idx="13">
                  <c:v>30361.317804999999</c:v>
                </c:pt>
                <c:pt idx="14">
                  <c:v>32696.803790000002</c:v>
                </c:pt>
                <c:pt idx="15">
                  <c:v>35032.289774999997</c:v>
                </c:pt>
                <c:pt idx="16">
                  <c:v>37367.775759999997</c:v>
                </c:pt>
                <c:pt idx="17">
                  <c:v>39703.261745000003</c:v>
                </c:pt>
                <c:pt idx="18">
                  <c:v>42038.747730000003</c:v>
                </c:pt>
                <c:pt idx="19">
                  <c:v>44374.233715000002</c:v>
                </c:pt>
                <c:pt idx="20">
                  <c:v>46709.719700000001</c:v>
                </c:pt>
                <c:pt idx="21">
                  <c:v>49045.205685000001</c:v>
                </c:pt>
                <c:pt idx="22">
                  <c:v>51380.69167</c:v>
                </c:pt>
                <c:pt idx="23">
                  <c:v>53716.177655</c:v>
                </c:pt>
                <c:pt idx="24">
                  <c:v>56051.663639999999</c:v>
                </c:pt>
                <c:pt idx="25">
                  <c:v>58387.149624999998</c:v>
                </c:pt>
                <c:pt idx="26">
                  <c:v>60722.635609999998</c:v>
                </c:pt>
                <c:pt idx="27">
                  <c:v>63058.121594999997</c:v>
                </c:pt>
                <c:pt idx="28">
                  <c:v>65393.607580000004</c:v>
                </c:pt>
                <c:pt idx="29">
                  <c:v>67729.093565000003</c:v>
                </c:pt>
                <c:pt idx="30">
                  <c:v>70064.579549999995</c:v>
                </c:pt>
                <c:pt idx="31">
                  <c:v>72400.065535000002</c:v>
                </c:pt>
                <c:pt idx="32">
                  <c:v>74735.551519999994</c:v>
                </c:pt>
                <c:pt idx="33">
                  <c:v>77071.037505</c:v>
                </c:pt>
                <c:pt idx="34">
                  <c:v>79406.523490000007</c:v>
                </c:pt>
                <c:pt idx="35">
                  <c:v>81742.009474999999</c:v>
                </c:pt>
                <c:pt idx="36">
                  <c:v>84077.495460000006</c:v>
                </c:pt>
                <c:pt idx="37">
                  <c:v>86412.981444999998</c:v>
                </c:pt>
                <c:pt idx="38">
                  <c:v>88748.467430000004</c:v>
                </c:pt>
                <c:pt idx="39">
                  <c:v>91083.953414999996</c:v>
                </c:pt>
                <c:pt idx="40">
                  <c:v>93419.439400000003</c:v>
                </c:pt>
                <c:pt idx="41">
                  <c:v>95754.925384999995</c:v>
                </c:pt>
                <c:pt idx="42">
                  <c:v>98090.411370000002</c:v>
                </c:pt>
                <c:pt idx="43">
                  <c:v>100425.89735499999</c:v>
                </c:pt>
                <c:pt idx="44">
                  <c:v>102761.38334</c:v>
                </c:pt>
                <c:pt idx="45">
                  <c:v>105096.86932500001</c:v>
                </c:pt>
                <c:pt idx="46">
                  <c:v>107432.35531</c:v>
                </c:pt>
                <c:pt idx="47">
                  <c:v>109767.84129500001</c:v>
                </c:pt>
                <c:pt idx="48">
                  <c:v>112103.32728</c:v>
                </c:pt>
                <c:pt idx="49">
                  <c:v>114438.813265</c:v>
                </c:pt>
                <c:pt idx="50">
                  <c:v>116774.29925</c:v>
                </c:pt>
              </c:numCache>
            </c:numRef>
          </c:cat>
          <c:val>
            <c:numRef>
              <c:f>Hoja1!$E$3:$E$53</c:f>
              <c:numCache>
                <c:formatCode>General</c:formatCode>
                <c:ptCount val="51"/>
                <c:pt idx="0">
                  <c:v>4217</c:v>
                </c:pt>
                <c:pt idx="1">
                  <c:v>4361</c:v>
                </c:pt>
                <c:pt idx="2">
                  <c:v>4430</c:v>
                </c:pt>
                <c:pt idx="3">
                  <c:v>3575</c:v>
                </c:pt>
                <c:pt idx="4">
                  <c:v>3414</c:v>
                </c:pt>
                <c:pt idx="5">
                  <c:v>2827</c:v>
                </c:pt>
                <c:pt idx="6">
                  <c:v>1960</c:v>
                </c:pt>
                <c:pt idx="7">
                  <c:v>2268</c:v>
                </c:pt>
                <c:pt idx="8">
                  <c:v>1823</c:v>
                </c:pt>
                <c:pt idx="9">
                  <c:v>1333</c:v>
                </c:pt>
                <c:pt idx="10">
                  <c:v>1094</c:v>
                </c:pt>
                <c:pt idx="11">
                  <c:v>996</c:v>
                </c:pt>
                <c:pt idx="12">
                  <c:v>857</c:v>
                </c:pt>
                <c:pt idx="13">
                  <c:v>833</c:v>
                </c:pt>
                <c:pt idx="14">
                  <c:v>630</c:v>
                </c:pt>
                <c:pt idx="15">
                  <c:v>881</c:v>
                </c:pt>
                <c:pt idx="16">
                  <c:v>1102</c:v>
                </c:pt>
                <c:pt idx="17">
                  <c:v>797</c:v>
                </c:pt>
                <c:pt idx="18">
                  <c:v>458</c:v>
                </c:pt>
                <c:pt idx="19">
                  <c:v>950</c:v>
                </c:pt>
                <c:pt idx="20">
                  <c:v>419</c:v>
                </c:pt>
                <c:pt idx="21">
                  <c:v>176</c:v>
                </c:pt>
                <c:pt idx="22">
                  <c:v>145</c:v>
                </c:pt>
                <c:pt idx="23">
                  <c:v>139</c:v>
                </c:pt>
                <c:pt idx="24">
                  <c:v>130</c:v>
                </c:pt>
                <c:pt idx="25">
                  <c:v>114</c:v>
                </c:pt>
                <c:pt idx="26">
                  <c:v>104</c:v>
                </c:pt>
                <c:pt idx="27">
                  <c:v>105</c:v>
                </c:pt>
                <c:pt idx="28">
                  <c:v>105</c:v>
                </c:pt>
                <c:pt idx="29">
                  <c:v>104</c:v>
                </c:pt>
                <c:pt idx="30">
                  <c:v>105</c:v>
                </c:pt>
                <c:pt idx="31">
                  <c:v>114</c:v>
                </c:pt>
                <c:pt idx="32">
                  <c:v>209</c:v>
                </c:pt>
                <c:pt idx="33">
                  <c:v>476</c:v>
                </c:pt>
                <c:pt idx="34">
                  <c:v>258</c:v>
                </c:pt>
                <c:pt idx="35">
                  <c:v>269</c:v>
                </c:pt>
                <c:pt idx="36">
                  <c:v>422</c:v>
                </c:pt>
                <c:pt idx="37">
                  <c:v>761</c:v>
                </c:pt>
                <c:pt idx="38">
                  <c:v>1556</c:v>
                </c:pt>
                <c:pt idx="39">
                  <c:v>1470</c:v>
                </c:pt>
                <c:pt idx="40">
                  <c:v>1240</c:v>
                </c:pt>
                <c:pt idx="41">
                  <c:v>882</c:v>
                </c:pt>
                <c:pt idx="42">
                  <c:v>1696</c:v>
                </c:pt>
                <c:pt idx="43">
                  <c:v>1858</c:v>
                </c:pt>
                <c:pt idx="44">
                  <c:v>1656</c:v>
                </c:pt>
                <c:pt idx="45">
                  <c:v>1973</c:v>
                </c:pt>
                <c:pt idx="46">
                  <c:v>1471</c:v>
                </c:pt>
                <c:pt idx="47">
                  <c:v>2187</c:v>
                </c:pt>
                <c:pt idx="48">
                  <c:v>1787</c:v>
                </c:pt>
                <c:pt idx="49">
                  <c:v>2346</c:v>
                </c:pt>
                <c:pt idx="50">
                  <c:v>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67-4B48-BFCB-96C9C3C9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099296"/>
        <c:axId val="554099952"/>
      </c:lineChart>
      <c:lineChart>
        <c:grouping val="standard"/>
        <c:varyColors val="0"/>
        <c:ser>
          <c:idx val="0"/>
          <c:order val="1"/>
          <c:tx>
            <c:strRef>
              <c:f>Hoja1!$H$2</c:f>
              <c:strCache>
                <c:ptCount val="1"/>
                <c:pt idx="0">
                  <c:v>Pendientmm</c:v>
                </c:pt>
              </c:strCache>
            </c:strRef>
          </c:tx>
          <c:spPr>
            <a:ln w="31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Hoja1!$D$3:$D$53</c:f>
              <c:numCache>
                <c:formatCode>General</c:formatCode>
                <c:ptCount val="51"/>
                <c:pt idx="0">
                  <c:v>0</c:v>
                </c:pt>
                <c:pt idx="1">
                  <c:v>2335.4859849999998</c:v>
                </c:pt>
                <c:pt idx="2">
                  <c:v>4670.9719699999996</c:v>
                </c:pt>
                <c:pt idx="3">
                  <c:v>7006.4579549999999</c:v>
                </c:pt>
                <c:pt idx="4">
                  <c:v>9341.9439399999992</c:v>
                </c:pt>
                <c:pt idx="5">
                  <c:v>11677.429925</c:v>
                </c:pt>
                <c:pt idx="6">
                  <c:v>14012.91591</c:v>
                </c:pt>
                <c:pt idx="7">
                  <c:v>16348.401895000001</c:v>
                </c:pt>
                <c:pt idx="8">
                  <c:v>18683.887879999998</c:v>
                </c:pt>
                <c:pt idx="9">
                  <c:v>21019.373865000001</c:v>
                </c:pt>
                <c:pt idx="10">
                  <c:v>23354.859850000001</c:v>
                </c:pt>
                <c:pt idx="11">
                  <c:v>25690.345835</c:v>
                </c:pt>
                <c:pt idx="12">
                  <c:v>28025.831819999999</c:v>
                </c:pt>
                <c:pt idx="13">
                  <c:v>30361.317804999999</c:v>
                </c:pt>
                <c:pt idx="14">
                  <c:v>32696.803790000002</c:v>
                </c:pt>
                <c:pt idx="15">
                  <c:v>35032.289774999997</c:v>
                </c:pt>
                <c:pt idx="16">
                  <c:v>37367.775759999997</c:v>
                </c:pt>
                <c:pt idx="17">
                  <c:v>39703.261745000003</c:v>
                </c:pt>
                <c:pt idx="18">
                  <c:v>42038.747730000003</c:v>
                </c:pt>
                <c:pt idx="19">
                  <c:v>44374.233715000002</c:v>
                </c:pt>
                <c:pt idx="20">
                  <c:v>46709.719700000001</c:v>
                </c:pt>
                <c:pt idx="21">
                  <c:v>49045.205685000001</c:v>
                </c:pt>
                <c:pt idx="22">
                  <c:v>51380.69167</c:v>
                </c:pt>
                <c:pt idx="23">
                  <c:v>53716.177655</c:v>
                </c:pt>
                <c:pt idx="24">
                  <c:v>56051.663639999999</c:v>
                </c:pt>
                <c:pt idx="25">
                  <c:v>58387.149624999998</c:v>
                </c:pt>
                <c:pt idx="26">
                  <c:v>60722.635609999998</c:v>
                </c:pt>
                <c:pt idx="27">
                  <c:v>63058.121594999997</c:v>
                </c:pt>
                <c:pt idx="28">
                  <c:v>65393.607580000004</c:v>
                </c:pt>
                <c:pt idx="29">
                  <c:v>67729.093565000003</c:v>
                </c:pt>
                <c:pt idx="30">
                  <c:v>70064.579549999995</c:v>
                </c:pt>
                <c:pt idx="31">
                  <c:v>72400.065535000002</c:v>
                </c:pt>
                <c:pt idx="32">
                  <c:v>74735.551519999994</c:v>
                </c:pt>
                <c:pt idx="33">
                  <c:v>77071.037505</c:v>
                </c:pt>
                <c:pt idx="34">
                  <c:v>79406.523490000007</c:v>
                </c:pt>
                <c:pt idx="35">
                  <c:v>81742.009474999999</c:v>
                </c:pt>
                <c:pt idx="36">
                  <c:v>84077.495460000006</c:v>
                </c:pt>
                <c:pt idx="37">
                  <c:v>86412.981444999998</c:v>
                </c:pt>
                <c:pt idx="38">
                  <c:v>88748.467430000004</c:v>
                </c:pt>
                <c:pt idx="39">
                  <c:v>91083.953414999996</c:v>
                </c:pt>
                <c:pt idx="40">
                  <c:v>93419.439400000003</c:v>
                </c:pt>
                <c:pt idx="41">
                  <c:v>95754.925384999995</c:v>
                </c:pt>
                <c:pt idx="42">
                  <c:v>98090.411370000002</c:v>
                </c:pt>
                <c:pt idx="43">
                  <c:v>100425.89735499999</c:v>
                </c:pt>
                <c:pt idx="44">
                  <c:v>102761.38334</c:v>
                </c:pt>
                <c:pt idx="45">
                  <c:v>105096.86932500001</c:v>
                </c:pt>
                <c:pt idx="46">
                  <c:v>107432.35531</c:v>
                </c:pt>
                <c:pt idx="47">
                  <c:v>109767.84129500001</c:v>
                </c:pt>
                <c:pt idx="48">
                  <c:v>112103.32728</c:v>
                </c:pt>
                <c:pt idx="49">
                  <c:v>114438.813265</c:v>
                </c:pt>
                <c:pt idx="50">
                  <c:v>116774.29925</c:v>
                </c:pt>
              </c:numCache>
            </c:numRef>
          </c:cat>
          <c:val>
            <c:numRef>
              <c:f>Hoja1!$H$3:$H$53</c:f>
              <c:numCache>
                <c:formatCode>General</c:formatCode>
                <c:ptCount val="51"/>
                <c:pt idx="1">
                  <c:v>6.1657402752515349E-2</c:v>
                </c:pt>
                <c:pt idx="2">
                  <c:v>2.9544172152246938E-2</c:v>
                </c:pt>
                <c:pt idx="3">
                  <c:v>0.36609082884305977</c:v>
                </c:pt>
                <c:pt idx="4">
                  <c:v>6.8936401688576204E-2</c:v>
                </c:pt>
                <c:pt idx="5">
                  <c:v>0.25133955149810061</c:v>
                </c:pt>
                <c:pt idx="6">
                  <c:v>0.37122894573910287</c:v>
                </c:pt>
                <c:pt idx="7">
                  <c:v>0.13187833366510218</c:v>
                </c:pt>
                <c:pt idx="8">
                  <c:v>0.19053850156159274</c:v>
                </c:pt>
                <c:pt idx="9">
                  <c:v>0.20980643992175332</c:v>
                </c:pt>
                <c:pt idx="10">
                  <c:v>0.10233416151285535</c:v>
                </c:pt>
                <c:pt idx="11">
                  <c:v>4.1961287984350726E-2</c:v>
                </c:pt>
                <c:pt idx="12">
                  <c:v>5.951652071249746E-2</c:v>
                </c:pt>
                <c:pt idx="13">
                  <c:v>1.0276233792085893E-2</c:v>
                </c:pt>
                <c:pt idx="14">
                  <c:v>8.6919810824726371E-2</c:v>
                </c:pt>
                <c:pt idx="15">
                  <c:v>0.10747227840889846</c:v>
                </c:pt>
                <c:pt idx="16">
                  <c:v>9.4626986168790936E-2</c:v>
                </c:pt>
                <c:pt idx="17">
                  <c:v>0.13059380444109114</c:v>
                </c:pt>
                <c:pt idx="18">
                  <c:v>0.14515180231321323</c:v>
                </c:pt>
                <c:pt idx="19">
                  <c:v>0.21066279273776081</c:v>
                </c:pt>
                <c:pt idx="20">
                  <c:v>0.22736167264990037</c:v>
                </c:pt>
                <c:pt idx="21">
                  <c:v>0.10404686714486966</c:v>
                </c:pt>
                <c:pt idx="22">
                  <c:v>1.3273468648110945E-2</c:v>
                </c:pt>
                <c:pt idx="23">
                  <c:v>2.5690584480214732E-3</c:v>
                </c:pt>
                <c:pt idx="24">
                  <c:v>3.8535876720322097E-3</c:v>
                </c:pt>
                <c:pt idx="25">
                  <c:v>6.8508225280572623E-3</c:v>
                </c:pt>
                <c:pt idx="26">
                  <c:v>4.2817640800357883E-3</c:v>
                </c:pt>
                <c:pt idx="27">
                  <c:v>4.2817640800357889E-4</c:v>
                </c:pt>
                <c:pt idx="28">
                  <c:v>0</c:v>
                </c:pt>
                <c:pt idx="29">
                  <c:v>4.2817640800357889E-4</c:v>
                </c:pt>
                <c:pt idx="30">
                  <c:v>4.281764080035802E-4</c:v>
                </c:pt>
                <c:pt idx="31">
                  <c:v>3.853587672032198E-3</c:v>
                </c:pt>
                <c:pt idx="32">
                  <c:v>4.0676758760340118E-2</c:v>
                </c:pt>
                <c:pt idx="33">
                  <c:v>0.1143231009369552</c:v>
                </c:pt>
                <c:pt idx="34">
                  <c:v>9.3342456944779897E-2</c:v>
                </c:pt>
                <c:pt idx="35">
                  <c:v>4.7099404880393825E-3</c:v>
                </c:pt>
                <c:pt idx="36">
                  <c:v>6.5510990424547361E-2</c:v>
                </c:pt>
                <c:pt idx="37">
                  <c:v>0.1451518023132137</c:v>
                </c:pt>
                <c:pt idx="38">
                  <c:v>0.34040024436284416</c:v>
                </c:pt>
                <c:pt idx="39">
                  <c:v>3.6823171088307897E-2</c:v>
                </c:pt>
                <c:pt idx="40">
                  <c:v>9.848057384082283E-2</c:v>
                </c:pt>
                <c:pt idx="41">
                  <c:v>0.15328715406528171</c:v>
                </c:pt>
                <c:pt idx="42">
                  <c:v>0.34853559611491214</c:v>
                </c:pt>
                <c:pt idx="43">
                  <c:v>6.936457809657999E-2</c:v>
                </c:pt>
                <c:pt idx="44">
                  <c:v>8.6491634416722668E-2</c:v>
                </c:pt>
                <c:pt idx="45">
                  <c:v>0.13573192133713408</c:v>
                </c:pt>
                <c:pt idx="46">
                  <c:v>0.21494455681779726</c:v>
                </c:pt>
                <c:pt idx="47">
                  <c:v>0.30657430813056152</c:v>
                </c:pt>
                <c:pt idx="48">
                  <c:v>0.17127056320143208</c:v>
                </c:pt>
                <c:pt idx="49">
                  <c:v>0.23935061207399985</c:v>
                </c:pt>
                <c:pt idx="50">
                  <c:v>0.26761025500223762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7-4B48-BFCB-96C9C3C9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168440"/>
        <c:axId val="553170736"/>
      </c:lineChart>
      <c:catAx>
        <c:axId val="55409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O"/>
          </a:p>
        </c:txPr>
        <c:crossAx val="554099952"/>
        <c:crosses val="autoZero"/>
        <c:auto val="1"/>
        <c:lblAlgn val="ctr"/>
        <c:lblOffset val="100"/>
        <c:noMultiLvlLbl val="0"/>
      </c:catAx>
      <c:valAx>
        <c:axId val="55409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CO"/>
          </a:p>
        </c:txPr>
        <c:crossAx val="554099296"/>
        <c:crosses val="autoZero"/>
        <c:crossBetween val="between"/>
      </c:valAx>
      <c:valAx>
        <c:axId val="553170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553168440"/>
        <c:crosses val="max"/>
        <c:crossBetween val="between"/>
      </c:valAx>
      <c:catAx>
        <c:axId val="553168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170736"/>
        <c:crosses val="autoZero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 sz="1000" b="0"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307730</xdr:colOff>
      <xdr:row>2</xdr:row>
      <xdr:rowOff>153866</xdr:rowOff>
    </xdr:from>
    <xdr:to>
      <xdr:col>15</xdr:col>
      <xdr:colOff>234460</xdr:colOff>
      <xdr:row>24</xdr:row>
      <xdr:rowOff>109904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7E418B-80F1-4F9A-B5AD-20F34A5C2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B0C3-12C5-46C7-9D16-31E065C13F8A}">
  <dimension ref="A1:H53"/>
  <sheetViews>
    <sheetView showGridLines="0" tabSelected="1" zoomScale="115" zoomScaleNormal="115" workbookViewId="0">
      <pane ySplit="2" topLeftCell="A3" activePane="bottomLeft" state="frozen"/>
      <selection pane="bottomLeft" activeCell="A3" sqref="A3"/>
    </sheetView>
  </sheetViews>
  <sheetFormatPr defaultColWidth="11" defaultRowHeight="16.5" x14ac:dyDescent="0.6"/>
  <cols>
    <col min="1" max="5" width="11" style="1"/>
    <col min="6" max="6" width="13.265625" style="1" bestFit="1" customWidth="1"/>
    <col min="7" max="7" width="13.46484375" style="1" customWidth="1"/>
    <col min="8" max="16384" width="11" style="1"/>
  </cols>
  <sheetData>
    <row r="1" spans="1:8" x14ac:dyDescent="0.6">
      <c r="D1" s="2" t="s">
        <v>10</v>
      </c>
      <c r="E1" s="4">
        <f>MIN(E3:E53)</f>
        <v>104</v>
      </c>
      <c r="F1" s="3" t="s">
        <v>8</v>
      </c>
      <c r="G1" s="1">
        <f>SUM(G3:G53)</f>
        <v>133.72992750109995</v>
      </c>
      <c r="H1" s="1">
        <f>AVERAGE(H3:H53)</f>
        <v>0.11940983666403801</v>
      </c>
    </row>
    <row r="2" spans="1:8" x14ac:dyDescent="0.6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3" t="s">
        <v>9</v>
      </c>
    </row>
    <row r="3" spans="1:8" x14ac:dyDescent="0.6">
      <c r="A3" s="5">
        <v>0</v>
      </c>
      <c r="B3" s="5" t="s">
        <v>5</v>
      </c>
      <c r="C3" s="5">
        <v>1</v>
      </c>
      <c r="D3" s="5">
        <v>0</v>
      </c>
      <c r="E3" s="5">
        <v>4217</v>
      </c>
      <c r="F3" s="3">
        <f>E3-$E$1</f>
        <v>4113</v>
      </c>
      <c r="G3" s="3">
        <v>0</v>
      </c>
    </row>
    <row r="4" spans="1:8" x14ac:dyDescent="0.6">
      <c r="A4" s="5">
        <v>1</v>
      </c>
      <c r="B4" s="5" t="s">
        <v>5</v>
      </c>
      <c r="C4" s="5">
        <v>2</v>
      </c>
      <c r="D4" s="5">
        <v>2335.4859849999998</v>
      </c>
      <c r="E4" s="5">
        <v>4361</v>
      </c>
      <c r="F4" s="3">
        <f t="shared" ref="F4:F53" si="0">E4-$E$1</f>
        <v>4257</v>
      </c>
      <c r="G4" s="3">
        <f>(((F4+F3)*(D4-D3))/2)/1000000</f>
        <v>9.7740088472249997</v>
      </c>
      <c r="H4" s="1">
        <f>ABS(E4-E3)/ABS(D4-D3)</f>
        <v>6.1657402752515349E-2</v>
      </c>
    </row>
    <row r="5" spans="1:8" x14ac:dyDescent="0.6">
      <c r="A5" s="5">
        <v>2</v>
      </c>
      <c r="B5" s="5" t="s">
        <v>5</v>
      </c>
      <c r="C5" s="5">
        <v>3</v>
      </c>
      <c r="D5" s="5">
        <v>4670.9719699999996</v>
      </c>
      <c r="E5" s="5">
        <v>4430</v>
      </c>
      <c r="F5" s="3">
        <f t="shared" si="0"/>
        <v>4326</v>
      </c>
      <c r="G5" s="3">
        <f t="shared" ref="G5:G53" si="1">(((F5+F4)*(D5-D4))/2)/1000000</f>
        <v>10.0227381046275</v>
      </c>
      <c r="H5" s="1">
        <f t="shared" ref="H5:H53" si="2">ABS(E5-E4)/ABS(D5-D4)</f>
        <v>2.9544172152246938E-2</v>
      </c>
    </row>
    <row r="6" spans="1:8" x14ac:dyDescent="0.6">
      <c r="A6" s="5">
        <v>3</v>
      </c>
      <c r="B6" s="5" t="s">
        <v>5</v>
      </c>
      <c r="C6" s="5">
        <v>4</v>
      </c>
      <c r="D6" s="5">
        <v>7006.4579549999999</v>
      </c>
      <c r="E6" s="5">
        <v>3575</v>
      </c>
      <c r="F6" s="3">
        <f t="shared" si="0"/>
        <v>3471</v>
      </c>
      <c r="G6" s="3">
        <f t="shared" si="1"/>
        <v>9.1048921125225011</v>
      </c>
      <c r="H6" s="1">
        <f t="shared" si="2"/>
        <v>0.36609082884305977</v>
      </c>
    </row>
    <row r="7" spans="1:8" x14ac:dyDescent="0.6">
      <c r="A7" s="5">
        <v>4</v>
      </c>
      <c r="B7" s="5" t="s">
        <v>5</v>
      </c>
      <c r="C7" s="5">
        <v>5</v>
      </c>
      <c r="D7" s="5">
        <v>9341.9439399999992</v>
      </c>
      <c r="E7" s="5">
        <v>3414</v>
      </c>
      <c r="F7" s="3">
        <f t="shared" si="0"/>
        <v>3310</v>
      </c>
      <c r="G7" s="3">
        <f t="shared" si="1"/>
        <v>7.9184652321424975</v>
      </c>
      <c r="H7" s="1">
        <f t="shared" si="2"/>
        <v>6.8936401688576204E-2</v>
      </c>
    </row>
    <row r="8" spans="1:8" x14ac:dyDescent="0.6">
      <c r="A8" s="5">
        <v>5</v>
      </c>
      <c r="B8" s="5" t="s">
        <v>5</v>
      </c>
      <c r="C8" s="5">
        <v>6</v>
      </c>
      <c r="D8" s="5">
        <v>11677.429925</v>
      </c>
      <c r="E8" s="5">
        <v>2827</v>
      </c>
      <c r="F8" s="3">
        <f t="shared" si="0"/>
        <v>2723</v>
      </c>
      <c r="G8" s="3">
        <f t="shared" si="1"/>
        <v>7.0449934737525028</v>
      </c>
      <c r="H8" s="1">
        <f t="shared" si="2"/>
        <v>0.25133955149810061</v>
      </c>
    </row>
    <row r="9" spans="1:8" x14ac:dyDescent="0.6">
      <c r="A9" s="5">
        <v>6</v>
      </c>
      <c r="B9" s="5" t="s">
        <v>5</v>
      </c>
      <c r="C9" s="5">
        <v>7</v>
      </c>
      <c r="D9" s="5">
        <v>14012.91591</v>
      </c>
      <c r="E9" s="5">
        <v>1960</v>
      </c>
      <c r="F9" s="3">
        <f t="shared" si="0"/>
        <v>1856</v>
      </c>
      <c r="G9" s="3">
        <f t="shared" si="1"/>
        <v>5.3470951626574985</v>
      </c>
      <c r="H9" s="1">
        <f t="shared" si="2"/>
        <v>0.37122894573910287</v>
      </c>
    </row>
    <row r="10" spans="1:8" x14ac:dyDescent="0.6">
      <c r="A10" s="5">
        <v>7</v>
      </c>
      <c r="B10" s="5" t="s">
        <v>5</v>
      </c>
      <c r="C10" s="5">
        <v>8</v>
      </c>
      <c r="D10" s="5">
        <v>16348.401895000001</v>
      </c>
      <c r="E10" s="5">
        <v>2268</v>
      </c>
      <c r="F10" s="3">
        <f t="shared" si="0"/>
        <v>2164</v>
      </c>
      <c r="G10" s="3">
        <f t="shared" si="1"/>
        <v>4.6943268298500023</v>
      </c>
      <c r="H10" s="1">
        <f t="shared" si="2"/>
        <v>0.13187833366510218</v>
      </c>
    </row>
    <row r="11" spans="1:8" x14ac:dyDescent="0.6">
      <c r="A11" s="5">
        <v>8</v>
      </c>
      <c r="B11" s="5" t="s">
        <v>5</v>
      </c>
      <c r="C11" s="5">
        <v>9</v>
      </c>
      <c r="D11" s="5">
        <v>18683.887879999998</v>
      </c>
      <c r="E11" s="5">
        <v>1823</v>
      </c>
      <c r="F11" s="3">
        <f t="shared" si="0"/>
        <v>1719</v>
      </c>
      <c r="G11" s="3">
        <f t="shared" si="1"/>
        <v>4.5343460398774944</v>
      </c>
      <c r="H11" s="1">
        <f t="shared" si="2"/>
        <v>0.19053850156159274</v>
      </c>
    </row>
    <row r="12" spans="1:8" x14ac:dyDescent="0.6">
      <c r="A12" s="5">
        <v>9</v>
      </c>
      <c r="B12" s="5" t="s">
        <v>5</v>
      </c>
      <c r="C12" s="5">
        <v>10</v>
      </c>
      <c r="D12" s="5">
        <v>21019.373865000001</v>
      </c>
      <c r="E12" s="5">
        <v>1333</v>
      </c>
      <c r="F12" s="3">
        <f t="shared" si="0"/>
        <v>1229</v>
      </c>
      <c r="G12" s="3">
        <f t="shared" si="1"/>
        <v>3.4425063418900046</v>
      </c>
      <c r="H12" s="1">
        <f t="shared" si="2"/>
        <v>0.20980643992175332</v>
      </c>
    </row>
    <row r="13" spans="1:8" x14ac:dyDescent="0.6">
      <c r="A13" s="5">
        <v>10</v>
      </c>
      <c r="B13" s="5" t="s">
        <v>5</v>
      </c>
      <c r="C13" s="5">
        <v>11</v>
      </c>
      <c r="D13" s="5">
        <v>23354.859850000001</v>
      </c>
      <c r="E13" s="5">
        <v>1094</v>
      </c>
      <c r="F13" s="3">
        <f t="shared" si="0"/>
        <v>990</v>
      </c>
      <c r="G13" s="3">
        <f t="shared" si="1"/>
        <v>2.5912217003574991</v>
      </c>
      <c r="H13" s="1">
        <f t="shared" si="2"/>
        <v>0.10233416151285535</v>
      </c>
    </row>
    <row r="14" spans="1:8" x14ac:dyDescent="0.6">
      <c r="A14" s="5">
        <v>11</v>
      </c>
      <c r="B14" s="5" t="s">
        <v>5</v>
      </c>
      <c r="C14" s="5">
        <v>12</v>
      </c>
      <c r="D14" s="5">
        <v>25690.345835</v>
      </c>
      <c r="E14" s="5">
        <v>996</v>
      </c>
      <c r="F14" s="3">
        <f t="shared" si="0"/>
        <v>892</v>
      </c>
      <c r="G14" s="3">
        <f t="shared" si="1"/>
        <v>2.1976923118849991</v>
      </c>
      <c r="H14" s="1">
        <f t="shared" si="2"/>
        <v>4.1961287984350726E-2</v>
      </c>
    </row>
    <row r="15" spans="1:8" x14ac:dyDescent="0.6">
      <c r="A15" s="5">
        <v>12</v>
      </c>
      <c r="B15" s="5" t="s">
        <v>5</v>
      </c>
      <c r="C15" s="5">
        <v>13</v>
      </c>
      <c r="D15" s="5">
        <v>28025.831819999999</v>
      </c>
      <c r="E15" s="5">
        <v>857</v>
      </c>
      <c r="F15" s="3">
        <f t="shared" si="0"/>
        <v>753</v>
      </c>
      <c r="G15" s="3">
        <f t="shared" si="1"/>
        <v>1.9209372226624994</v>
      </c>
      <c r="H15" s="1">
        <f t="shared" si="2"/>
        <v>5.951652071249746E-2</v>
      </c>
    </row>
    <row r="16" spans="1:8" x14ac:dyDescent="0.6">
      <c r="A16" s="5">
        <v>13</v>
      </c>
      <c r="B16" s="5" t="s">
        <v>5</v>
      </c>
      <c r="C16" s="5">
        <v>14</v>
      </c>
      <c r="D16" s="5">
        <v>30361.317804999999</v>
      </c>
      <c r="E16" s="5">
        <v>833</v>
      </c>
      <c r="F16" s="3">
        <f t="shared" si="0"/>
        <v>729</v>
      </c>
      <c r="G16" s="3">
        <f t="shared" si="1"/>
        <v>1.7305951148849996</v>
      </c>
      <c r="H16" s="1">
        <f t="shared" si="2"/>
        <v>1.0276233792085893E-2</v>
      </c>
    </row>
    <row r="17" spans="1:8" x14ac:dyDescent="0.6">
      <c r="A17" s="5">
        <v>14</v>
      </c>
      <c r="B17" s="5" t="s">
        <v>5</v>
      </c>
      <c r="C17" s="5">
        <v>15</v>
      </c>
      <c r="D17" s="5">
        <v>32696.803790000002</v>
      </c>
      <c r="E17" s="5">
        <v>630</v>
      </c>
      <c r="F17" s="3">
        <f t="shared" si="0"/>
        <v>526</v>
      </c>
      <c r="G17" s="3">
        <f t="shared" si="1"/>
        <v>1.4655174555875019</v>
      </c>
      <c r="H17" s="1">
        <f t="shared" si="2"/>
        <v>8.6919810824726371E-2</v>
      </c>
    </row>
    <row r="18" spans="1:8" x14ac:dyDescent="0.6">
      <c r="A18" s="5">
        <v>15</v>
      </c>
      <c r="B18" s="5" t="s">
        <v>5</v>
      </c>
      <c r="C18" s="5">
        <v>16</v>
      </c>
      <c r="D18" s="5">
        <v>35032.289774999997</v>
      </c>
      <c r="E18" s="5">
        <v>881</v>
      </c>
      <c r="F18" s="3">
        <f t="shared" si="0"/>
        <v>777</v>
      </c>
      <c r="G18" s="3">
        <f t="shared" si="1"/>
        <v>1.5215691192274972</v>
      </c>
      <c r="H18" s="1">
        <f t="shared" si="2"/>
        <v>0.10747227840889846</v>
      </c>
    </row>
    <row r="19" spans="1:8" x14ac:dyDescent="0.6">
      <c r="A19" s="5">
        <v>16</v>
      </c>
      <c r="B19" s="5" t="s">
        <v>5</v>
      </c>
      <c r="C19" s="5">
        <v>17</v>
      </c>
      <c r="D19" s="5">
        <v>37367.775759999997</v>
      </c>
      <c r="E19" s="5">
        <v>1102</v>
      </c>
      <c r="F19" s="3">
        <f t="shared" si="0"/>
        <v>998</v>
      </c>
      <c r="G19" s="3">
        <f t="shared" si="1"/>
        <v>2.0727438116874994</v>
      </c>
      <c r="H19" s="1">
        <f t="shared" si="2"/>
        <v>9.4626986168790936E-2</v>
      </c>
    </row>
    <row r="20" spans="1:8" x14ac:dyDescent="0.6">
      <c r="A20" s="5">
        <v>17</v>
      </c>
      <c r="B20" s="5" t="s">
        <v>5</v>
      </c>
      <c r="C20" s="5">
        <v>18</v>
      </c>
      <c r="D20" s="5">
        <v>39703.261745000003</v>
      </c>
      <c r="E20" s="5">
        <v>797</v>
      </c>
      <c r="F20" s="3">
        <f t="shared" si="0"/>
        <v>693</v>
      </c>
      <c r="G20" s="3">
        <f t="shared" si="1"/>
        <v>1.9746534003175058</v>
      </c>
      <c r="H20" s="1">
        <f t="shared" si="2"/>
        <v>0.13059380444109114</v>
      </c>
    </row>
    <row r="21" spans="1:8" x14ac:dyDescent="0.6">
      <c r="A21" s="5">
        <v>18</v>
      </c>
      <c r="B21" s="5" t="s">
        <v>5</v>
      </c>
      <c r="C21" s="5">
        <v>19</v>
      </c>
      <c r="D21" s="5">
        <v>42038.747730000003</v>
      </c>
      <c r="E21" s="5">
        <v>458</v>
      </c>
      <c r="F21" s="3">
        <f t="shared" si="0"/>
        <v>354</v>
      </c>
      <c r="G21" s="3">
        <f t="shared" si="1"/>
        <v>1.2226269131474996</v>
      </c>
      <c r="H21" s="1">
        <f t="shared" si="2"/>
        <v>0.14515180231321323</v>
      </c>
    </row>
    <row r="22" spans="1:8" x14ac:dyDescent="0.6">
      <c r="A22" s="5">
        <v>19</v>
      </c>
      <c r="B22" s="5" t="s">
        <v>5</v>
      </c>
      <c r="C22" s="5">
        <v>20</v>
      </c>
      <c r="D22" s="5">
        <v>44374.233715000002</v>
      </c>
      <c r="E22" s="5">
        <v>950</v>
      </c>
      <c r="F22" s="3">
        <f t="shared" si="0"/>
        <v>846</v>
      </c>
      <c r="G22" s="3">
        <f t="shared" si="1"/>
        <v>1.4012915909999994</v>
      </c>
      <c r="H22" s="1">
        <f t="shared" si="2"/>
        <v>0.21066279273776081</v>
      </c>
    </row>
    <row r="23" spans="1:8" x14ac:dyDescent="0.6">
      <c r="A23" s="5">
        <v>20</v>
      </c>
      <c r="B23" s="5" t="s">
        <v>5</v>
      </c>
      <c r="C23" s="5">
        <v>21</v>
      </c>
      <c r="D23" s="5">
        <v>46709.719700000001</v>
      </c>
      <c r="E23" s="5">
        <v>419</v>
      </c>
      <c r="F23" s="3">
        <f t="shared" si="0"/>
        <v>315</v>
      </c>
      <c r="G23" s="3">
        <f t="shared" si="1"/>
        <v>1.3557496142924996</v>
      </c>
      <c r="H23" s="1">
        <f t="shared" si="2"/>
        <v>0.22736167264990037</v>
      </c>
    </row>
    <row r="24" spans="1:8" x14ac:dyDescent="0.6">
      <c r="A24" s="5">
        <v>21</v>
      </c>
      <c r="B24" s="5" t="s">
        <v>5</v>
      </c>
      <c r="C24" s="5">
        <v>22</v>
      </c>
      <c r="D24" s="5">
        <v>49045.205685000001</v>
      </c>
      <c r="E24" s="5">
        <v>176</v>
      </c>
      <c r="F24" s="3">
        <f t="shared" si="0"/>
        <v>72</v>
      </c>
      <c r="G24" s="3">
        <f t="shared" si="1"/>
        <v>0.45191653809749988</v>
      </c>
      <c r="H24" s="1">
        <f t="shared" si="2"/>
        <v>0.10404686714486966</v>
      </c>
    </row>
    <row r="25" spans="1:8" x14ac:dyDescent="0.6">
      <c r="A25" s="5">
        <v>22</v>
      </c>
      <c r="B25" s="5" t="s">
        <v>5</v>
      </c>
      <c r="C25" s="5">
        <v>23</v>
      </c>
      <c r="D25" s="5">
        <v>51380.69167</v>
      </c>
      <c r="E25" s="5">
        <v>145</v>
      </c>
      <c r="F25" s="3">
        <f t="shared" si="0"/>
        <v>41</v>
      </c>
      <c r="G25" s="3">
        <f t="shared" si="1"/>
        <v>0.13195495815249994</v>
      </c>
      <c r="H25" s="1">
        <f t="shared" si="2"/>
        <v>1.3273468648110945E-2</v>
      </c>
    </row>
    <row r="26" spans="1:8" x14ac:dyDescent="0.6">
      <c r="A26" s="5">
        <v>23</v>
      </c>
      <c r="B26" s="5" t="s">
        <v>5</v>
      </c>
      <c r="C26" s="5">
        <v>24</v>
      </c>
      <c r="D26" s="5">
        <v>53716.177655</v>
      </c>
      <c r="E26" s="5">
        <v>139</v>
      </c>
      <c r="F26" s="3">
        <f t="shared" si="0"/>
        <v>35</v>
      </c>
      <c r="G26" s="3">
        <f t="shared" si="1"/>
        <v>8.8748467429999978E-2</v>
      </c>
      <c r="H26" s="1">
        <f t="shared" si="2"/>
        <v>2.5690584480214732E-3</v>
      </c>
    </row>
    <row r="27" spans="1:8" x14ac:dyDescent="0.6">
      <c r="A27" s="5">
        <v>24</v>
      </c>
      <c r="B27" s="5" t="s">
        <v>5</v>
      </c>
      <c r="C27" s="5">
        <v>25</v>
      </c>
      <c r="D27" s="5">
        <v>56051.663639999999</v>
      </c>
      <c r="E27" s="5">
        <v>130</v>
      </c>
      <c r="F27" s="3">
        <f t="shared" si="0"/>
        <v>26</v>
      </c>
      <c r="G27" s="3">
        <f t="shared" si="1"/>
        <v>7.123232254249999E-2</v>
      </c>
      <c r="H27" s="1">
        <f t="shared" si="2"/>
        <v>3.8535876720322097E-3</v>
      </c>
    </row>
    <row r="28" spans="1:8" x14ac:dyDescent="0.6">
      <c r="A28" s="5">
        <v>25</v>
      </c>
      <c r="B28" s="5" t="s">
        <v>5</v>
      </c>
      <c r="C28" s="5">
        <v>26</v>
      </c>
      <c r="D28" s="5">
        <v>58387.149624999998</v>
      </c>
      <c r="E28" s="5">
        <v>114</v>
      </c>
      <c r="F28" s="3">
        <f t="shared" si="0"/>
        <v>10</v>
      </c>
      <c r="G28" s="3">
        <f t="shared" si="1"/>
        <v>4.2038747729999985E-2</v>
      </c>
      <c r="H28" s="1">
        <f t="shared" si="2"/>
        <v>6.8508225280572623E-3</v>
      </c>
    </row>
    <row r="29" spans="1:8" x14ac:dyDescent="0.6">
      <c r="A29" s="5">
        <v>26</v>
      </c>
      <c r="B29" s="5" t="s">
        <v>5</v>
      </c>
      <c r="C29" s="5">
        <v>27</v>
      </c>
      <c r="D29" s="5">
        <v>60722.635609999998</v>
      </c>
      <c r="E29" s="5">
        <v>104</v>
      </c>
      <c r="F29" s="3">
        <f t="shared" si="0"/>
        <v>0</v>
      </c>
      <c r="G29" s="3">
        <f t="shared" si="1"/>
        <v>1.1677429924999996E-2</v>
      </c>
      <c r="H29" s="1">
        <f>ABS(E29-E28)/ABS(D29-D28)</f>
        <v>4.2817640800357883E-3</v>
      </c>
    </row>
    <row r="30" spans="1:8" x14ac:dyDescent="0.6">
      <c r="A30" s="5">
        <v>27</v>
      </c>
      <c r="B30" s="5" t="s">
        <v>5</v>
      </c>
      <c r="C30" s="5">
        <v>28</v>
      </c>
      <c r="D30" s="5">
        <v>63058.121594999997</v>
      </c>
      <c r="E30" s="5">
        <v>105</v>
      </c>
      <c r="F30" s="3">
        <f t="shared" si="0"/>
        <v>1</v>
      </c>
      <c r="G30" s="3">
        <f t="shared" si="1"/>
        <v>1.1677429924999998E-3</v>
      </c>
      <c r="H30" s="1">
        <f>ABS(E30-E29)/ABS(D30-D29)</f>
        <v>4.2817640800357889E-4</v>
      </c>
    </row>
    <row r="31" spans="1:8" x14ac:dyDescent="0.6">
      <c r="A31" s="5">
        <v>28</v>
      </c>
      <c r="B31" s="5" t="s">
        <v>5</v>
      </c>
      <c r="C31" s="5">
        <v>29</v>
      </c>
      <c r="D31" s="5">
        <v>65393.607580000004</v>
      </c>
      <c r="E31" s="5">
        <v>105</v>
      </c>
      <c r="F31" s="3">
        <f t="shared" si="0"/>
        <v>1</v>
      </c>
      <c r="G31" s="3">
        <f t="shared" si="1"/>
        <v>2.3354859850000065E-3</v>
      </c>
      <c r="H31" s="1">
        <f t="shared" si="2"/>
        <v>0</v>
      </c>
    </row>
    <row r="32" spans="1:8" x14ac:dyDescent="0.6">
      <c r="A32" s="5">
        <v>29</v>
      </c>
      <c r="B32" s="5" t="s">
        <v>5</v>
      </c>
      <c r="C32" s="5">
        <v>30</v>
      </c>
      <c r="D32" s="5">
        <v>67729.093565000003</v>
      </c>
      <c r="E32" s="5">
        <v>104</v>
      </c>
      <c r="F32" s="3">
        <f t="shared" si="0"/>
        <v>0</v>
      </c>
      <c r="G32" s="3">
        <f t="shared" si="1"/>
        <v>1.1677429924999998E-3</v>
      </c>
      <c r="H32" s="1">
        <f t="shared" si="2"/>
        <v>4.2817640800357889E-4</v>
      </c>
    </row>
    <row r="33" spans="1:8" x14ac:dyDescent="0.6">
      <c r="A33" s="5">
        <v>30</v>
      </c>
      <c r="B33" s="5" t="s">
        <v>5</v>
      </c>
      <c r="C33" s="5">
        <v>31</v>
      </c>
      <c r="D33" s="5">
        <v>70064.579549999995</v>
      </c>
      <c r="E33" s="5">
        <v>105</v>
      </c>
      <c r="F33" s="3">
        <f t="shared" si="0"/>
        <v>1</v>
      </c>
      <c r="G33" s="3">
        <f t="shared" si="1"/>
        <v>1.1677429924999961E-3</v>
      </c>
      <c r="H33" s="1">
        <f t="shared" si="2"/>
        <v>4.281764080035802E-4</v>
      </c>
    </row>
    <row r="34" spans="1:8" x14ac:dyDescent="0.6">
      <c r="A34" s="5">
        <v>31</v>
      </c>
      <c r="B34" s="5" t="s">
        <v>5</v>
      </c>
      <c r="C34" s="5">
        <v>32</v>
      </c>
      <c r="D34" s="5">
        <v>72400.065535000002</v>
      </c>
      <c r="E34" s="5">
        <v>114</v>
      </c>
      <c r="F34" s="3">
        <f t="shared" si="0"/>
        <v>10</v>
      </c>
      <c r="G34" s="3">
        <f t="shared" si="1"/>
        <v>1.2845172917500036E-2</v>
      </c>
      <c r="H34" s="1">
        <f t="shared" si="2"/>
        <v>3.853587672032198E-3</v>
      </c>
    </row>
    <row r="35" spans="1:8" x14ac:dyDescent="0.6">
      <c r="A35" s="5">
        <v>32</v>
      </c>
      <c r="B35" s="5" t="s">
        <v>5</v>
      </c>
      <c r="C35" s="5">
        <v>33</v>
      </c>
      <c r="D35" s="5">
        <v>74735.551519999994</v>
      </c>
      <c r="E35" s="5">
        <v>209</v>
      </c>
      <c r="F35" s="3">
        <f t="shared" si="0"/>
        <v>105</v>
      </c>
      <c r="G35" s="3">
        <f t="shared" si="1"/>
        <v>0.13429044413749955</v>
      </c>
      <c r="H35" s="1">
        <f t="shared" si="2"/>
        <v>4.0676758760340118E-2</v>
      </c>
    </row>
    <row r="36" spans="1:8" x14ac:dyDescent="0.6">
      <c r="A36" s="5">
        <v>33</v>
      </c>
      <c r="B36" s="5" t="s">
        <v>5</v>
      </c>
      <c r="C36" s="5">
        <v>34</v>
      </c>
      <c r="D36" s="5">
        <v>77071.037505</v>
      </c>
      <c r="E36" s="5">
        <v>476</v>
      </c>
      <c r="F36" s="3">
        <f t="shared" si="0"/>
        <v>372</v>
      </c>
      <c r="G36" s="3">
        <f t="shared" si="1"/>
        <v>0.55701340742250161</v>
      </c>
      <c r="H36" s="1">
        <f t="shared" si="2"/>
        <v>0.1143231009369552</v>
      </c>
    </row>
    <row r="37" spans="1:8" x14ac:dyDescent="0.6">
      <c r="A37" s="5">
        <v>34</v>
      </c>
      <c r="B37" s="5" t="s">
        <v>5</v>
      </c>
      <c r="C37" s="5">
        <v>35</v>
      </c>
      <c r="D37" s="5">
        <v>79406.523490000007</v>
      </c>
      <c r="E37" s="5">
        <v>258</v>
      </c>
      <c r="F37" s="3">
        <f t="shared" si="0"/>
        <v>154</v>
      </c>
      <c r="G37" s="3">
        <f t="shared" si="1"/>
        <v>0.61423281405500174</v>
      </c>
      <c r="H37" s="1">
        <f t="shared" si="2"/>
        <v>9.3342456944779897E-2</v>
      </c>
    </row>
    <row r="38" spans="1:8" x14ac:dyDescent="0.6">
      <c r="A38" s="5">
        <v>35</v>
      </c>
      <c r="B38" s="5" t="s">
        <v>5</v>
      </c>
      <c r="C38" s="5">
        <v>36</v>
      </c>
      <c r="D38" s="5">
        <v>81742.009474999999</v>
      </c>
      <c r="E38" s="5">
        <v>269</v>
      </c>
      <c r="F38" s="3">
        <f t="shared" si="0"/>
        <v>165</v>
      </c>
      <c r="G38" s="3">
        <f t="shared" si="1"/>
        <v>0.37251001460749872</v>
      </c>
      <c r="H38" s="1">
        <f t="shared" si="2"/>
        <v>4.7099404880393825E-3</v>
      </c>
    </row>
    <row r="39" spans="1:8" x14ac:dyDescent="0.6">
      <c r="A39" s="5">
        <v>36</v>
      </c>
      <c r="B39" s="5" t="s">
        <v>5</v>
      </c>
      <c r="C39" s="5">
        <v>37</v>
      </c>
      <c r="D39" s="5">
        <v>84077.495460000006</v>
      </c>
      <c r="E39" s="5">
        <v>422</v>
      </c>
      <c r="F39" s="3">
        <f t="shared" si="0"/>
        <v>318</v>
      </c>
      <c r="G39" s="3">
        <f t="shared" si="1"/>
        <v>0.56401986537750159</v>
      </c>
      <c r="H39" s="1">
        <f t="shared" si="2"/>
        <v>6.5510990424547361E-2</v>
      </c>
    </row>
    <row r="40" spans="1:8" x14ac:dyDescent="0.6">
      <c r="A40" s="5">
        <v>37</v>
      </c>
      <c r="B40" s="5" t="s">
        <v>5</v>
      </c>
      <c r="C40" s="5">
        <v>38</v>
      </c>
      <c r="D40" s="5">
        <v>86412.981444999998</v>
      </c>
      <c r="E40" s="5">
        <v>761</v>
      </c>
      <c r="F40" s="3">
        <f t="shared" si="0"/>
        <v>657</v>
      </c>
      <c r="G40" s="3">
        <f t="shared" si="1"/>
        <v>1.1385494176874962</v>
      </c>
      <c r="H40" s="1">
        <f t="shared" si="2"/>
        <v>0.1451518023132137</v>
      </c>
    </row>
    <row r="41" spans="1:8" x14ac:dyDescent="0.6">
      <c r="A41" s="5">
        <v>38</v>
      </c>
      <c r="B41" s="5" t="s">
        <v>5</v>
      </c>
      <c r="C41" s="5">
        <v>39</v>
      </c>
      <c r="D41" s="5">
        <v>88748.467430000004</v>
      </c>
      <c r="E41" s="5">
        <v>1556</v>
      </c>
      <c r="F41" s="3">
        <f t="shared" si="0"/>
        <v>1452</v>
      </c>
      <c r="G41" s="3">
        <f t="shared" si="1"/>
        <v>2.4627699711825071</v>
      </c>
      <c r="H41" s="1">
        <f t="shared" si="2"/>
        <v>0.34040024436284416</v>
      </c>
    </row>
    <row r="42" spans="1:8" x14ac:dyDescent="0.6">
      <c r="A42" s="5">
        <v>39</v>
      </c>
      <c r="B42" s="5" t="s">
        <v>5</v>
      </c>
      <c r="C42" s="5">
        <v>40</v>
      </c>
      <c r="D42" s="5">
        <v>91083.953414999996</v>
      </c>
      <c r="E42" s="5">
        <v>1470</v>
      </c>
      <c r="F42" s="3">
        <f t="shared" si="0"/>
        <v>1366</v>
      </c>
      <c r="G42" s="3">
        <f t="shared" si="1"/>
        <v>3.2906997528649891</v>
      </c>
      <c r="H42" s="1">
        <f t="shared" si="2"/>
        <v>3.6823171088307897E-2</v>
      </c>
    </row>
    <row r="43" spans="1:8" x14ac:dyDescent="0.6">
      <c r="A43" s="5">
        <v>40</v>
      </c>
      <c r="B43" s="5" t="s">
        <v>5</v>
      </c>
      <c r="C43" s="5">
        <v>41</v>
      </c>
      <c r="D43" s="5">
        <v>93419.439400000003</v>
      </c>
      <c r="E43" s="5">
        <v>1240</v>
      </c>
      <c r="F43" s="3">
        <f t="shared" si="0"/>
        <v>1136</v>
      </c>
      <c r="G43" s="3">
        <f t="shared" si="1"/>
        <v>2.9216929672350083</v>
      </c>
      <c r="H43" s="1">
        <f t="shared" si="2"/>
        <v>9.848057384082283E-2</v>
      </c>
    </row>
    <row r="44" spans="1:8" x14ac:dyDescent="0.6">
      <c r="A44" s="5">
        <v>41</v>
      </c>
      <c r="B44" s="5" t="s">
        <v>5</v>
      </c>
      <c r="C44" s="5">
        <v>42</v>
      </c>
      <c r="D44" s="5">
        <v>95754.925384999995</v>
      </c>
      <c r="E44" s="5">
        <v>882</v>
      </c>
      <c r="F44" s="3">
        <f t="shared" si="0"/>
        <v>778</v>
      </c>
      <c r="G44" s="3">
        <f t="shared" si="1"/>
        <v>2.2350600876449924</v>
      </c>
      <c r="H44" s="1">
        <f t="shared" si="2"/>
        <v>0.15328715406528171</v>
      </c>
    </row>
    <row r="45" spans="1:8" x14ac:dyDescent="0.6">
      <c r="A45" s="5">
        <v>42</v>
      </c>
      <c r="B45" s="5" t="s">
        <v>5</v>
      </c>
      <c r="C45" s="5">
        <v>43</v>
      </c>
      <c r="D45" s="5">
        <v>98090.411370000002</v>
      </c>
      <c r="E45" s="5">
        <v>1696</v>
      </c>
      <c r="F45" s="3">
        <f t="shared" si="0"/>
        <v>1592</v>
      </c>
      <c r="G45" s="3">
        <f t="shared" si="1"/>
        <v>2.7675508922250081</v>
      </c>
      <c r="H45" s="1">
        <f t="shared" si="2"/>
        <v>0.34853559611491214</v>
      </c>
    </row>
    <row r="46" spans="1:8" x14ac:dyDescent="0.6">
      <c r="A46" s="5">
        <v>43</v>
      </c>
      <c r="B46" s="5" t="s">
        <v>5</v>
      </c>
      <c r="C46" s="5">
        <v>44</v>
      </c>
      <c r="D46" s="5">
        <v>100425.89735499999</v>
      </c>
      <c r="E46" s="5">
        <v>1858</v>
      </c>
      <c r="F46" s="3">
        <f t="shared" si="0"/>
        <v>1754</v>
      </c>
      <c r="G46" s="3">
        <f t="shared" si="1"/>
        <v>3.9072680529049868</v>
      </c>
      <c r="H46" s="1">
        <f t="shared" si="2"/>
        <v>6.936457809657999E-2</v>
      </c>
    </row>
    <row r="47" spans="1:8" x14ac:dyDescent="0.6">
      <c r="A47" s="5">
        <v>44</v>
      </c>
      <c r="B47" s="5" t="s">
        <v>5</v>
      </c>
      <c r="C47" s="5">
        <v>45</v>
      </c>
      <c r="D47" s="5">
        <v>102761.38334</v>
      </c>
      <c r="E47" s="5">
        <v>1656</v>
      </c>
      <c r="F47" s="3">
        <f t="shared" si="0"/>
        <v>1552</v>
      </c>
      <c r="G47" s="3">
        <f t="shared" si="1"/>
        <v>3.8605583332050109</v>
      </c>
      <c r="H47" s="1">
        <f t="shared" si="2"/>
        <v>8.6491634416722668E-2</v>
      </c>
    </row>
    <row r="48" spans="1:8" x14ac:dyDescent="0.6">
      <c r="A48" s="5">
        <v>45</v>
      </c>
      <c r="B48" s="5" t="s">
        <v>5</v>
      </c>
      <c r="C48" s="5">
        <v>46</v>
      </c>
      <c r="D48" s="5">
        <v>105096.86932500001</v>
      </c>
      <c r="E48" s="5">
        <v>1973</v>
      </c>
      <c r="F48" s="3">
        <f t="shared" si="0"/>
        <v>1869</v>
      </c>
      <c r="G48" s="3">
        <f t="shared" si="1"/>
        <v>3.9948487773425114</v>
      </c>
      <c r="H48" s="1">
        <f t="shared" si="2"/>
        <v>0.13573192133713408</v>
      </c>
    </row>
    <row r="49" spans="1:8" x14ac:dyDescent="0.6">
      <c r="A49" s="5">
        <v>46</v>
      </c>
      <c r="B49" s="5" t="s">
        <v>5</v>
      </c>
      <c r="C49" s="5">
        <v>47</v>
      </c>
      <c r="D49" s="5">
        <v>107432.35531</v>
      </c>
      <c r="E49" s="5">
        <v>1471</v>
      </c>
      <c r="F49" s="3">
        <f t="shared" si="0"/>
        <v>1367</v>
      </c>
      <c r="G49" s="3">
        <f t="shared" si="1"/>
        <v>3.7788163237299872</v>
      </c>
      <c r="H49" s="1">
        <f t="shared" si="2"/>
        <v>0.21494455681779726</v>
      </c>
    </row>
    <row r="50" spans="1:8" x14ac:dyDescent="0.6">
      <c r="A50" s="5">
        <v>47</v>
      </c>
      <c r="B50" s="5" t="s">
        <v>5</v>
      </c>
      <c r="C50" s="5">
        <v>48</v>
      </c>
      <c r="D50" s="5">
        <v>109767.84129500001</v>
      </c>
      <c r="E50" s="5">
        <v>2187</v>
      </c>
      <c r="F50" s="3">
        <f t="shared" si="0"/>
        <v>2083</v>
      </c>
      <c r="G50" s="3">
        <f t="shared" si="1"/>
        <v>4.028713324125011</v>
      </c>
      <c r="H50" s="1">
        <f t="shared" si="2"/>
        <v>0.30657430813056152</v>
      </c>
    </row>
    <row r="51" spans="1:8" x14ac:dyDescent="0.6">
      <c r="A51" s="5">
        <v>48</v>
      </c>
      <c r="B51" s="5" t="s">
        <v>5</v>
      </c>
      <c r="C51" s="5">
        <v>49</v>
      </c>
      <c r="D51" s="5">
        <v>112103.32728</v>
      </c>
      <c r="E51" s="5">
        <v>1787</v>
      </c>
      <c r="F51" s="3">
        <f t="shared" si="0"/>
        <v>1683</v>
      </c>
      <c r="G51" s="3">
        <f t="shared" si="1"/>
        <v>4.3977201097549852</v>
      </c>
      <c r="H51" s="1">
        <f t="shared" si="2"/>
        <v>0.17127056320143208</v>
      </c>
    </row>
    <row r="52" spans="1:8" x14ac:dyDescent="0.6">
      <c r="A52" s="5">
        <v>49</v>
      </c>
      <c r="B52" s="5" t="s">
        <v>5</v>
      </c>
      <c r="C52" s="5">
        <v>50</v>
      </c>
      <c r="D52" s="5">
        <v>114438.813265</v>
      </c>
      <c r="E52" s="5">
        <v>2346</v>
      </c>
      <c r="F52" s="3">
        <f t="shared" si="0"/>
        <v>2242</v>
      </c>
      <c r="G52" s="3">
        <f t="shared" si="1"/>
        <v>4.5833912455625132</v>
      </c>
      <c r="H52" s="1">
        <f t="shared" si="2"/>
        <v>0.23935061207399985</v>
      </c>
    </row>
    <row r="53" spans="1:8" x14ac:dyDescent="0.6">
      <c r="A53" s="5">
        <v>50</v>
      </c>
      <c r="B53" s="5" t="s">
        <v>5</v>
      </c>
      <c r="C53" s="5">
        <v>51</v>
      </c>
      <c r="D53" s="5">
        <v>116774.29925</v>
      </c>
      <c r="E53" s="5">
        <v>2971</v>
      </c>
      <c r="F53" s="3">
        <f t="shared" si="0"/>
        <v>2867</v>
      </c>
      <c r="G53" s="3">
        <f t="shared" si="1"/>
        <v>5.9659989486824792</v>
      </c>
      <c r="H53" s="1">
        <f t="shared" si="2"/>
        <v>0.26761025500223762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2020-06-28T18:16:38Z</dcterms:created>
  <dcterms:modified xsi:type="dcterms:W3CDTF">2026-03-06T12:54:17Z</dcterms:modified>
</cp:coreProperties>
</file>