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TSIG/TSIG0125/"/>
    </mc:Choice>
  </mc:AlternateContent>
  <xr:revisionPtr revIDLastSave="78" documentId="13_ncr:1_{4319B9A2-5AFE-49F3-B94D-1E94FFC141C6}" xr6:coauthVersionLast="47" xr6:coauthVersionMax="47" xr10:uidLastSave="{3D4A2D48-5FB4-49A0-B4F5-F5B76DA882C2}"/>
  <bookViews>
    <workbookView xWindow="-120" yWindow="-120" windowWidth="29040" windowHeight="15720" xr2:uid="{2E4DC811-EF0A-4F25-886F-C3204A98E191}"/>
  </bookViews>
  <sheets>
    <sheet name="NDVI" sheetId="1" r:id="rId1"/>
    <sheet name="{R}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I6" i="1"/>
  <c r="I7" i="1"/>
  <c r="I8" i="1"/>
  <c r="I5" i="1"/>
  <c r="H8" i="1"/>
  <c r="H7" i="1"/>
  <c r="H6" i="1"/>
  <c r="H5" i="1"/>
  <c r="F8" i="1"/>
  <c r="G8" i="1" s="1"/>
  <c r="F7" i="1"/>
  <c r="G7" i="1" s="1"/>
  <c r="F6" i="1"/>
  <c r="G6" i="1" s="1"/>
  <c r="F5" i="1"/>
  <c r="G5" i="1" s="1"/>
  <c r="D9" i="1"/>
  <c r="C9" i="1"/>
</calcChain>
</file>

<file path=xl/sharedStrings.xml><?xml version="1.0" encoding="utf-8"?>
<sst xmlns="http://schemas.openxmlformats.org/spreadsheetml/2006/main" count="21" uniqueCount="21">
  <si>
    <t>Sin Vegetación</t>
  </si>
  <si>
    <t>ClaseName</t>
  </si>
  <si>
    <t>Bosque mixto</t>
  </si>
  <si>
    <t>Bosque denso</t>
  </si>
  <si>
    <t>Bosque muy denso</t>
  </si>
  <si>
    <t>Σ</t>
  </si>
  <si>
    <t>Área, km² invierno</t>
  </si>
  <si>
    <t>Área, km² verano</t>
  </si>
  <si>
    <t>Tabla de resultados NDVI</t>
  </si>
  <si>
    <t>Celdas invierno</t>
  </si>
  <si>
    <t>Celdas verano</t>
  </si>
  <si>
    <t>Resolución grilla, m:</t>
  </si>
  <si>
    <t>Análisis</t>
  </si>
  <si>
    <t>Diferencia invierno a verano, km²</t>
  </si>
  <si>
    <t>Diferencia porcentual, %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</si>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</sst>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name val="Segoe UI Light"/>
      <family val="2"/>
    </font>
    <font>
      <sz val="11"/>
      <color theme="1"/>
      <name val="Calibri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right" vertical="top"/>
    </xf>
    <xf numFmtId="0" fontId="3" fillId="0" borderId="1" xfId="0" applyFont="1" applyBorder="1" applyAlignment="1" applyProtection="1">
      <alignment horizontal="center" vertical="top"/>
      <protection locked="0"/>
    </xf>
    <xf numFmtId="2" fontId="2" fillId="0" borderId="1" xfId="0" applyNumberFormat="1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vertical="top"/>
    </xf>
    <xf numFmtId="2" fontId="2" fillId="0" borderId="6" xfId="0" applyNumberFormat="1" applyFont="1" applyBorder="1" applyAlignment="1">
      <alignment horizontal="center" vertical="top"/>
    </xf>
    <xf numFmtId="0" fontId="2" fillId="2" borderId="7" xfId="0" applyFont="1" applyFill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2" fontId="2" fillId="2" borderId="8" xfId="0" applyNumberFormat="1" applyFont="1" applyFill="1" applyBorder="1" applyAlignment="1">
      <alignment horizontal="center" vertical="top"/>
    </xf>
    <xf numFmtId="2" fontId="2" fillId="2" borderId="9" xfId="0" applyNumberFormat="1" applyFont="1" applyFill="1" applyBorder="1" applyAlignment="1">
      <alignment horizontal="center" vertical="top"/>
    </xf>
    <xf numFmtId="0" fontId="2" fillId="0" borderId="0" xfId="2" applyFont="1" applyAlignment="1">
      <alignment horizontal="center" vertical="top" wrapText="1"/>
    </xf>
    <xf numFmtId="0" fontId="2" fillId="0" borderId="0" xfId="2" applyFont="1" applyAlignment="1">
      <alignment vertical="top"/>
    </xf>
    <xf numFmtId="0" fontId="3" fillId="0" borderId="0" xfId="3" applyFont="1" applyAlignment="1" applyProtection="1">
      <alignment horizontal="center" vertical="top" wrapText="1"/>
    </xf>
    <xf numFmtId="0" fontId="3" fillId="0" borderId="0" xfId="3" applyFont="1" applyAlignment="1" applyProtection="1">
      <alignment horizontal="center" vertical="top"/>
      <protection locked="0"/>
    </xf>
    <xf numFmtId="0" fontId="7" fillId="0" borderId="0" xfId="2" applyFont="1" applyAlignment="1">
      <alignment horizontal="center" vertical="top" wrapText="1"/>
    </xf>
  </cellXfs>
  <cellStyles count="4">
    <cellStyle name="Hyperlink 2" xfId="3" xr:uid="{980AABB2-309B-4426-BF86-3448003EF3C6}"/>
    <cellStyle name="Normal" xfId="0" builtinId="0"/>
    <cellStyle name="Normal 2" xfId="2" xr:uid="{574CC061-5C59-4681-A932-BF445B8CF94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NDVI!$B$2</c:f>
          <c:strCache>
            <c:ptCount val="1"/>
            <c:pt idx="0">
              <c:v>Tabla de resultados NDVI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96573939255022"/>
          <c:y val="0.11526361111111111"/>
          <c:w val="0.87242207257649307"/>
          <c:h val="0.626215615617071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NDVI!$E$4</c:f>
              <c:strCache>
                <c:ptCount val="1"/>
                <c:pt idx="0">
                  <c:v>Área, km² invierno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NDVI!$B$5:$B$8</c:f>
              <c:strCache>
                <c:ptCount val="4"/>
                <c:pt idx="0">
                  <c:v>Sin Vegetación</c:v>
                </c:pt>
                <c:pt idx="1">
                  <c:v>Bosque mixto</c:v>
                </c:pt>
                <c:pt idx="2">
                  <c:v>Bosque denso</c:v>
                </c:pt>
                <c:pt idx="3">
                  <c:v>Bosque muy denso</c:v>
                </c:pt>
              </c:strCache>
            </c:strRef>
          </c:cat>
          <c:val>
            <c:numRef>
              <c:f>NDVI!$E$5:$E$8</c:f>
              <c:numCache>
                <c:formatCode>0.00</c:formatCode>
                <c:ptCount val="4"/>
                <c:pt idx="0">
                  <c:v>8.4050999999999991</c:v>
                </c:pt>
                <c:pt idx="1">
                  <c:v>24.093900000000001</c:v>
                </c:pt>
                <c:pt idx="2">
                  <c:v>30.3993</c:v>
                </c:pt>
                <c:pt idx="3">
                  <c:v>37.176299999999998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3-4294-BECB-759AEA60785A}"/>
            </c:ext>
          </c:extLst>
        </c:ser>
        <c:ser>
          <c:idx val="1"/>
          <c:order val="1"/>
          <c:tx>
            <c:strRef>
              <c:f>NDVI!$F$4</c:f>
              <c:strCache>
                <c:ptCount val="1"/>
                <c:pt idx="0">
                  <c:v>Área, km² verano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NDVI!$B$5:$B$8</c:f>
              <c:strCache>
                <c:ptCount val="4"/>
                <c:pt idx="0">
                  <c:v>Sin Vegetación</c:v>
                </c:pt>
                <c:pt idx="1">
                  <c:v>Bosque mixto</c:v>
                </c:pt>
                <c:pt idx="2">
                  <c:v>Bosque denso</c:v>
                </c:pt>
                <c:pt idx="3">
                  <c:v>Bosque muy denso</c:v>
                </c:pt>
              </c:strCache>
            </c:strRef>
          </c:cat>
          <c:val>
            <c:numRef>
              <c:f>NDVI!$F$5:$F$8</c:f>
              <c:numCache>
                <c:formatCode>0.00</c:formatCode>
                <c:ptCount val="4"/>
                <c:pt idx="0">
                  <c:v>13.4694</c:v>
                </c:pt>
                <c:pt idx="1">
                  <c:v>31.024799999999999</c:v>
                </c:pt>
                <c:pt idx="2">
                  <c:v>17.301600000000001</c:v>
                </c:pt>
                <c:pt idx="3">
                  <c:v>38.277900000000002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3-4294-BECB-759AEA607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86861512"/>
        <c:axId val="886861840"/>
      </c:barChart>
      <c:catAx>
        <c:axId val="88686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886861840"/>
        <c:crosses val="autoZero"/>
        <c:auto val="1"/>
        <c:lblAlgn val="ctr"/>
        <c:lblOffset val="100"/>
        <c:noMultiLvlLbl val="0"/>
      </c:catAx>
      <c:valAx>
        <c:axId val="88686184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Área, km²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886861512"/>
        <c:crosses val="autoZero"/>
        <c:crossBetween val="between"/>
      </c:valAx>
      <c:spPr>
        <a:noFill/>
        <a:ln w="3175">
          <a:solidFill>
            <a:schemeClr val="bg1">
              <a:lumMod val="9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</xdr:colOff>
      <xdr:row>9</xdr:row>
      <xdr:rowOff>72031</xdr:rowOff>
    </xdr:from>
    <xdr:to>
      <xdr:col>8</xdr:col>
      <xdr:colOff>1154906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BDADA-CE0B-4399-B2A0-40500B7F3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4318BDE8-4C5E-430D-8860-2C227C489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E57B-675F-472B-B7AD-932EC864D1C6}">
  <dimension ref="B2:I9"/>
  <sheetViews>
    <sheetView showGridLines="0" showRowColHeaders="0" tabSelected="1" zoomScale="190" zoomScaleNormal="190" workbookViewId="0">
      <selection activeCell="I3" sqref="I3"/>
    </sheetView>
  </sheetViews>
  <sheetFormatPr defaultRowHeight="16.5" x14ac:dyDescent="0.25"/>
  <cols>
    <col min="1" max="1" width="2.625" style="1" customWidth="1"/>
    <col min="2" max="2" width="15.875" style="1" customWidth="1"/>
    <col min="3" max="6" width="9" style="1"/>
    <col min="7" max="7" width="15.75" style="1" customWidth="1"/>
    <col min="8" max="8" width="13.375" style="1" customWidth="1"/>
    <col min="9" max="9" width="15.25" style="1" customWidth="1"/>
    <col min="10" max="10" width="2.625" style="1" customWidth="1"/>
    <col min="11" max="16384" width="9" style="1"/>
  </cols>
  <sheetData>
    <row r="2" spans="2:9" x14ac:dyDescent="0.25">
      <c r="B2" s="1" t="s">
        <v>8</v>
      </c>
    </row>
    <row r="3" spans="2:9" x14ac:dyDescent="0.25">
      <c r="B3" s="2" t="s">
        <v>11</v>
      </c>
      <c r="C3" s="3">
        <v>30</v>
      </c>
      <c r="D3" s="2"/>
      <c r="E3" s="2"/>
      <c r="I3" s="4"/>
    </row>
    <row r="4" spans="2:9" ht="33" x14ac:dyDescent="0.25">
      <c r="B4" s="8" t="s">
        <v>1</v>
      </c>
      <c r="C4" s="9" t="s">
        <v>9</v>
      </c>
      <c r="D4" s="9" t="s">
        <v>10</v>
      </c>
      <c r="E4" s="9" t="s">
        <v>6</v>
      </c>
      <c r="F4" s="9" t="s">
        <v>7</v>
      </c>
      <c r="G4" s="9" t="s">
        <v>13</v>
      </c>
      <c r="H4" s="9" t="s">
        <v>14</v>
      </c>
      <c r="I4" s="10" t="s">
        <v>12</v>
      </c>
    </row>
    <row r="5" spans="2:9" x14ac:dyDescent="0.25">
      <c r="B5" s="11" t="s">
        <v>0</v>
      </c>
      <c r="C5" s="5">
        <v>9339</v>
      </c>
      <c r="D5" s="5">
        <v>14966</v>
      </c>
      <c r="E5" s="6">
        <v>8.4050999999999991</v>
      </c>
      <c r="F5" s="6">
        <f>D5*$C$3*$C$3/1000000</f>
        <v>13.4694</v>
      </c>
      <c r="G5" s="6">
        <f>F5-E5</f>
        <v>5.0643000000000011</v>
      </c>
      <c r="H5" s="7">
        <f>G5/F5</f>
        <v>0.37598556728584798</v>
      </c>
      <c r="I5" s="12" t="str">
        <f>IF(G5&gt;0,_xlfn.CONCAT("Aumentó ",ABS(ROUND(H5*100,1)),"%"),_xlfn.CONCAT("Disminuyó ",ABS(ROUND(H5*100,1)),"%"))</f>
        <v>Aumentó 37.6%</v>
      </c>
    </row>
    <row r="6" spans="2:9" x14ac:dyDescent="0.25">
      <c r="B6" s="11" t="s">
        <v>2</v>
      </c>
      <c r="C6" s="5">
        <v>26771</v>
      </c>
      <c r="D6" s="5">
        <v>34472</v>
      </c>
      <c r="E6" s="6">
        <v>24.093900000000001</v>
      </c>
      <c r="F6" s="6">
        <f t="shared" ref="F6:F8" si="0">D6*$C$3*$C$3/1000000</f>
        <v>31.024799999999999</v>
      </c>
      <c r="G6" s="6">
        <f t="shared" ref="G6:G8" si="1">F6-E6</f>
        <v>6.9308999999999976</v>
      </c>
      <c r="H6" s="7">
        <f t="shared" ref="H6:H8" si="2">G6/F6</f>
        <v>0.22339870039452303</v>
      </c>
      <c r="I6" s="12" t="str">
        <f t="shared" ref="I6:I8" si="3">IF(G6&gt;0,_xlfn.CONCAT("Aumentó ",ABS(ROUND(H6*100,1)),"%"),_xlfn.CONCAT("Disminuyó ",ABS(ROUND(H6*100,1)),"%"))</f>
        <v>Aumentó 22.3%</v>
      </c>
    </row>
    <row r="7" spans="2:9" x14ac:dyDescent="0.25">
      <c r="B7" s="11" t="s">
        <v>3</v>
      </c>
      <c r="C7" s="5">
        <v>33777</v>
      </c>
      <c r="D7" s="5">
        <v>19224</v>
      </c>
      <c r="E7" s="6">
        <v>30.3993</v>
      </c>
      <c r="F7" s="6">
        <f t="shared" si="0"/>
        <v>17.301600000000001</v>
      </c>
      <c r="G7" s="6">
        <f t="shared" si="1"/>
        <v>-13.0977</v>
      </c>
      <c r="H7" s="7">
        <f t="shared" si="2"/>
        <v>-0.75702247191011229</v>
      </c>
      <c r="I7" s="12" t="str">
        <f t="shared" si="3"/>
        <v>Disminuyó 75.7%</v>
      </c>
    </row>
    <row r="8" spans="2:9" x14ac:dyDescent="0.25">
      <c r="B8" s="11" t="s">
        <v>4</v>
      </c>
      <c r="C8" s="5">
        <v>41307</v>
      </c>
      <c r="D8" s="5">
        <v>42531</v>
      </c>
      <c r="E8" s="6">
        <v>37.176299999999998</v>
      </c>
      <c r="F8" s="6">
        <f t="shared" si="0"/>
        <v>38.277900000000002</v>
      </c>
      <c r="G8" s="6">
        <f t="shared" si="1"/>
        <v>1.1016000000000048</v>
      </c>
      <c r="H8" s="7">
        <f t="shared" si="2"/>
        <v>2.877900825280396E-2</v>
      </c>
      <c r="I8" s="12" t="str">
        <f t="shared" si="3"/>
        <v>Aumentó 2.9%</v>
      </c>
    </row>
    <row r="9" spans="2:9" x14ac:dyDescent="0.25">
      <c r="B9" s="13" t="s">
        <v>5</v>
      </c>
      <c r="C9" s="14">
        <f>SUM(C5:C8)</f>
        <v>111194</v>
      </c>
      <c r="D9" s="14">
        <f>SUM(D5:D8)</f>
        <v>111193</v>
      </c>
      <c r="E9" s="15">
        <f>SUM(E5:E8)</f>
        <v>100.0746</v>
      </c>
      <c r="F9" s="15">
        <f>SUM(F5:F8)</f>
        <v>100.0737</v>
      </c>
      <c r="G9" s="15"/>
      <c r="H9" s="15"/>
      <c r="I9" s="16"/>
    </row>
  </sheetData>
  <sheetProtection algorithmName="SHA-512" hashValue="DrEupTebDM5AZU3i1QCgtCOT1bsM7FZNVBa5QFKgk3P0n/vgxA6axMe8o6mAzDtB5QSBlRp/bIMapGcaXrUzFg==" saltValue="EHbE28H31ZaO1I7M31JrQw==" spinCount="100000" sheet="1" objects="1" scenario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B7BA-4C22-474C-9D8D-3B073F365313}">
  <dimension ref="B2:B22"/>
  <sheetViews>
    <sheetView showGridLines="0" showRowColHeaders="0" zoomScale="115" zoomScaleNormal="115" workbookViewId="0">
      <selection activeCell="B7" sqref="B7"/>
    </sheetView>
  </sheetViews>
  <sheetFormatPr defaultColWidth="10" defaultRowHeight="16.5" x14ac:dyDescent="0.25"/>
  <cols>
    <col min="1" max="1" width="2.375" style="18" customWidth="1"/>
    <col min="2" max="2" width="55.875" style="18" customWidth="1"/>
    <col min="3" max="16384" width="10" style="18"/>
  </cols>
  <sheetData>
    <row r="2" spans="2:2" x14ac:dyDescent="0.25">
      <c r="B2" s="17" t="s">
        <v>15</v>
      </c>
    </row>
    <row r="3" spans="2:2" x14ac:dyDescent="0.25">
      <c r="B3" s="19" t="s">
        <v>16</v>
      </c>
    </row>
    <row r="4" spans="2:2" x14ac:dyDescent="0.25">
      <c r="B4" s="19" t="s">
        <v>17</v>
      </c>
    </row>
    <row r="5" spans="2:2" x14ac:dyDescent="0.25">
      <c r="B5" s="17"/>
    </row>
    <row r="6" spans="2:2" x14ac:dyDescent="0.25">
      <c r="B6" s="17" t="s">
        <v>18</v>
      </c>
    </row>
    <row r="7" spans="2:2" x14ac:dyDescent="0.25">
      <c r="B7" s="20" t="s">
        <v>19</v>
      </c>
    </row>
    <row r="22" spans="2:2" x14ac:dyDescent="0.25">
      <c r="B22" s="21" t="s">
        <v>20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88A92556-8017-4BAD-B31B-224B06CAF2B7}"/>
    <hyperlink ref="B4" r:id="rId2" xr:uid="{EAC4489A-B694-456B-AA0D-591BB4B88DD5}"/>
    <hyperlink ref="B7" r:id="rId3" xr:uid="{EE8B5101-7ACC-4F8F-9BB0-82389BDD43FD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NDVI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2021-11-03T21:38:52Z</dcterms:created>
  <dcterms:modified xsi:type="dcterms:W3CDTF">2021-11-23T19:40:02Z</dcterms:modified>
</cp:coreProperties>
</file>