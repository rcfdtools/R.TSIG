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UECIJG.ClassSourcecode/HIDG/HIDG0015/Datos/"/>
    </mc:Choice>
  </mc:AlternateContent>
  <xr:revisionPtr revIDLastSave="37" documentId="13_ncr:1_{0484EF67-EB32-4F54-B9D6-1A4E8514FA2B}" xr6:coauthVersionLast="47" xr6:coauthVersionMax="47" xr10:uidLastSave="{B14C22B1-ED62-4B46-87CA-DCF239726119}"/>
  <bookViews>
    <workbookView xWindow="-98" yWindow="-98" windowWidth="28996" windowHeight="15675" xr2:uid="{0B6AB232-2B54-4ACA-B775-92F6A043B6C4}"/>
  </bookViews>
  <sheets>
    <sheet name="PMax24hSerie1980a2018" sheetId="1" r:id="rId1"/>
    <sheet name="PMP Analisis" sheetId="3" r:id="rId2"/>
    <sheet name="PMP" sheetId="7" r:id="rId3"/>
    <sheet name="{R}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1" l="1"/>
  <c r="P32" i="7" l="1"/>
  <c r="O32" i="7"/>
  <c r="N32" i="7"/>
  <c r="M32" i="7"/>
  <c r="L32" i="7"/>
  <c r="K32" i="7"/>
  <c r="J32" i="7"/>
  <c r="I32" i="7"/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A2" authorId="0" shapeId="0" xr:uid="{4FD7172E-3055-4842-A99F-86D24F1F2BA7}">
      <text>
        <r>
          <rPr>
            <sz val="9"/>
            <color indexed="81"/>
            <rFont val="Tahoma"/>
            <family val="2"/>
          </rPr>
          <t>Dato atipico o errado 0.6</t>
        </r>
      </text>
    </comment>
    <comment ref="AA29" authorId="0" shapeId="0" xr:uid="{86C34E19-7148-4C6D-9A2B-ACB3297DBE3F}">
      <text>
        <r>
          <rPr>
            <sz val="9"/>
            <color indexed="81"/>
            <rFont val="Tahoma"/>
            <family val="2"/>
          </rPr>
          <t>Dato atipico o errado 509.5</t>
        </r>
      </text>
    </comment>
  </commentList>
</comments>
</file>

<file path=xl/sharedStrings.xml><?xml version="1.0" encoding="utf-8"?>
<sst xmlns="http://schemas.openxmlformats.org/spreadsheetml/2006/main" count="132" uniqueCount="61">
  <si>
    <t>Anno</t>
  </si>
  <si>
    <t>Zonal</t>
  </si>
  <si>
    <t>vDKNormal</t>
  </si>
  <si>
    <t>vDKGumbel</t>
  </si>
  <si>
    <t>vDKLGumbel</t>
  </si>
  <si>
    <t>vDKLPeaIII</t>
  </si>
  <si>
    <t>vDKMin</t>
  </si>
  <si>
    <t>vDKMinDist</t>
  </si>
  <si>
    <t>D.Normal</t>
  </si>
  <si>
    <t>NA</t>
  </si>
  <si>
    <t>D.LGumbel</t>
  </si>
  <si>
    <t>CX</t>
  </si>
  <si>
    <t>CY</t>
  </si>
  <si>
    <t>JAGUA LA [25020230]</t>
  </si>
  <si>
    <t>CANAL EL [25020240]</t>
  </si>
  <si>
    <t>CURUMANI [25020250]</t>
  </si>
  <si>
    <t>RINCONHONDO [25020260]</t>
  </si>
  <si>
    <t>LOMA LA [25020280]</t>
  </si>
  <si>
    <t>POPONTE [25020690]</t>
  </si>
  <si>
    <t>PRIMAVERA LA [25020920]</t>
  </si>
  <si>
    <t>CHIMICHAGUA [25021240]</t>
  </si>
  <si>
    <t>YUCAL EL [25021650]</t>
  </si>
  <si>
    <t>CHIRIGUANA [25025250]</t>
  </si>
  <si>
    <t>VILLA MARLENE [28010070]</t>
  </si>
  <si>
    <t>PLAYAS LAS HACIENDA [28020080]</t>
  </si>
  <si>
    <t>ESPERANZA LA HACIENDA [28020150]</t>
  </si>
  <si>
    <t>LLANOS LOS [28020230]</t>
  </si>
  <si>
    <t>BOGOTANA LA [28020310]</t>
  </si>
  <si>
    <t>SAN GABRIEL [28020420]</t>
  </si>
  <si>
    <t>SANTA TERESA HACIENDA [28020440]</t>
  </si>
  <si>
    <t>CODAZZI DC [28020460]</t>
  </si>
  <si>
    <t>RETORNO EL [28020600]</t>
  </si>
  <si>
    <t>MOTILONIA CODAZZI [28025070]</t>
  </si>
  <si>
    <t>SOCOMBA [28025080]</t>
  </si>
  <si>
    <t>CENTENARIO HACIENDA [28025090]</t>
  </si>
  <si>
    <t>VILLA ROSA [28035010]</t>
  </si>
  <si>
    <t>GUAYMARAL [28035040]</t>
  </si>
  <si>
    <t>MOLINO EL [28040310]</t>
  </si>
  <si>
    <t>PASO EL   [28040350]</t>
  </si>
  <si>
    <t>Virtual 1</t>
  </si>
  <si>
    <t>Virtual 2</t>
  </si>
  <si>
    <t>Virtual 3</t>
  </si>
  <si>
    <t>Virtual 4</t>
  </si>
  <si>
    <t>N/A</t>
  </si>
  <si>
    <t>a25020230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</si>
  <si>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</si>
  <si>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</si>
  <si>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</si>
  <si>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</si>
  <si>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</si>
  <si>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</si>
  <si>
    <t>IdEstacion</t>
  </si>
  <si>
    <t>Nombre</t>
  </si>
  <si>
    <t>Latitud</t>
  </si>
  <si>
    <t>Longitud</t>
  </si>
  <si>
    <t>Altitud</t>
  </si>
  <si>
    <t>Distribuc</t>
  </si>
  <si>
    <t>Virtual1</t>
  </si>
  <si>
    <t>Virtual2</t>
  </si>
  <si>
    <t>Virtual3</t>
  </si>
  <si>
    <t>Virtual4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</si>
</sst>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Segoe UI Light"/>
      <family val="2"/>
    </font>
    <font>
      <u/>
      <sz val="11"/>
      <color theme="1"/>
      <name val="Segoe UI Light"/>
      <family val="2"/>
    </font>
    <font>
      <sz val="10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6" fillId="0" borderId="0" xfId="1" applyFont="1" applyAlignment="1" applyProtection="1">
      <alignment horizontal="center" vertical="top" wrapText="1"/>
    </xf>
    <xf numFmtId="0" fontId="6" fillId="0" borderId="0" xfId="1" applyFont="1" applyAlignment="1" applyProtection="1">
      <alignment horizontal="center" vertical="top"/>
      <protection locked="0"/>
    </xf>
    <xf numFmtId="0" fontId="7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left" vertical="top" textRotation="90"/>
    </xf>
    <xf numFmtId="0" fontId="2" fillId="0" borderId="0" xfId="0" applyFont="1" applyAlignment="1">
      <alignment horizontal="left" vertical="top" textRotation="90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4" fillId="2" borderId="0" xfId="0" applyNumberFormat="1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r>
              <a:rPr lang="es-CO"/>
              <a:t>PMP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39752869255628"/>
          <c:y val="8.9538294890715978E-2"/>
          <c:w val="0.78209775743361765"/>
          <c:h val="0.55735942827491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PMP!$A$2</c:f>
              <c:strCache>
                <c:ptCount val="1"/>
                <c:pt idx="0">
                  <c:v>a25020230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34000"/>
                </a:schemeClr>
              </a:solidFill>
              <a:ln w="9525">
                <a:solidFill>
                  <a:schemeClr val="accent1">
                    <a:shade val="34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PMP!$I$2:$P$2</c:f>
              <c:numCache>
                <c:formatCode>0.00</c:formatCode>
                <c:ptCount val="8"/>
                <c:pt idx="0">
                  <c:v>75.478200000000001</c:v>
                </c:pt>
                <c:pt idx="1">
                  <c:v>85.749260000000007</c:v>
                </c:pt>
                <c:pt idx="2">
                  <c:v>129.06943999999999</c:v>
                </c:pt>
                <c:pt idx="3">
                  <c:v>162.79741999999999</c:v>
                </c:pt>
                <c:pt idx="4">
                  <c:v>181.35482999999999</c:v>
                </c:pt>
                <c:pt idx="5">
                  <c:v>203.98510999999999</c:v>
                </c:pt>
                <c:pt idx="6">
                  <c:v>233.79863</c:v>
                </c:pt>
                <c:pt idx="7">
                  <c:v>262.93006000000003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29-4188-A55F-FDEDECCDCEB5}"/>
            </c:ext>
          </c:extLst>
        </c:ser>
        <c:ser>
          <c:idx val="1"/>
          <c:order val="1"/>
          <c:tx>
            <c:strRef>
              <c:f>PMP!$A$3</c:f>
              <c:strCache>
                <c:ptCount val="1"/>
                <c:pt idx="0">
                  <c:v>25020240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38000"/>
                </a:schemeClr>
              </a:solidFill>
              <a:ln w="9525">
                <a:solidFill>
                  <a:schemeClr val="accent1">
                    <a:shade val="38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PMP!$I$3:$P$3</c:f>
              <c:numCache>
                <c:formatCode>0.00</c:formatCode>
                <c:ptCount val="8"/>
                <c:pt idx="0">
                  <c:v>82.986159999999998</c:v>
                </c:pt>
                <c:pt idx="1">
                  <c:v>90.408109999999994</c:v>
                </c:pt>
                <c:pt idx="2">
                  <c:v>121.7116</c:v>
                </c:pt>
                <c:pt idx="3">
                  <c:v>146.08371</c:v>
                </c:pt>
                <c:pt idx="4">
                  <c:v>159.49342999999999</c:v>
                </c:pt>
                <c:pt idx="5">
                  <c:v>175.84625</c:v>
                </c:pt>
                <c:pt idx="6">
                  <c:v>197.38972999999999</c:v>
                </c:pt>
                <c:pt idx="7">
                  <c:v>218.44032999999999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29-4188-A55F-FDEDECCDCEB5}"/>
            </c:ext>
          </c:extLst>
        </c:ser>
        <c:ser>
          <c:idx val="2"/>
          <c:order val="2"/>
          <c:tx>
            <c:strRef>
              <c:f>PMP!$A$4</c:f>
              <c:strCache>
                <c:ptCount val="1"/>
                <c:pt idx="0">
                  <c:v>25020250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43000"/>
                </a:schemeClr>
              </a:solidFill>
              <a:ln w="9525">
                <a:solidFill>
                  <a:schemeClr val="accent1">
                    <a:shade val="43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PMP!$I$4:$P$4</c:f>
              <c:numCache>
                <c:formatCode>0.00</c:formatCode>
                <c:ptCount val="8"/>
                <c:pt idx="0">
                  <c:v>87.20984</c:v>
                </c:pt>
                <c:pt idx="1">
                  <c:v>94.453310000000002</c:v>
                </c:pt>
                <c:pt idx="2">
                  <c:v>125.00402</c:v>
                </c:pt>
                <c:pt idx="3">
                  <c:v>148.79003</c:v>
                </c:pt>
                <c:pt idx="4">
                  <c:v>161.87728000000001</c:v>
                </c:pt>
                <c:pt idx="5">
                  <c:v>177.83685</c:v>
                </c:pt>
                <c:pt idx="6">
                  <c:v>198.86225999999999</c:v>
                </c:pt>
                <c:pt idx="7">
                  <c:v>219.40663000000001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29-4188-A55F-FDEDECCDCEB5}"/>
            </c:ext>
          </c:extLst>
        </c:ser>
        <c:ser>
          <c:idx val="3"/>
          <c:order val="3"/>
          <c:tx>
            <c:strRef>
              <c:f>PMP!$A$5</c:f>
              <c:strCache>
                <c:ptCount val="1"/>
                <c:pt idx="0">
                  <c:v>25020260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47000"/>
                </a:schemeClr>
              </a:solidFill>
              <a:ln w="9525">
                <a:solidFill>
                  <a:schemeClr val="accent1">
                    <a:shade val="47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PMP!$I$5:$P$5</c:f>
              <c:numCache>
                <c:formatCode>0.00</c:formatCode>
                <c:ptCount val="8"/>
                <c:pt idx="0">
                  <c:v>81.932140000000004</c:v>
                </c:pt>
                <c:pt idx="1">
                  <c:v>90.388570000000001</c:v>
                </c:pt>
                <c:pt idx="2">
                  <c:v>126.05517999999999</c:v>
                </c:pt>
                <c:pt idx="3">
                  <c:v>153.82429999999999</c:v>
                </c:pt>
                <c:pt idx="4">
                  <c:v>169.10309000000001</c:v>
                </c:pt>
                <c:pt idx="5">
                  <c:v>187.73518000000001</c:v>
                </c:pt>
                <c:pt idx="6">
                  <c:v>212.28142</c:v>
                </c:pt>
                <c:pt idx="7">
                  <c:v>236.26607999999999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29-4188-A55F-FDEDECCDCEB5}"/>
            </c:ext>
          </c:extLst>
        </c:ser>
        <c:ser>
          <c:idx val="4"/>
          <c:order val="4"/>
          <c:tx>
            <c:strRef>
              <c:f>PMP!$A$6</c:f>
              <c:strCache>
                <c:ptCount val="1"/>
                <c:pt idx="0">
                  <c:v>25020280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1000"/>
                </a:schemeClr>
              </a:solidFill>
              <a:ln w="9525">
                <a:solidFill>
                  <a:schemeClr val="accent1">
                    <a:shade val="51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PMP!$I$6:$P$6</c:f>
              <c:numCache>
                <c:formatCode>0.00</c:formatCode>
                <c:ptCount val="8"/>
                <c:pt idx="0">
                  <c:v>99.612759999999994</c:v>
                </c:pt>
                <c:pt idx="1">
                  <c:v>104.46872</c:v>
                </c:pt>
                <c:pt idx="2">
                  <c:v>128.46704</c:v>
                </c:pt>
                <c:pt idx="3">
                  <c:v>152.03267</c:v>
                </c:pt>
                <c:pt idx="4">
                  <c:v>167.18790000000001</c:v>
                </c:pt>
                <c:pt idx="5">
                  <c:v>188.08583999999999</c:v>
                </c:pt>
                <c:pt idx="6">
                  <c:v>220.25102000000001</c:v>
                </c:pt>
                <c:pt idx="7">
                  <c:v>257.61639000000002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29-4188-A55F-FDEDECCDCEB5}"/>
            </c:ext>
          </c:extLst>
        </c:ser>
        <c:ser>
          <c:idx val="5"/>
          <c:order val="5"/>
          <c:tx>
            <c:strRef>
              <c:f>PMP!$A$7</c:f>
              <c:strCache>
                <c:ptCount val="1"/>
                <c:pt idx="0">
                  <c:v>25020690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6000"/>
                </a:schemeClr>
              </a:solidFill>
              <a:ln w="9525">
                <a:solidFill>
                  <a:schemeClr val="accent1">
                    <a:shade val="56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PMP!$I$7:$P$7</c:f>
              <c:numCache>
                <c:formatCode>0.00</c:formatCode>
                <c:ptCount val="8"/>
                <c:pt idx="0">
                  <c:v>75.738960000000006</c:v>
                </c:pt>
                <c:pt idx="1">
                  <c:v>83.027510000000007</c:v>
                </c:pt>
                <c:pt idx="2">
                  <c:v>113.76837</c:v>
                </c:pt>
                <c:pt idx="3">
                  <c:v>137.70241999999999</c:v>
                </c:pt>
                <c:pt idx="4">
                  <c:v>150.87112999999999</c:v>
                </c:pt>
                <c:pt idx="5">
                  <c:v>166.93002000000001</c:v>
                </c:pt>
                <c:pt idx="6">
                  <c:v>188.08628999999999</c:v>
                </c:pt>
                <c:pt idx="7">
                  <c:v>208.75854000000001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29-4188-A55F-FDEDECCDCEB5}"/>
            </c:ext>
          </c:extLst>
        </c:ser>
        <c:ser>
          <c:idx val="6"/>
          <c:order val="6"/>
          <c:tx>
            <c:strRef>
              <c:f>PMP!$A$8</c:f>
              <c:strCache>
                <c:ptCount val="1"/>
                <c:pt idx="0">
                  <c:v>25020920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0000"/>
                </a:schemeClr>
              </a:solidFill>
              <a:ln w="9525">
                <a:solidFill>
                  <a:schemeClr val="accent1">
                    <a:shade val="60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PMP!$I$8:$P$8</c:f>
              <c:numCache>
                <c:formatCode>0.00</c:formatCode>
                <c:ptCount val="8"/>
                <c:pt idx="0">
                  <c:v>62.748829999999998</c:v>
                </c:pt>
                <c:pt idx="1">
                  <c:v>75.672619999999995</c:v>
                </c:pt>
                <c:pt idx="2">
                  <c:v>130.18117000000001</c:v>
                </c:pt>
                <c:pt idx="3">
                  <c:v>172.62013999999999</c:v>
                </c:pt>
                <c:pt idx="4">
                  <c:v>195.97040000000001</c:v>
                </c:pt>
                <c:pt idx="5">
                  <c:v>224.44543999999999</c:v>
                </c:pt>
                <c:pt idx="6">
                  <c:v>261.95895999999999</c:v>
                </c:pt>
                <c:pt idx="7">
                  <c:v>298.61421999999999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29-4188-A55F-FDEDECCDCEB5}"/>
            </c:ext>
          </c:extLst>
        </c:ser>
        <c:ser>
          <c:idx val="7"/>
          <c:order val="7"/>
          <c:tx>
            <c:strRef>
              <c:f>PMP!$A$9</c:f>
              <c:strCache>
                <c:ptCount val="1"/>
                <c:pt idx="0">
                  <c:v>25021240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PMP!$I$9:$P$9</c:f>
              <c:numCache>
                <c:formatCode>0.00</c:formatCode>
                <c:ptCount val="8"/>
                <c:pt idx="0">
                  <c:v>100.2906</c:v>
                </c:pt>
                <c:pt idx="1">
                  <c:v>103.9967</c:v>
                </c:pt>
                <c:pt idx="2">
                  <c:v>121.75409999999999</c:v>
                </c:pt>
                <c:pt idx="3">
                  <c:v>138.43520000000001</c:v>
                </c:pt>
                <c:pt idx="4">
                  <c:v>148.83580000000001</c:v>
                </c:pt>
                <c:pt idx="5">
                  <c:v>162.81829999999999</c:v>
                </c:pt>
                <c:pt idx="6">
                  <c:v>183.64189999999999</c:v>
                </c:pt>
                <c:pt idx="7">
                  <c:v>206.94489999999999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29-4188-A55F-FDEDECCDCEB5}"/>
            </c:ext>
          </c:extLst>
        </c:ser>
        <c:ser>
          <c:idx val="8"/>
          <c:order val="8"/>
          <c:tx>
            <c:strRef>
              <c:f>PMP!$A$10</c:f>
              <c:strCache>
                <c:ptCount val="1"/>
                <c:pt idx="0">
                  <c:v>25021650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9000"/>
                </a:schemeClr>
              </a:solidFill>
              <a:ln w="9525">
                <a:solidFill>
                  <a:schemeClr val="accent1">
                    <a:shade val="69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PMP!$I$10:$P$10</c:f>
              <c:numCache>
                <c:formatCode>0.00</c:formatCode>
                <c:ptCount val="8"/>
                <c:pt idx="0">
                  <c:v>94.145790000000005</c:v>
                </c:pt>
                <c:pt idx="1">
                  <c:v>98.359930000000006</c:v>
                </c:pt>
                <c:pt idx="2">
                  <c:v>118.97014</c:v>
                </c:pt>
                <c:pt idx="3">
                  <c:v>138.90906000000001</c:v>
                </c:pt>
                <c:pt idx="4">
                  <c:v>151.59905000000001</c:v>
                </c:pt>
                <c:pt idx="5">
                  <c:v>168.94873000000001</c:v>
                </c:pt>
                <c:pt idx="6">
                  <c:v>195.35785000000001</c:v>
                </c:pt>
                <c:pt idx="7">
                  <c:v>225.65297000000001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29-4188-A55F-FDEDECCDCEB5}"/>
            </c:ext>
          </c:extLst>
        </c:ser>
        <c:ser>
          <c:idx val="9"/>
          <c:order val="9"/>
          <c:tx>
            <c:strRef>
              <c:f>PMP!$A$11</c:f>
              <c:strCache>
                <c:ptCount val="1"/>
                <c:pt idx="0">
                  <c:v>25025250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3000"/>
                </a:schemeClr>
              </a:solidFill>
              <a:ln w="9525">
                <a:solidFill>
                  <a:schemeClr val="accent1">
                    <a:shade val="73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PMP!$I$11:$P$11</c:f>
              <c:numCache>
                <c:formatCode>0.00</c:formatCode>
                <c:ptCount val="8"/>
                <c:pt idx="0">
                  <c:v>83.304820000000007</c:v>
                </c:pt>
                <c:pt idx="1">
                  <c:v>92.646699999999996</c:v>
                </c:pt>
                <c:pt idx="2">
                  <c:v>132.04787999999999</c:v>
                </c:pt>
                <c:pt idx="3">
                  <c:v>162.72463999999999</c:v>
                </c:pt>
                <c:pt idx="4">
                  <c:v>179.60323</c:v>
                </c:pt>
                <c:pt idx="5">
                  <c:v>200.18624</c:v>
                </c:pt>
                <c:pt idx="6">
                  <c:v>227.30266</c:v>
                </c:pt>
                <c:pt idx="7">
                  <c:v>253.7987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29-4188-A55F-FDEDECCDCEB5}"/>
            </c:ext>
          </c:extLst>
        </c:ser>
        <c:ser>
          <c:idx val="10"/>
          <c:order val="10"/>
          <c:tx>
            <c:strRef>
              <c:f>PMP!$A$12</c:f>
              <c:strCache>
                <c:ptCount val="1"/>
                <c:pt idx="0">
                  <c:v>28010070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8000"/>
                </a:schemeClr>
              </a:solidFill>
              <a:ln w="9525">
                <a:solidFill>
                  <a:schemeClr val="accent1">
                    <a:shade val="78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PMP!$I$12:$P$12</c:f>
              <c:numCache>
                <c:formatCode>0.00</c:formatCode>
                <c:ptCount val="8"/>
                <c:pt idx="0">
                  <c:v>66.779430000000005</c:v>
                </c:pt>
                <c:pt idx="1">
                  <c:v>73.260199999999998</c:v>
                </c:pt>
                <c:pt idx="2">
                  <c:v>100.59407</c:v>
                </c:pt>
                <c:pt idx="3">
                  <c:v>121.87553</c:v>
                </c:pt>
                <c:pt idx="4">
                  <c:v>133.58475999999999</c:v>
                </c:pt>
                <c:pt idx="5">
                  <c:v>147.86385999999999</c:v>
                </c:pt>
                <c:pt idx="6">
                  <c:v>166.6754</c:v>
                </c:pt>
                <c:pt idx="7">
                  <c:v>185.05655999999999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829-4188-A55F-FDEDECCDCEB5}"/>
            </c:ext>
          </c:extLst>
        </c:ser>
        <c:ser>
          <c:idx val="11"/>
          <c:order val="11"/>
          <c:tx>
            <c:strRef>
              <c:f>PMP!$A$13</c:f>
              <c:strCache>
                <c:ptCount val="1"/>
                <c:pt idx="0">
                  <c:v>28020080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82000"/>
                </a:schemeClr>
              </a:solidFill>
              <a:ln w="9525">
                <a:solidFill>
                  <a:schemeClr val="accent1">
                    <a:shade val="82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PMP!$I$13:$P$13</c:f>
              <c:numCache>
                <c:formatCode>0.00</c:formatCode>
                <c:ptCount val="8"/>
                <c:pt idx="0">
                  <c:v>71.640519999999995</c:v>
                </c:pt>
                <c:pt idx="1">
                  <c:v>82.353759999999994</c:v>
                </c:pt>
                <c:pt idx="2">
                  <c:v>127.53888999999999</c:v>
                </c:pt>
                <c:pt idx="3">
                  <c:v>162.71888999999999</c:v>
                </c:pt>
                <c:pt idx="4">
                  <c:v>182.07521</c:v>
                </c:pt>
                <c:pt idx="5">
                  <c:v>205.67973000000001</c:v>
                </c:pt>
                <c:pt idx="6">
                  <c:v>236.77674999999999</c:v>
                </c:pt>
                <c:pt idx="7">
                  <c:v>267.16230999999999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29-4188-A55F-FDEDECCDCEB5}"/>
            </c:ext>
          </c:extLst>
        </c:ser>
        <c:ser>
          <c:idx val="12"/>
          <c:order val="12"/>
          <c:tx>
            <c:strRef>
              <c:f>PMP!$A$14</c:f>
              <c:strCache>
                <c:ptCount val="1"/>
                <c:pt idx="0">
                  <c:v>28020150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86000"/>
                </a:schemeClr>
              </a:solidFill>
              <a:ln w="9525">
                <a:solidFill>
                  <a:schemeClr val="accent1">
                    <a:shade val="86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PMP!$I$14:$P$14</c:f>
              <c:numCache>
                <c:formatCode>0.00</c:formatCode>
                <c:ptCount val="8"/>
                <c:pt idx="0">
                  <c:v>80.455280000000002</c:v>
                </c:pt>
                <c:pt idx="1">
                  <c:v>83.403930000000003</c:v>
                </c:pt>
                <c:pt idx="2">
                  <c:v>97.521209999999996</c:v>
                </c:pt>
                <c:pt idx="3">
                  <c:v>110.76763</c:v>
                </c:pt>
                <c:pt idx="4">
                  <c:v>119.02012999999999</c:v>
                </c:pt>
                <c:pt idx="5">
                  <c:v>130.10738000000001</c:v>
                </c:pt>
                <c:pt idx="6">
                  <c:v>146.60529</c:v>
                </c:pt>
                <c:pt idx="7">
                  <c:v>165.04962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829-4188-A55F-FDEDECCDCEB5}"/>
            </c:ext>
          </c:extLst>
        </c:ser>
        <c:ser>
          <c:idx val="13"/>
          <c:order val="13"/>
          <c:tx>
            <c:strRef>
              <c:f>PMP!$A$15</c:f>
              <c:strCache>
                <c:ptCount val="1"/>
                <c:pt idx="0">
                  <c:v>28020230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91000"/>
                </a:schemeClr>
              </a:solidFill>
              <a:ln w="9525">
                <a:solidFill>
                  <a:schemeClr val="accent1">
                    <a:shade val="91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PMP!$I$15:$P$15</c:f>
              <c:numCache>
                <c:formatCode>0.00</c:formatCode>
                <c:ptCount val="8"/>
                <c:pt idx="0">
                  <c:v>91.517330000000001</c:v>
                </c:pt>
                <c:pt idx="1">
                  <c:v>96.890990000000002</c:v>
                </c:pt>
                <c:pt idx="2">
                  <c:v>124.14785999999999</c:v>
                </c:pt>
                <c:pt idx="3">
                  <c:v>151.92292</c:v>
                </c:pt>
                <c:pt idx="4">
                  <c:v>170.25265999999999</c:v>
                </c:pt>
                <c:pt idx="5">
                  <c:v>196.07055</c:v>
                </c:pt>
                <c:pt idx="6">
                  <c:v>236.92016000000001</c:v>
                </c:pt>
                <c:pt idx="7">
                  <c:v>285.88067000000001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29-4188-A55F-FDEDECCDCEB5}"/>
            </c:ext>
          </c:extLst>
        </c:ser>
        <c:ser>
          <c:idx val="14"/>
          <c:order val="14"/>
          <c:tx>
            <c:strRef>
              <c:f>PMP!$A$16</c:f>
              <c:strCache>
                <c:ptCount val="1"/>
                <c:pt idx="0">
                  <c:v>28020310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95000"/>
                </a:schemeClr>
              </a:solidFill>
              <a:ln w="9525">
                <a:solidFill>
                  <a:schemeClr val="accent1">
                    <a:shade val="95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PMP!$I$16:$P$16</c:f>
              <c:numCache>
                <c:formatCode>0.00</c:formatCode>
                <c:ptCount val="8"/>
                <c:pt idx="0">
                  <c:v>84.461590000000001</c:v>
                </c:pt>
                <c:pt idx="1">
                  <c:v>89.400729999999996</c:v>
                </c:pt>
                <c:pt idx="2">
                  <c:v>114.43797000000001</c:v>
                </c:pt>
                <c:pt idx="3">
                  <c:v>139.92865</c:v>
                </c:pt>
                <c:pt idx="4">
                  <c:v>156.74047999999999</c:v>
                </c:pt>
                <c:pt idx="5">
                  <c:v>180.40831</c:v>
                </c:pt>
                <c:pt idx="6">
                  <c:v>217.83135999999999</c:v>
                </c:pt>
                <c:pt idx="7">
                  <c:v>262.65145000000001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829-4188-A55F-FDEDECCDCEB5}"/>
            </c:ext>
          </c:extLst>
        </c:ser>
        <c:ser>
          <c:idx val="15"/>
          <c:order val="15"/>
          <c:tx>
            <c:strRef>
              <c:f>PMP!$A$17</c:f>
              <c:strCache>
                <c:ptCount val="1"/>
                <c:pt idx="0">
                  <c:v>28020420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PMP!$I$17:$P$17</c:f>
              <c:numCache>
                <c:formatCode>0.00</c:formatCode>
                <c:ptCount val="8"/>
                <c:pt idx="0">
                  <c:v>73.338430000000002</c:v>
                </c:pt>
                <c:pt idx="1">
                  <c:v>80.194339999999997</c:v>
                </c:pt>
                <c:pt idx="2">
                  <c:v>109.11041</c:v>
                </c:pt>
                <c:pt idx="3">
                  <c:v>131.62374</c:v>
                </c:pt>
                <c:pt idx="4">
                  <c:v>144.01075</c:v>
                </c:pt>
                <c:pt idx="5">
                  <c:v>159.11639</c:v>
                </c:pt>
                <c:pt idx="6">
                  <c:v>179.01682</c:v>
                </c:pt>
                <c:pt idx="7">
                  <c:v>198.46196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829-4188-A55F-FDEDECCDCEB5}"/>
            </c:ext>
          </c:extLst>
        </c:ser>
        <c:ser>
          <c:idx val="16"/>
          <c:order val="16"/>
          <c:tx>
            <c:strRef>
              <c:f>PMP!$A$18</c:f>
              <c:strCache>
                <c:ptCount val="1"/>
                <c:pt idx="0">
                  <c:v>28020440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96000"/>
                </a:schemeClr>
              </a:solidFill>
              <a:ln w="9525">
                <a:solidFill>
                  <a:schemeClr val="accent1">
                    <a:tint val="96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PMP!$I$18:$P$18</c:f>
              <c:numCache>
                <c:formatCode>0.00</c:formatCode>
                <c:ptCount val="8"/>
                <c:pt idx="0">
                  <c:v>92.362260000000006</c:v>
                </c:pt>
                <c:pt idx="1">
                  <c:v>95.931520000000006</c:v>
                </c:pt>
                <c:pt idx="2">
                  <c:v>113.10987</c:v>
                </c:pt>
                <c:pt idx="3">
                  <c:v>129.35049000000001</c:v>
                </c:pt>
                <c:pt idx="4">
                  <c:v>139.52181999999999</c:v>
                </c:pt>
                <c:pt idx="5">
                  <c:v>153.24606</c:v>
                </c:pt>
                <c:pt idx="6">
                  <c:v>173.78238999999999</c:v>
                </c:pt>
                <c:pt idx="7">
                  <c:v>196.88784999999999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29-4188-A55F-FDEDECCDCEB5}"/>
            </c:ext>
          </c:extLst>
        </c:ser>
        <c:ser>
          <c:idx val="17"/>
          <c:order val="17"/>
          <c:tx>
            <c:strRef>
              <c:f>PMP!$A$19</c:f>
              <c:strCache>
                <c:ptCount val="1"/>
                <c:pt idx="0">
                  <c:v>28020460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92000"/>
                </a:schemeClr>
              </a:solidFill>
              <a:ln w="9525">
                <a:solidFill>
                  <a:schemeClr val="accent1">
                    <a:tint val="92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PMP!$I$19:$P$19</c:f>
              <c:numCache>
                <c:formatCode>0.00</c:formatCode>
                <c:ptCount val="8"/>
                <c:pt idx="0">
                  <c:v>99.132540000000006</c:v>
                </c:pt>
                <c:pt idx="1">
                  <c:v>103.72171</c:v>
                </c:pt>
                <c:pt idx="2">
                  <c:v>126.25629000000001</c:v>
                </c:pt>
                <c:pt idx="3">
                  <c:v>148.18235999999999</c:v>
                </c:pt>
                <c:pt idx="4">
                  <c:v>162.19309000000001</c:v>
                </c:pt>
                <c:pt idx="5">
                  <c:v>181.41152</c:v>
                </c:pt>
                <c:pt idx="6">
                  <c:v>210.79031000000001</c:v>
                </c:pt>
                <c:pt idx="7">
                  <c:v>244.65557000000001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829-4188-A55F-FDEDECCDCEB5}"/>
            </c:ext>
          </c:extLst>
        </c:ser>
        <c:ser>
          <c:idx val="18"/>
          <c:order val="18"/>
          <c:tx>
            <c:strRef>
              <c:f>PMP!$A$20</c:f>
              <c:strCache>
                <c:ptCount val="1"/>
                <c:pt idx="0">
                  <c:v>28020600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87000"/>
                </a:schemeClr>
              </a:solidFill>
              <a:ln w="9525">
                <a:solidFill>
                  <a:schemeClr val="accent1">
                    <a:tint val="87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PMP!$I$20:$P$20</c:f>
              <c:numCache>
                <c:formatCode>0.00</c:formatCode>
                <c:ptCount val="8"/>
                <c:pt idx="0">
                  <c:v>64.086770000000001</c:v>
                </c:pt>
                <c:pt idx="1">
                  <c:v>71.696669999999997</c:v>
                </c:pt>
                <c:pt idx="2">
                  <c:v>103.79288</c:v>
                </c:pt>
                <c:pt idx="3">
                  <c:v>128.78218000000001</c:v>
                </c:pt>
                <c:pt idx="4">
                  <c:v>142.53148999999999</c:v>
                </c:pt>
                <c:pt idx="5">
                  <c:v>159.29841999999999</c:v>
                </c:pt>
                <c:pt idx="6">
                  <c:v>181.38746</c:v>
                </c:pt>
                <c:pt idx="7">
                  <c:v>202.97113999999999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829-4188-A55F-FDEDECCDCEB5}"/>
            </c:ext>
          </c:extLst>
        </c:ser>
        <c:ser>
          <c:idx val="19"/>
          <c:order val="19"/>
          <c:tx>
            <c:strRef>
              <c:f>PMP!$A$21</c:f>
              <c:strCache>
                <c:ptCount val="1"/>
                <c:pt idx="0">
                  <c:v>28025070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83000"/>
                </a:schemeClr>
              </a:solidFill>
              <a:ln w="9525">
                <a:solidFill>
                  <a:schemeClr val="accent1">
                    <a:tint val="83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PMP!$I$21:$P$21</c:f>
              <c:numCache>
                <c:formatCode>0.00</c:formatCode>
                <c:ptCount val="8"/>
                <c:pt idx="0">
                  <c:v>95.659899999999993</c:v>
                </c:pt>
                <c:pt idx="1">
                  <c:v>99.880340000000004</c:v>
                </c:pt>
                <c:pt idx="2">
                  <c:v>120.48666</c:v>
                </c:pt>
                <c:pt idx="3">
                  <c:v>140.37380999999999</c:v>
                </c:pt>
                <c:pt idx="4">
                  <c:v>153.00955999999999</c:v>
                </c:pt>
                <c:pt idx="5">
                  <c:v>170.26125999999999</c:v>
                </c:pt>
                <c:pt idx="6">
                  <c:v>196.47421</c:v>
                </c:pt>
                <c:pt idx="7">
                  <c:v>226.48322999999999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829-4188-A55F-FDEDECCDCEB5}"/>
            </c:ext>
          </c:extLst>
        </c:ser>
        <c:ser>
          <c:idx val="20"/>
          <c:order val="20"/>
          <c:tx>
            <c:strRef>
              <c:f>PMP!$A$22</c:f>
              <c:strCache>
                <c:ptCount val="1"/>
                <c:pt idx="0">
                  <c:v>28025080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9000"/>
                </a:schemeClr>
              </a:solidFill>
              <a:ln w="9525">
                <a:solidFill>
                  <a:schemeClr val="accent1">
                    <a:tint val="79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PMP!$I$22:$P$22</c:f>
              <c:numCache>
                <c:formatCode>0.00</c:formatCode>
                <c:ptCount val="8"/>
                <c:pt idx="0">
                  <c:v>72.715680000000006</c:v>
                </c:pt>
                <c:pt idx="1">
                  <c:v>79.924170000000004</c:v>
                </c:pt>
                <c:pt idx="2">
                  <c:v>110.32736</c:v>
                </c:pt>
                <c:pt idx="3">
                  <c:v>133.99851000000001</c:v>
                </c:pt>
                <c:pt idx="4">
                  <c:v>147.02257</c:v>
                </c:pt>
                <c:pt idx="5">
                  <c:v>162.90506999999999</c:v>
                </c:pt>
                <c:pt idx="6">
                  <c:v>183.82894999999999</c:v>
                </c:pt>
                <c:pt idx="7">
                  <c:v>204.27413000000001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829-4188-A55F-FDEDECCDCEB5}"/>
            </c:ext>
          </c:extLst>
        </c:ser>
        <c:ser>
          <c:idx val="21"/>
          <c:order val="21"/>
          <c:tx>
            <c:strRef>
              <c:f>PMP!$A$23</c:f>
              <c:strCache>
                <c:ptCount val="1"/>
                <c:pt idx="0">
                  <c:v>28025090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4000"/>
                </a:schemeClr>
              </a:solidFill>
              <a:ln w="9525">
                <a:solidFill>
                  <a:schemeClr val="accent1">
                    <a:tint val="74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PMP!$I$23:$P$23</c:f>
              <c:numCache>
                <c:formatCode>0.00</c:formatCode>
                <c:ptCount val="8"/>
                <c:pt idx="0">
                  <c:v>81.304249999999996</c:v>
                </c:pt>
                <c:pt idx="1">
                  <c:v>86.807559999999995</c:v>
                </c:pt>
                <c:pt idx="2">
                  <c:v>110.01886</c:v>
                </c:pt>
                <c:pt idx="3">
                  <c:v>128.09057999999999</c:v>
                </c:pt>
                <c:pt idx="4">
                  <c:v>138.03378000000001</c:v>
                </c:pt>
                <c:pt idx="5">
                  <c:v>150.15926999999999</c:v>
                </c:pt>
                <c:pt idx="6">
                  <c:v>166.13359</c:v>
                </c:pt>
                <c:pt idx="7">
                  <c:v>181.74243999999999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829-4188-A55F-FDEDECCDCEB5}"/>
            </c:ext>
          </c:extLst>
        </c:ser>
        <c:ser>
          <c:idx val="22"/>
          <c:order val="22"/>
          <c:tx>
            <c:strRef>
              <c:f>PMP!$A$24</c:f>
              <c:strCache>
                <c:ptCount val="1"/>
                <c:pt idx="0">
                  <c:v>28035010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PMP!$I$24:$P$24</c:f>
              <c:numCache>
                <c:formatCode>0.00</c:formatCode>
                <c:ptCount val="8"/>
                <c:pt idx="0">
                  <c:v>78.788989999999998</c:v>
                </c:pt>
                <c:pt idx="1">
                  <c:v>82.299949999999995</c:v>
                </c:pt>
                <c:pt idx="2">
                  <c:v>99.462100000000007</c:v>
                </c:pt>
                <c:pt idx="3">
                  <c:v>116.05278</c:v>
                </c:pt>
                <c:pt idx="4">
                  <c:v>126.60626999999999</c:v>
                </c:pt>
                <c:pt idx="5">
                  <c:v>141.02874</c:v>
                </c:pt>
                <c:pt idx="6">
                  <c:v>162.96988999999999</c:v>
                </c:pt>
                <c:pt idx="7">
                  <c:v>188.12365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829-4188-A55F-FDEDECCDCEB5}"/>
            </c:ext>
          </c:extLst>
        </c:ser>
        <c:ser>
          <c:idx val="23"/>
          <c:order val="23"/>
          <c:tx>
            <c:strRef>
              <c:f>PMP!$A$25</c:f>
              <c:strCache>
                <c:ptCount val="1"/>
                <c:pt idx="0">
                  <c:v>28035040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PMP!$I$25:$P$25</c:f>
              <c:numCache>
                <c:formatCode>0.00</c:formatCode>
                <c:ptCount val="8"/>
                <c:pt idx="0">
                  <c:v>76.322630000000004</c:v>
                </c:pt>
                <c:pt idx="1">
                  <c:v>81.590199999999996</c:v>
                </c:pt>
                <c:pt idx="2">
                  <c:v>103.80718</c:v>
                </c:pt>
                <c:pt idx="3">
                  <c:v>121.10475</c:v>
                </c:pt>
                <c:pt idx="4">
                  <c:v>130.62201999999999</c:v>
                </c:pt>
                <c:pt idx="5">
                  <c:v>142.22807</c:v>
                </c:pt>
                <c:pt idx="6">
                  <c:v>157.5181</c:v>
                </c:pt>
                <c:pt idx="7">
                  <c:v>172.45831000000001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829-4188-A55F-FDEDECCDCEB5}"/>
            </c:ext>
          </c:extLst>
        </c:ser>
        <c:ser>
          <c:idx val="24"/>
          <c:order val="24"/>
          <c:tx>
            <c:strRef>
              <c:f>PMP!$A$26</c:f>
              <c:strCache>
                <c:ptCount val="1"/>
                <c:pt idx="0">
                  <c:v>28040310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1000"/>
                </a:schemeClr>
              </a:solidFill>
              <a:ln w="9525">
                <a:solidFill>
                  <a:schemeClr val="accent1">
                    <a:tint val="61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PMP!$I$26:$P$26</c:f>
              <c:numCache>
                <c:formatCode>0.00</c:formatCode>
                <c:ptCount val="8"/>
                <c:pt idx="0">
                  <c:v>87.353610000000003</c:v>
                </c:pt>
                <c:pt idx="1">
                  <c:v>90.704669999999993</c:v>
                </c:pt>
                <c:pt idx="2">
                  <c:v>106.82086</c:v>
                </c:pt>
                <c:pt idx="3">
                  <c:v>122.04107999999999</c:v>
                </c:pt>
                <c:pt idx="4">
                  <c:v>131.56626</c:v>
                </c:pt>
                <c:pt idx="5">
                  <c:v>144.41079999999999</c:v>
                </c:pt>
                <c:pt idx="6">
                  <c:v>163.61559</c:v>
                </c:pt>
                <c:pt idx="7">
                  <c:v>185.20355000000001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829-4188-A55F-FDEDECCDCEB5}"/>
            </c:ext>
          </c:extLst>
        </c:ser>
        <c:ser>
          <c:idx val="25"/>
          <c:order val="25"/>
          <c:tx>
            <c:strRef>
              <c:f>PMP!$A$27</c:f>
              <c:strCache>
                <c:ptCount val="1"/>
                <c:pt idx="0">
                  <c:v>28040350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7000"/>
                </a:schemeClr>
              </a:solidFill>
              <a:ln w="9525">
                <a:solidFill>
                  <a:schemeClr val="accent1">
                    <a:tint val="57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PMP!$I$27:$P$27</c:f>
              <c:numCache>
                <c:formatCode>0.00</c:formatCode>
                <c:ptCount val="8"/>
                <c:pt idx="0">
                  <c:v>79.869960000000006</c:v>
                </c:pt>
                <c:pt idx="1">
                  <c:v>88.225650000000002</c:v>
                </c:pt>
                <c:pt idx="2">
                  <c:v>123.46736</c:v>
                </c:pt>
                <c:pt idx="3">
                  <c:v>150.90566000000001</c:v>
                </c:pt>
                <c:pt idx="4">
                  <c:v>166.00243</c:v>
                </c:pt>
                <c:pt idx="5">
                  <c:v>184.41255000000001</c:v>
                </c:pt>
                <c:pt idx="6">
                  <c:v>208.66636</c:v>
                </c:pt>
                <c:pt idx="7">
                  <c:v>232.36528999999999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829-4188-A55F-FDEDECCDCEB5}"/>
            </c:ext>
          </c:extLst>
        </c:ser>
        <c:ser>
          <c:idx val="26"/>
          <c:order val="26"/>
          <c:tx>
            <c:strRef>
              <c:f>PMP!$A$28</c:f>
              <c:strCache>
                <c:ptCount val="1"/>
                <c:pt idx="0">
                  <c:v>Virtual1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2000"/>
                </a:schemeClr>
              </a:solidFill>
              <a:ln w="9525">
                <a:solidFill>
                  <a:schemeClr val="accent1">
                    <a:tint val="52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PMP!$I$28:$P$28</c:f>
              <c:numCache>
                <c:formatCode>0.00</c:formatCode>
                <c:ptCount val="8"/>
                <c:pt idx="0">
                  <c:v>86.058298715291983</c:v>
                </c:pt>
                <c:pt idx="1">
                  <c:v>90.945880999766914</c:v>
                </c:pt>
                <c:pt idx="2">
                  <c:v>115.48827900729611</c:v>
                </c:pt>
                <c:pt idx="3">
                  <c:v>140.17606390329362</c:v>
                </c:pt>
                <c:pt idx="4">
                  <c:v>156.33918656480321</c:v>
                </c:pt>
                <c:pt idx="5">
                  <c:v>178.96936340950296</c:v>
                </c:pt>
                <c:pt idx="6">
                  <c:v>214.51850242261</c:v>
                </c:pt>
                <c:pt idx="7">
                  <c:v>256.80764074344023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829-4188-A55F-FDEDECCDCEB5}"/>
            </c:ext>
          </c:extLst>
        </c:ser>
        <c:ser>
          <c:idx val="27"/>
          <c:order val="27"/>
          <c:tx>
            <c:strRef>
              <c:f>PMP!$A$29</c:f>
              <c:strCache>
                <c:ptCount val="1"/>
                <c:pt idx="0">
                  <c:v>Virtual2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48000"/>
                </a:schemeClr>
              </a:solidFill>
              <a:ln w="9525">
                <a:solidFill>
                  <a:schemeClr val="accent1">
                    <a:tint val="48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PMP!$I$29:$P$29</c:f>
              <c:numCache>
                <c:formatCode>0.00</c:formatCode>
                <c:ptCount val="8"/>
                <c:pt idx="0">
                  <c:v>80.498526501205149</c:v>
                </c:pt>
                <c:pt idx="1">
                  <c:v>86.708210040723273</c:v>
                </c:pt>
                <c:pt idx="2">
                  <c:v>114.07656607145626</c:v>
                </c:pt>
                <c:pt idx="3">
                  <c:v>137.0392404243305</c:v>
                </c:pt>
                <c:pt idx="4">
                  <c:v>150.42736625308919</c:v>
                </c:pt>
                <c:pt idx="5">
                  <c:v>167.5974038019647</c:v>
                </c:pt>
                <c:pt idx="6">
                  <c:v>191.85734201417372</c:v>
                </c:pt>
                <c:pt idx="7">
                  <c:v>217.69706119909932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829-4188-A55F-FDEDECCDCEB5}"/>
            </c:ext>
          </c:extLst>
        </c:ser>
        <c:ser>
          <c:idx val="28"/>
          <c:order val="28"/>
          <c:tx>
            <c:strRef>
              <c:f>PMP!$A$30</c:f>
              <c:strCache>
                <c:ptCount val="1"/>
                <c:pt idx="0">
                  <c:v>Virtual3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44000"/>
                </a:schemeClr>
              </a:solidFill>
              <a:ln w="9525">
                <a:solidFill>
                  <a:schemeClr val="accent1">
                    <a:tint val="44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PMP!$I$30:$P$30</c:f>
              <c:numCache>
                <c:formatCode>0.00</c:formatCode>
                <c:ptCount val="8"/>
                <c:pt idx="0">
                  <c:v>75.881850512013898</c:v>
                </c:pt>
                <c:pt idx="1">
                  <c:v>83.268804817414505</c:v>
                </c:pt>
                <c:pt idx="2">
                  <c:v>114.96174599301611</c:v>
                </c:pt>
                <c:pt idx="3">
                  <c:v>140.39983854554561</c:v>
                </c:pt>
                <c:pt idx="4">
                  <c:v>154.7486976630764</c:v>
                </c:pt>
                <c:pt idx="5">
                  <c:v>172.64583241789057</c:v>
                </c:pt>
                <c:pt idx="6">
                  <c:v>197.00785038570748</c:v>
                </c:pt>
                <c:pt idx="7">
                  <c:v>221.84511098369248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829-4188-A55F-FDEDECCDCEB5}"/>
            </c:ext>
          </c:extLst>
        </c:ser>
        <c:ser>
          <c:idx val="29"/>
          <c:order val="29"/>
          <c:tx>
            <c:strRef>
              <c:f>PMP!$A$31</c:f>
              <c:strCache>
                <c:ptCount val="1"/>
                <c:pt idx="0">
                  <c:v>Virtual4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39000"/>
                </a:schemeClr>
              </a:solidFill>
              <a:ln w="9525">
                <a:solidFill>
                  <a:schemeClr val="accent1">
                    <a:tint val="39000"/>
                  </a:schemeClr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PMP!$I$31:$P$31</c:f>
              <c:numCache>
                <c:formatCode>0.00</c:formatCode>
                <c:ptCount val="8"/>
                <c:pt idx="0">
                  <c:v>75.40066456259386</c:v>
                </c:pt>
                <c:pt idx="1">
                  <c:v>84.208403898805003</c:v>
                </c:pt>
                <c:pt idx="2">
                  <c:v>121.43112498429097</c:v>
                </c:pt>
                <c:pt idx="3">
                  <c:v>150.51735770834577</c:v>
                </c:pt>
                <c:pt idx="4">
                  <c:v>166.56959736156</c:v>
                </c:pt>
                <c:pt idx="5">
                  <c:v>186.20002189412315</c:v>
                </c:pt>
                <c:pt idx="6">
                  <c:v>212.16972883170209</c:v>
                </c:pt>
                <c:pt idx="7">
                  <c:v>237.68772275019427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829-4188-A55F-FDEDECCDC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667584"/>
        <c:axId val="982665088"/>
      </c:scatterChart>
      <c:scatterChart>
        <c:scatterStyle val="smoothMarker"/>
        <c:varyColors val="0"/>
        <c:ser>
          <c:idx val="30"/>
          <c:order val="30"/>
          <c:tx>
            <c:strRef>
              <c:f>PMP!$A$32</c:f>
              <c:strCache>
                <c:ptCount val="1"/>
                <c:pt idx="0">
                  <c:v>Zonal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PMP!$I$1:$P$1</c:f>
              <c:numCache>
                <c:formatCode>General</c:formatCode>
                <c:ptCount val="8"/>
                <c:pt idx="0">
                  <c:v>2</c:v>
                </c:pt>
                <c:pt idx="1">
                  <c:v>2.33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50</c:v>
                </c:pt>
                <c:pt idx="7">
                  <c:v>100</c:v>
                </c:pt>
              </c:numCache>
            </c:numRef>
          </c:xVal>
          <c:yVal>
            <c:numRef>
              <c:f>PMP!$I$32:$P$32</c:f>
              <c:numCache>
                <c:formatCode>0.00</c:formatCode>
                <c:ptCount val="8"/>
                <c:pt idx="0">
                  <c:v>79.32505194487436</c:v>
                </c:pt>
                <c:pt idx="1">
                  <c:v>85.578036121184184</c:v>
                </c:pt>
                <c:pt idx="2">
                  <c:v>113.18988664696967</c:v>
                </c:pt>
                <c:pt idx="3">
                  <c:v>136.44424679295207</c:v>
                </c:pt>
                <c:pt idx="4">
                  <c:v>150.05723444653322</c:v>
                </c:pt>
                <c:pt idx="5">
                  <c:v>167.60769553301549</c:v>
                </c:pt>
                <c:pt idx="6">
                  <c:v>192.6927991501353</c:v>
                </c:pt>
                <c:pt idx="7">
                  <c:v>220.06109953794919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E829-4188-A55F-FDEDECCDC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667584"/>
        <c:axId val="982665088"/>
      </c:scatterChart>
      <c:valAx>
        <c:axId val="982665088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n-US"/>
                  <a:t>P,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982667584"/>
        <c:crosses val="max"/>
        <c:crossBetween val="midCat"/>
      </c:valAx>
      <c:valAx>
        <c:axId val="982667584"/>
        <c:scaling>
          <c:orientation val="minMax"/>
        </c:scaling>
        <c:delete val="0"/>
        <c:axPos val="t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Tr, años</a:t>
                </a:r>
              </a:p>
            </c:rich>
          </c:tx>
          <c:layout>
            <c:manualLayout>
              <c:xMode val="edge"/>
              <c:yMode val="edge"/>
              <c:x val="0.45682972397358357"/>
              <c:y val="5.583744941050829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982665088"/>
        <c:crosses val="max"/>
        <c:crossBetween val="midCat"/>
      </c:valAx>
      <c:spPr>
        <a:noFill/>
        <a:ln w="3175"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2.7661766998226346E-2"/>
          <c:y val="0.70469536571117863"/>
          <c:w val="0.94681647940074887"/>
          <c:h val="0.28179110639615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101830</xdr:colOff>
      <xdr:row>1</xdr:row>
      <xdr:rowOff>37240</xdr:rowOff>
    </xdr:from>
    <xdr:to>
      <xdr:col>24</xdr:col>
      <xdr:colOff>121919</xdr:colOff>
      <xdr:row>30</xdr:row>
      <xdr:rowOff>153093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24FF61-F393-47E4-947B-4F12C476B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58E677B1-9F89-4873-9E79-453B848E3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4D72-0CD5-497C-9D5D-D0A41A6FFBF5}">
  <dimension ref="A1:AB40"/>
  <sheetViews>
    <sheetView showGridLines="0" tabSelected="1" zoomScale="115" zoomScaleNormal="115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5.3984375" defaultRowHeight="16.5" x14ac:dyDescent="0.45"/>
  <cols>
    <col min="1" max="1" width="7" style="8" bestFit="1" customWidth="1"/>
    <col min="2" max="2" width="7.1328125" style="8" bestFit="1" customWidth="1"/>
    <col min="3" max="7" width="6.86328125" style="8" bestFit="1" customWidth="1"/>
    <col min="8" max="8" width="7.1328125" style="8" bestFit="1" customWidth="1"/>
    <col min="9" max="9" width="6.86328125" style="8" bestFit="1" customWidth="1"/>
    <col min="10" max="10" width="6.73046875" style="8" bestFit="1" customWidth="1"/>
    <col min="11" max="11" width="7.1328125" style="8" bestFit="1" customWidth="1"/>
    <col min="12" max="12" width="6.86328125" style="8" bestFit="1" customWidth="1"/>
    <col min="13" max="13" width="7.1328125" style="8" bestFit="1" customWidth="1"/>
    <col min="14" max="14" width="6.86328125" style="8" bestFit="1" customWidth="1"/>
    <col min="15" max="15" width="7.265625" style="8" bestFit="1" customWidth="1"/>
    <col min="16" max="19" width="6.86328125" style="8" bestFit="1" customWidth="1"/>
    <col min="20" max="20" width="6.73046875" style="8" bestFit="1" customWidth="1"/>
    <col min="21" max="21" width="6.86328125" style="8" bestFit="1" customWidth="1"/>
    <col min="22" max="22" width="6.73046875" style="8" bestFit="1" customWidth="1"/>
    <col min="23" max="26" width="6.86328125" style="8" bestFit="1" customWidth="1"/>
    <col min="27" max="27" width="7.1328125" style="8" bestFit="1" customWidth="1"/>
    <col min="28" max="28" width="6.86328125" style="8" bestFit="1" customWidth="1"/>
    <col min="29" max="16384" width="5.3984375" style="8"/>
  </cols>
  <sheetData>
    <row r="1" spans="1:28" s="7" customFormat="1" ht="79.5" customHeight="1" x14ac:dyDescent="0.45">
      <c r="A1" s="6" t="s">
        <v>0</v>
      </c>
      <c r="B1" s="6">
        <v>25020230</v>
      </c>
      <c r="C1" s="6">
        <v>25020240</v>
      </c>
      <c r="D1" s="6">
        <v>25020250</v>
      </c>
      <c r="E1" s="6">
        <v>25020260</v>
      </c>
      <c r="F1" s="6">
        <v>25020280</v>
      </c>
      <c r="G1" s="6">
        <v>25020690</v>
      </c>
      <c r="H1" s="6">
        <v>25020920</v>
      </c>
      <c r="I1" s="6">
        <v>25021240</v>
      </c>
      <c r="J1" s="6">
        <v>25021650</v>
      </c>
      <c r="K1" s="6">
        <v>25025250</v>
      </c>
      <c r="L1" s="6">
        <v>28010070</v>
      </c>
      <c r="M1" s="6">
        <v>28020080</v>
      </c>
      <c r="N1" s="6">
        <v>28020150</v>
      </c>
      <c r="O1" s="6">
        <v>28020230</v>
      </c>
      <c r="P1" s="6">
        <v>28020310</v>
      </c>
      <c r="Q1" s="6">
        <v>28020420</v>
      </c>
      <c r="R1" s="6">
        <v>28020440</v>
      </c>
      <c r="S1" s="6">
        <v>28020460</v>
      </c>
      <c r="T1" s="6">
        <v>28020600</v>
      </c>
      <c r="U1" s="6">
        <v>28025070</v>
      </c>
      <c r="V1" s="6">
        <v>28025080</v>
      </c>
      <c r="W1" s="6">
        <v>28025090</v>
      </c>
      <c r="X1" s="6">
        <v>28035010</v>
      </c>
      <c r="Y1" s="6">
        <v>28035040</v>
      </c>
      <c r="Z1" s="6">
        <v>28040310</v>
      </c>
      <c r="AA1" s="6">
        <v>28040350</v>
      </c>
      <c r="AB1" s="6" t="s">
        <v>1</v>
      </c>
    </row>
    <row r="2" spans="1:28" x14ac:dyDescent="0.45">
      <c r="A2" s="8">
        <v>1980</v>
      </c>
      <c r="B2" s="9">
        <v>108</v>
      </c>
      <c r="C2" s="9">
        <v>65</v>
      </c>
      <c r="D2" s="9">
        <v>129</v>
      </c>
      <c r="E2" s="9">
        <v>105</v>
      </c>
      <c r="F2" s="9">
        <v>130</v>
      </c>
      <c r="G2" s="9">
        <v>135</v>
      </c>
      <c r="H2" s="9">
        <v>248</v>
      </c>
      <c r="I2" s="9">
        <v>92</v>
      </c>
      <c r="J2" s="9"/>
      <c r="K2" s="9">
        <v>100.8</v>
      </c>
      <c r="L2" s="9"/>
      <c r="M2" s="9">
        <v>90</v>
      </c>
      <c r="N2" s="9"/>
      <c r="O2" s="9">
        <v>127</v>
      </c>
      <c r="P2" s="9">
        <v>71</v>
      </c>
      <c r="Q2" s="9">
        <v>118</v>
      </c>
      <c r="R2" s="9">
        <v>126</v>
      </c>
      <c r="S2" s="9">
        <v>90</v>
      </c>
      <c r="T2" s="9">
        <v>14.019151846785199</v>
      </c>
      <c r="U2" s="9">
        <v>134.19999999999999</v>
      </c>
      <c r="V2" s="9">
        <v>120.7</v>
      </c>
      <c r="W2" s="9">
        <v>103.6</v>
      </c>
      <c r="X2" s="9">
        <v>71</v>
      </c>
      <c r="Y2" s="9">
        <v>72.400000000000006</v>
      </c>
      <c r="Z2" s="9"/>
      <c r="AA2" s="9"/>
      <c r="AB2" s="9">
        <f>ROUND(AVERAGE(B2:AA2),3)</f>
        <v>107.17700000000001</v>
      </c>
    </row>
    <row r="3" spans="1:28" x14ac:dyDescent="0.45">
      <c r="A3" s="8">
        <v>1981</v>
      </c>
      <c r="B3" s="9">
        <v>150</v>
      </c>
      <c r="C3" s="9">
        <v>110</v>
      </c>
      <c r="D3" s="9">
        <v>122</v>
      </c>
      <c r="E3" s="9">
        <v>100</v>
      </c>
      <c r="F3" s="9">
        <v>78</v>
      </c>
      <c r="G3" s="9">
        <v>117</v>
      </c>
      <c r="H3" s="9">
        <v>126</v>
      </c>
      <c r="I3" s="9">
        <v>142</v>
      </c>
      <c r="J3" s="9"/>
      <c r="K3" s="9">
        <v>143</v>
      </c>
      <c r="L3" s="9"/>
      <c r="M3" s="9">
        <v>90</v>
      </c>
      <c r="N3" s="9"/>
      <c r="O3" s="9">
        <v>137</v>
      </c>
      <c r="P3" s="9">
        <v>111</v>
      </c>
      <c r="Q3" s="9">
        <v>110</v>
      </c>
      <c r="R3" s="9">
        <v>106</v>
      </c>
      <c r="S3" s="9">
        <v>110</v>
      </c>
      <c r="T3" s="9">
        <v>13.980848153214801</v>
      </c>
      <c r="U3" s="9">
        <v>96</v>
      </c>
      <c r="V3" s="9">
        <v>111.5</v>
      </c>
      <c r="W3" s="9">
        <v>87.7</v>
      </c>
      <c r="X3" s="9">
        <v>110.7</v>
      </c>
      <c r="Y3" s="9">
        <v>96</v>
      </c>
      <c r="Z3" s="9">
        <v>136</v>
      </c>
      <c r="AA3" s="9">
        <v>99</v>
      </c>
      <c r="AB3" s="9">
        <f t="shared" ref="AB3:AB40" si="0">ROUND(AVERAGE(B3:AA3),3)</f>
        <v>108.821</v>
      </c>
    </row>
    <row r="4" spans="1:28" x14ac:dyDescent="0.45">
      <c r="A4" s="8">
        <v>1982</v>
      </c>
      <c r="B4" s="9">
        <v>148</v>
      </c>
      <c r="C4" s="9">
        <v>67</v>
      </c>
      <c r="D4" s="9">
        <v>7.3737373737373497</v>
      </c>
      <c r="E4" s="9">
        <v>80</v>
      </c>
      <c r="F4" s="9">
        <v>150</v>
      </c>
      <c r="G4" s="9">
        <v>72</v>
      </c>
      <c r="H4" s="9">
        <v>125</v>
      </c>
      <c r="I4" s="9">
        <v>100</v>
      </c>
      <c r="J4" s="9"/>
      <c r="K4" s="9">
        <v>80.2</v>
      </c>
      <c r="L4" s="9"/>
      <c r="M4" s="9">
        <v>60</v>
      </c>
      <c r="N4" s="9"/>
      <c r="O4" s="9">
        <v>110</v>
      </c>
      <c r="P4" s="9">
        <v>62</v>
      </c>
      <c r="Q4" s="9">
        <v>70</v>
      </c>
      <c r="R4" s="9">
        <v>84</v>
      </c>
      <c r="S4" s="9">
        <v>120</v>
      </c>
      <c r="T4" s="9">
        <v>118</v>
      </c>
      <c r="U4" s="9">
        <v>87.3</v>
      </c>
      <c r="V4" s="9">
        <v>104.9</v>
      </c>
      <c r="W4" s="9">
        <v>64</v>
      </c>
      <c r="X4" s="9">
        <v>90</v>
      </c>
      <c r="Y4" s="9">
        <v>105.5</v>
      </c>
      <c r="Z4" s="9">
        <v>94</v>
      </c>
      <c r="AA4" s="9">
        <v>112</v>
      </c>
      <c r="AB4" s="9">
        <f t="shared" si="0"/>
        <v>91.795000000000002</v>
      </c>
    </row>
    <row r="5" spans="1:28" x14ac:dyDescent="0.45">
      <c r="A5" s="8">
        <v>1983</v>
      </c>
      <c r="B5" s="9">
        <v>120</v>
      </c>
      <c r="C5" s="9">
        <v>78</v>
      </c>
      <c r="D5" s="9">
        <v>134</v>
      </c>
      <c r="E5" s="9">
        <v>138</v>
      </c>
      <c r="F5" s="9">
        <v>103</v>
      </c>
      <c r="G5" s="9">
        <v>96</v>
      </c>
      <c r="H5" s="9">
        <v>75</v>
      </c>
      <c r="I5" s="9">
        <v>153</v>
      </c>
      <c r="J5" s="9"/>
      <c r="K5" s="9">
        <v>145.30000000000001</v>
      </c>
      <c r="L5" s="9"/>
      <c r="M5" s="9">
        <v>106</v>
      </c>
      <c r="N5" s="9"/>
      <c r="O5" s="9">
        <v>114.7</v>
      </c>
      <c r="P5" s="9">
        <v>77</v>
      </c>
      <c r="Q5" s="9">
        <v>110</v>
      </c>
      <c r="R5" s="9">
        <v>100.5</v>
      </c>
      <c r="S5" s="9">
        <v>100</v>
      </c>
      <c r="T5" s="9">
        <v>80</v>
      </c>
      <c r="U5" s="9">
        <v>140.80000000000001</v>
      </c>
      <c r="V5" s="9">
        <v>90.4</v>
      </c>
      <c r="W5" s="9">
        <v>133.4</v>
      </c>
      <c r="X5" s="9">
        <v>98.2</v>
      </c>
      <c r="Y5" s="9">
        <v>56</v>
      </c>
      <c r="Z5" s="9">
        <v>109</v>
      </c>
      <c r="AA5" s="9">
        <v>115.5</v>
      </c>
      <c r="AB5" s="9">
        <f t="shared" si="0"/>
        <v>107.557</v>
      </c>
    </row>
    <row r="6" spans="1:28" x14ac:dyDescent="0.45">
      <c r="A6" s="8">
        <v>1984</v>
      </c>
      <c r="B6" s="9">
        <v>155</v>
      </c>
      <c r="C6" s="9">
        <v>61</v>
      </c>
      <c r="D6" s="9">
        <v>106</v>
      </c>
      <c r="E6" s="9">
        <v>145</v>
      </c>
      <c r="F6" s="9">
        <v>148</v>
      </c>
      <c r="G6" s="9">
        <v>116</v>
      </c>
      <c r="H6" s="9">
        <v>55.5</v>
      </c>
      <c r="I6" s="9">
        <v>120</v>
      </c>
      <c r="J6" s="9">
        <v>52.4</v>
      </c>
      <c r="K6" s="9">
        <v>111.6</v>
      </c>
      <c r="L6" s="9"/>
      <c r="M6" s="9">
        <v>230.2</v>
      </c>
      <c r="N6" s="9"/>
      <c r="O6" s="9">
        <v>80.2</v>
      </c>
      <c r="P6" s="9">
        <v>89</v>
      </c>
      <c r="Q6" s="9">
        <v>60</v>
      </c>
      <c r="R6" s="9">
        <v>97.6</v>
      </c>
      <c r="S6" s="9">
        <v>95</v>
      </c>
      <c r="T6" s="9">
        <v>67</v>
      </c>
      <c r="U6" s="9">
        <v>100.4</v>
      </c>
      <c r="V6" s="9">
        <v>118.5</v>
      </c>
      <c r="W6" s="9">
        <v>116.8</v>
      </c>
      <c r="X6" s="9"/>
      <c r="Y6" s="9">
        <v>90.1</v>
      </c>
      <c r="Z6" s="9">
        <v>95</v>
      </c>
      <c r="AA6" s="9">
        <v>84</v>
      </c>
      <c r="AB6" s="9">
        <f t="shared" si="0"/>
        <v>104.1</v>
      </c>
    </row>
    <row r="7" spans="1:28" x14ac:dyDescent="0.45">
      <c r="A7" s="8">
        <v>1985</v>
      </c>
      <c r="B7" s="9">
        <v>230</v>
      </c>
      <c r="C7" s="9">
        <v>36</v>
      </c>
      <c r="D7" s="9">
        <v>77</v>
      </c>
      <c r="E7" s="9">
        <v>110</v>
      </c>
      <c r="F7" s="9">
        <v>98</v>
      </c>
      <c r="G7" s="9">
        <v>70</v>
      </c>
      <c r="H7" s="9">
        <v>115</v>
      </c>
      <c r="I7" s="9">
        <v>98</v>
      </c>
      <c r="J7" s="9">
        <v>126.5</v>
      </c>
      <c r="K7" s="9">
        <v>108</v>
      </c>
      <c r="L7" s="9"/>
      <c r="M7" s="9">
        <v>162</v>
      </c>
      <c r="N7" s="9"/>
      <c r="O7" s="9">
        <v>127</v>
      </c>
      <c r="P7" s="9">
        <v>72</v>
      </c>
      <c r="Q7" s="9">
        <v>130</v>
      </c>
      <c r="R7" s="9">
        <v>118.6</v>
      </c>
      <c r="S7" s="9">
        <v>91</v>
      </c>
      <c r="T7" s="9">
        <v>97</v>
      </c>
      <c r="U7" s="9">
        <v>100.2</v>
      </c>
      <c r="V7" s="9">
        <v>130.30000000000001</v>
      </c>
      <c r="W7" s="9">
        <v>123.4</v>
      </c>
      <c r="X7" s="9">
        <v>78</v>
      </c>
      <c r="Y7" s="9">
        <v>114.4</v>
      </c>
      <c r="Z7" s="9">
        <v>92</v>
      </c>
      <c r="AA7" s="9">
        <v>99.8</v>
      </c>
      <c r="AB7" s="9">
        <f t="shared" si="0"/>
        <v>108.508</v>
      </c>
    </row>
    <row r="8" spans="1:28" x14ac:dyDescent="0.45">
      <c r="A8" s="8">
        <v>1986</v>
      </c>
      <c r="B8" s="9">
        <v>136</v>
      </c>
      <c r="C8" s="9">
        <v>85</v>
      </c>
      <c r="D8" s="9">
        <v>91</v>
      </c>
      <c r="E8" s="9">
        <v>52</v>
      </c>
      <c r="F8" s="9">
        <v>55</v>
      </c>
      <c r="G8" s="9">
        <v>53</v>
      </c>
      <c r="H8" s="9">
        <v>120</v>
      </c>
      <c r="I8" s="9">
        <v>58</v>
      </c>
      <c r="J8" s="9">
        <v>86.9</v>
      </c>
      <c r="K8" s="9">
        <v>72.5</v>
      </c>
      <c r="L8" s="9">
        <v>43</v>
      </c>
      <c r="M8" s="9">
        <v>80</v>
      </c>
      <c r="N8" s="9">
        <v>56</v>
      </c>
      <c r="O8" s="9">
        <v>135.6</v>
      </c>
      <c r="P8" s="9">
        <v>90</v>
      </c>
      <c r="Q8" s="9">
        <v>102</v>
      </c>
      <c r="R8" s="9">
        <v>114</v>
      </c>
      <c r="S8" s="9">
        <v>135</v>
      </c>
      <c r="T8" s="9">
        <v>98</v>
      </c>
      <c r="U8" s="9">
        <v>194.4</v>
      </c>
      <c r="V8" s="9">
        <v>81.3</v>
      </c>
      <c r="W8" s="9">
        <v>80.8</v>
      </c>
      <c r="X8" s="9">
        <v>109</v>
      </c>
      <c r="Y8" s="9">
        <v>103.7</v>
      </c>
      <c r="Z8" s="9">
        <v>87</v>
      </c>
      <c r="AA8" s="9">
        <v>75.2</v>
      </c>
      <c r="AB8" s="9">
        <f t="shared" si="0"/>
        <v>92.091999999999999</v>
      </c>
    </row>
    <row r="9" spans="1:28" x14ac:dyDescent="0.45">
      <c r="A9" s="8">
        <v>1987</v>
      </c>
      <c r="B9" s="9">
        <v>46</v>
      </c>
      <c r="C9" s="9">
        <v>88</v>
      </c>
      <c r="D9" s="9">
        <v>134</v>
      </c>
      <c r="E9" s="9">
        <v>170</v>
      </c>
      <c r="F9" s="9">
        <v>90</v>
      </c>
      <c r="G9" s="9">
        <v>15</v>
      </c>
      <c r="H9" s="9">
        <v>115</v>
      </c>
      <c r="I9" s="9">
        <v>95</v>
      </c>
      <c r="J9" s="9">
        <v>158.9</v>
      </c>
      <c r="K9" s="9">
        <v>125.4</v>
      </c>
      <c r="L9" s="9">
        <v>111</v>
      </c>
      <c r="M9" s="9"/>
      <c r="N9" s="9">
        <v>70</v>
      </c>
      <c r="O9" s="9">
        <v>141.69999999999999</v>
      </c>
      <c r="P9" s="9">
        <v>90</v>
      </c>
      <c r="Q9" s="9"/>
      <c r="R9" s="9">
        <v>123.2</v>
      </c>
      <c r="S9" s="9">
        <v>120</v>
      </c>
      <c r="T9" s="9">
        <v>93</v>
      </c>
      <c r="U9" s="9">
        <v>106.5</v>
      </c>
      <c r="V9" s="9">
        <v>90.1</v>
      </c>
      <c r="W9" s="9">
        <v>124.6</v>
      </c>
      <c r="X9" s="9">
        <v>76</v>
      </c>
      <c r="Y9" s="9">
        <v>91.1</v>
      </c>
      <c r="Z9" s="9">
        <v>72</v>
      </c>
      <c r="AA9" s="9">
        <v>122.6</v>
      </c>
      <c r="AB9" s="9">
        <f t="shared" si="0"/>
        <v>102.879</v>
      </c>
    </row>
    <row r="10" spans="1:28" x14ac:dyDescent="0.45">
      <c r="A10" s="8">
        <v>1988</v>
      </c>
      <c r="B10" s="9">
        <v>95</v>
      </c>
      <c r="C10" s="9">
        <v>150</v>
      </c>
      <c r="D10" s="9">
        <v>128</v>
      </c>
      <c r="E10" s="9">
        <v>105</v>
      </c>
      <c r="F10" s="9">
        <v>88</v>
      </c>
      <c r="G10" s="9">
        <v>125</v>
      </c>
      <c r="H10" s="9">
        <v>60</v>
      </c>
      <c r="I10" s="9">
        <v>123</v>
      </c>
      <c r="J10" s="9">
        <v>167.1</v>
      </c>
      <c r="K10" s="9">
        <v>100.3</v>
      </c>
      <c r="L10" s="9">
        <v>110</v>
      </c>
      <c r="M10" s="9">
        <v>75</v>
      </c>
      <c r="N10" s="9">
        <v>90</v>
      </c>
      <c r="O10" s="9">
        <v>86.5</v>
      </c>
      <c r="P10" s="9">
        <v>85</v>
      </c>
      <c r="Q10" s="9">
        <v>100</v>
      </c>
      <c r="R10" s="9">
        <v>134</v>
      </c>
      <c r="S10" s="9">
        <v>135</v>
      </c>
      <c r="T10" s="9">
        <v>82</v>
      </c>
      <c r="U10" s="9">
        <v>85.6</v>
      </c>
      <c r="V10" s="9">
        <v>146.69999999999999</v>
      </c>
      <c r="W10" s="9">
        <v>91.8</v>
      </c>
      <c r="X10" s="9">
        <v>94</v>
      </c>
      <c r="Y10" s="9">
        <v>135</v>
      </c>
      <c r="Z10" s="9">
        <v>160</v>
      </c>
      <c r="AA10" s="9">
        <v>89.5</v>
      </c>
      <c r="AB10" s="9">
        <f t="shared" si="0"/>
        <v>109.288</v>
      </c>
    </row>
    <row r="11" spans="1:28" x14ac:dyDescent="0.45">
      <c r="A11" s="8">
        <v>1989</v>
      </c>
      <c r="B11" s="9">
        <v>85</v>
      </c>
      <c r="C11" s="9">
        <v>140</v>
      </c>
      <c r="D11" s="9">
        <v>65</v>
      </c>
      <c r="E11" s="9">
        <v>115</v>
      </c>
      <c r="F11" s="9">
        <v>77</v>
      </c>
      <c r="G11" s="9">
        <v>145</v>
      </c>
      <c r="H11" s="9">
        <v>100</v>
      </c>
      <c r="I11" s="9">
        <v>100</v>
      </c>
      <c r="J11" s="9">
        <v>70</v>
      </c>
      <c r="K11" s="9">
        <v>84.4</v>
      </c>
      <c r="L11" s="9">
        <v>70.599999999999994</v>
      </c>
      <c r="M11" s="9">
        <v>70</v>
      </c>
      <c r="N11" s="9">
        <v>87</v>
      </c>
      <c r="O11" s="9">
        <v>67</v>
      </c>
      <c r="P11" s="9">
        <v>90</v>
      </c>
      <c r="Q11" s="9">
        <v>70</v>
      </c>
      <c r="R11" s="9">
        <v>83.7</v>
      </c>
      <c r="S11" s="9">
        <v>50</v>
      </c>
      <c r="T11" s="9">
        <v>93</v>
      </c>
      <c r="U11" s="9">
        <v>111.4</v>
      </c>
      <c r="V11" s="9">
        <v>70.3</v>
      </c>
      <c r="W11" s="9">
        <v>115.2</v>
      </c>
      <c r="X11" s="9">
        <v>66</v>
      </c>
      <c r="Y11" s="9">
        <v>90</v>
      </c>
      <c r="Z11" s="9">
        <v>82</v>
      </c>
      <c r="AA11" s="9">
        <v>73.5</v>
      </c>
      <c r="AB11" s="9">
        <f t="shared" si="0"/>
        <v>87.35</v>
      </c>
    </row>
    <row r="12" spans="1:28" x14ac:dyDescent="0.45">
      <c r="A12" s="8">
        <v>1990</v>
      </c>
      <c r="B12" s="9">
        <v>89</v>
      </c>
      <c r="C12" s="9">
        <v>109</v>
      </c>
      <c r="D12" s="9">
        <v>120</v>
      </c>
      <c r="E12" s="9">
        <v>63</v>
      </c>
      <c r="F12" s="9">
        <v>92.6</v>
      </c>
      <c r="G12" s="9">
        <v>80</v>
      </c>
      <c r="H12" s="9">
        <v>60</v>
      </c>
      <c r="I12" s="9">
        <v>105</v>
      </c>
      <c r="J12" s="9">
        <v>90.6</v>
      </c>
      <c r="K12" s="9">
        <v>90.6</v>
      </c>
      <c r="L12" s="9">
        <v>69.900000000000006</v>
      </c>
      <c r="M12" s="9">
        <v>70</v>
      </c>
      <c r="N12" s="9">
        <v>65</v>
      </c>
      <c r="O12" s="9">
        <v>34.299999999999997</v>
      </c>
      <c r="P12" s="9">
        <v>130</v>
      </c>
      <c r="Q12" s="9">
        <v>60</v>
      </c>
      <c r="R12" s="9">
        <v>86.4</v>
      </c>
      <c r="S12" s="9">
        <v>96</v>
      </c>
      <c r="T12" s="9">
        <v>113</v>
      </c>
      <c r="U12" s="9">
        <v>88.2</v>
      </c>
      <c r="V12" s="9">
        <v>72.2</v>
      </c>
      <c r="W12" s="9">
        <v>122</v>
      </c>
      <c r="X12" s="9">
        <v>123</v>
      </c>
      <c r="Y12" s="9">
        <v>84</v>
      </c>
      <c r="Z12" s="9">
        <v>95</v>
      </c>
      <c r="AA12" s="9">
        <v>85.3</v>
      </c>
      <c r="AB12" s="9">
        <f t="shared" si="0"/>
        <v>88.234999999999999</v>
      </c>
    </row>
    <row r="13" spans="1:28" x14ac:dyDescent="0.45">
      <c r="A13" s="8">
        <v>1991</v>
      </c>
      <c r="B13" s="9">
        <v>65</v>
      </c>
      <c r="C13" s="9">
        <v>90</v>
      </c>
      <c r="D13" s="9">
        <v>100</v>
      </c>
      <c r="E13" s="9">
        <v>130</v>
      </c>
      <c r="F13" s="9">
        <v>120</v>
      </c>
      <c r="G13" s="9">
        <v>80</v>
      </c>
      <c r="H13" s="9">
        <v>50</v>
      </c>
      <c r="I13" s="9">
        <v>95</v>
      </c>
      <c r="J13" s="9">
        <v>150.6</v>
      </c>
      <c r="K13" s="9">
        <v>125.5</v>
      </c>
      <c r="L13" s="9">
        <v>60.5</v>
      </c>
      <c r="M13" s="9">
        <v>70</v>
      </c>
      <c r="N13" s="9">
        <v>65</v>
      </c>
      <c r="O13" s="9">
        <v>94</v>
      </c>
      <c r="P13" s="9">
        <v>90</v>
      </c>
      <c r="Q13" s="9">
        <v>58</v>
      </c>
      <c r="R13" s="9">
        <v>74.5</v>
      </c>
      <c r="S13" s="9">
        <v>70</v>
      </c>
      <c r="T13" s="9">
        <v>112.1</v>
      </c>
      <c r="U13" s="9">
        <v>64.900000000000006</v>
      </c>
      <c r="V13" s="9">
        <v>71.599999999999994</v>
      </c>
      <c r="W13" s="9">
        <v>75</v>
      </c>
      <c r="X13" s="9">
        <v>56</v>
      </c>
      <c r="Y13" s="9">
        <v>84</v>
      </c>
      <c r="Z13" s="9">
        <v>90</v>
      </c>
      <c r="AA13" s="9">
        <v>107.5</v>
      </c>
      <c r="AB13" s="9">
        <f t="shared" si="0"/>
        <v>86.507999999999996</v>
      </c>
    </row>
    <row r="14" spans="1:28" x14ac:dyDescent="0.45">
      <c r="A14" s="8">
        <v>1992</v>
      </c>
      <c r="B14" s="9">
        <v>62</v>
      </c>
      <c r="C14" s="9">
        <v>100</v>
      </c>
      <c r="D14" s="9">
        <v>122</v>
      </c>
      <c r="E14" s="9">
        <v>147</v>
      </c>
      <c r="F14" s="9">
        <v>105</v>
      </c>
      <c r="G14" s="9">
        <v>90</v>
      </c>
      <c r="H14" s="9">
        <v>60</v>
      </c>
      <c r="I14" s="9">
        <v>100</v>
      </c>
      <c r="J14" s="9">
        <v>170</v>
      </c>
      <c r="K14" s="9">
        <v>98.1</v>
      </c>
      <c r="L14" s="9">
        <v>70.400000000000006</v>
      </c>
      <c r="M14" s="9">
        <v>77</v>
      </c>
      <c r="N14" s="9">
        <v>135</v>
      </c>
      <c r="O14" s="9">
        <v>91</v>
      </c>
      <c r="P14" s="9">
        <v>90</v>
      </c>
      <c r="Q14" s="9">
        <v>125</v>
      </c>
      <c r="R14" s="9">
        <v>80.5</v>
      </c>
      <c r="S14" s="9">
        <v>85</v>
      </c>
      <c r="T14" s="9">
        <v>75</v>
      </c>
      <c r="U14" s="9">
        <v>110.5</v>
      </c>
      <c r="V14" s="9">
        <v>117</v>
      </c>
      <c r="W14" s="9">
        <v>102</v>
      </c>
      <c r="X14" s="9">
        <v>70</v>
      </c>
      <c r="Y14" s="9">
        <v>83</v>
      </c>
      <c r="Z14" s="9">
        <v>74</v>
      </c>
      <c r="AA14" s="9">
        <v>130</v>
      </c>
      <c r="AB14" s="9">
        <f t="shared" si="0"/>
        <v>98.826999999999998</v>
      </c>
    </row>
    <row r="15" spans="1:28" x14ac:dyDescent="0.45">
      <c r="A15" s="8">
        <v>1993</v>
      </c>
      <c r="B15" s="9">
        <v>90</v>
      </c>
      <c r="C15" s="9">
        <v>91</v>
      </c>
      <c r="D15" s="9">
        <v>140</v>
      </c>
      <c r="E15" s="9">
        <v>78</v>
      </c>
      <c r="F15" s="9">
        <v>120</v>
      </c>
      <c r="G15" s="9">
        <v>125</v>
      </c>
      <c r="H15" s="9">
        <v>120</v>
      </c>
      <c r="I15" s="9">
        <v>117</v>
      </c>
      <c r="J15" s="9">
        <v>85</v>
      </c>
      <c r="K15" s="9">
        <v>209.2</v>
      </c>
      <c r="L15" s="9">
        <v>70.099999999999994</v>
      </c>
      <c r="M15" s="9">
        <v>112</v>
      </c>
      <c r="N15" s="9">
        <v>108</v>
      </c>
      <c r="O15" s="9">
        <v>90</v>
      </c>
      <c r="P15" s="9">
        <v>101</v>
      </c>
      <c r="Q15" s="9">
        <v>130</v>
      </c>
      <c r="R15" s="9">
        <v>86.5</v>
      </c>
      <c r="S15" s="9">
        <v>96</v>
      </c>
      <c r="T15" s="9">
        <v>93</v>
      </c>
      <c r="U15" s="9">
        <v>93.9</v>
      </c>
      <c r="V15" s="9">
        <v>70</v>
      </c>
      <c r="W15" s="9">
        <v>90</v>
      </c>
      <c r="X15" s="9">
        <v>74</v>
      </c>
      <c r="Y15" s="9">
        <v>83</v>
      </c>
      <c r="Z15" s="9">
        <v>105</v>
      </c>
      <c r="AA15" s="9">
        <v>117.3</v>
      </c>
      <c r="AB15" s="9">
        <f t="shared" si="0"/>
        <v>103.654</v>
      </c>
    </row>
    <row r="16" spans="1:28" x14ac:dyDescent="0.45">
      <c r="A16" s="8">
        <v>1994</v>
      </c>
      <c r="B16" s="9">
        <v>135</v>
      </c>
      <c r="C16" s="9">
        <v>120</v>
      </c>
      <c r="D16" s="9">
        <v>98</v>
      </c>
      <c r="E16" s="9">
        <v>84</v>
      </c>
      <c r="F16" s="9">
        <v>100</v>
      </c>
      <c r="G16" s="9">
        <v>80</v>
      </c>
      <c r="H16" s="9">
        <v>90</v>
      </c>
      <c r="I16" s="9">
        <v>63</v>
      </c>
      <c r="J16" s="9">
        <v>97</v>
      </c>
      <c r="K16" s="9">
        <v>93.1</v>
      </c>
      <c r="L16" s="9">
        <v>90.7</v>
      </c>
      <c r="M16" s="9">
        <v>80</v>
      </c>
      <c r="N16" s="9">
        <v>89</v>
      </c>
      <c r="O16" s="9">
        <v>90</v>
      </c>
      <c r="P16" s="9">
        <v>180</v>
      </c>
      <c r="Q16" s="9">
        <v>100</v>
      </c>
      <c r="R16" s="9">
        <v>65</v>
      </c>
      <c r="S16" s="9">
        <v>140</v>
      </c>
      <c r="T16" s="9">
        <v>100.3</v>
      </c>
      <c r="U16" s="9">
        <v>79.2</v>
      </c>
      <c r="V16" s="9">
        <v>112.5</v>
      </c>
      <c r="W16" s="9">
        <v>85</v>
      </c>
      <c r="X16" s="9">
        <v>54</v>
      </c>
      <c r="Y16" s="9"/>
      <c r="Z16" s="9">
        <v>95</v>
      </c>
      <c r="AA16" s="9">
        <v>95</v>
      </c>
      <c r="AB16" s="9">
        <f t="shared" si="0"/>
        <v>96.632000000000005</v>
      </c>
    </row>
    <row r="17" spans="1:28" x14ac:dyDescent="0.45">
      <c r="A17" s="8">
        <v>1995</v>
      </c>
      <c r="B17" s="9">
        <v>90</v>
      </c>
      <c r="C17" s="9">
        <v>82</v>
      </c>
      <c r="D17" s="9">
        <v>125</v>
      </c>
      <c r="E17" s="9">
        <v>98</v>
      </c>
      <c r="F17" s="9">
        <v>70</v>
      </c>
      <c r="G17" s="9">
        <v>90</v>
      </c>
      <c r="H17" s="9">
        <v>80</v>
      </c>
      <c r="I17" s="9">
        <v>100</v>
      </c>
      <c r="J17" s="9">
        <v>85</v>
      </c>
      <c r="K17" s="9">
        <v>190</v>
      </c>
      <c r="L17" s="9">
        <v>100.1</v>
      </c>
      <c r="M17" s="9">
        <v>115</v>
      </c>
      <c r="N17" s="9">
        <v>96</v>
      </c>
      <c r="O17" s="9">
        <v>200</v>
      </c>
      <c r="P17" s="9">
        <v>90</v>
      </c>
      <c r="Q17" s="9">
        <v>83</v>
      </c>
      <c r="R17" s="9">
        <v>98</v>
      </c>
      <c r="S17" s="9">
        <v>115</v>
      </c>
      <c r="T17" s="9">
        <v>135.1</v>
      </c>
      <c r="U17" s="9">
        <v>145.80000000000001</v>
      </c>
      <c r="V17" s="9">
        <v>104</v>
      </c>
      <c r="W17" s="9">
        <v>81</v>
      </c>
      <c r="X17" s="9">
        <v>90</v>
      </c>
      <c r="Y17" s="9">
        <v>127</v>
      </c>
      <c r="Z17" s="9">
        <v>85</v>
      </c>
      <c r="AA17" s="9">
        <v>80.5</v>
      </c>
      <c r="AB17" s="9">
        <f t="shared" si="0"/>
        <v>105.98099999999999</v>
      </c>
    </row>
    <row r="18" spans="1:28" x14ac:dyDescent="0.45">
      <c r="A18" s="8">
        <v>1996</v>
      </c>
      <c r="B18" s="9">
        <v>37.527322404371603</v>
      </c>
      <c r="C18" s="9">
        <v>101</v>
      </c>
      <c r="D18" s="9">
        <v>100</v>
      </c>
      <c r="E18" s="9">
        <v>106</v>
      </c>
      <c r="F18" s="9">
        <v>150</v>
      </c>
      <c r="G18" s="9">
        <v>90</v>
      </c>
      <c r="H18" s="9">
        <v>120</v>
      </c>
      <c r="I18" s="9">
        <v>130</v>
      </c>
      <c r="J18" s="9">
        <v>107</v>
      </c>
      <c r="K18" s="9">
        <v>110.2</v>
      </c>
      <c r="L18" s="9">
        <v>137.5</v>
      </c>
      <c r="M18" s="9">
        <v>123</v>
      </c>
      <c r="N18" s="9">
        <v>97.041666666508107</v>
      </c>
      <c r="O18" s="9">
        <v>89</v>
      </c>
      <c r="P18" s="9">
        <v>80</v>
      </c>
      <c r="Q18" s="9">
        <v>132</v>
      </c>
      <c r="R18" s="9">
        <v>118</v>
      </c>
      <c r="S18" s="9">
        <v>150</v>
      </c>
      <c r="T18" s="9">
        <v>85.4</v>
      </c>
      <c r="U18" s="9">
        <v>129.1</v>
      </c>
      <c r="V18" s="9">
        <v>82.2</v>
      </c>
      <c r="W18" s="9">
        <v>121.9</v>
      </c>
      <c r="X18" s="9">
        <v>143</v>
      </c>
      <c r="Y18" s="9">
        <v>85.7</v>
      </c>
      <c r="Z18" s="9">
        <v>116.166666666477</v>
      </c>
      <c r="AA18" s="9">
        <v>146.5</v>
      </c>
      <c r="AB18" s="9">
        <f t="shared" si="0"/>
        <v>111.086</v>
      </c>
    </row>
    <row r="19" spans="1:28" x14ac:dyDescent="0.45">
      <c r="A19" s="8">
        <v>1997</v>
      </c>
      <c r="B19" s="9">
        <v>85</v>
      </c>
      <c r="C19" s="9">
        <v>123</v>
      </c>
      <c r="D19" s="9">
        <v>102.9</v>
      </c>
      <c r="E19" s="9">
        <v>74</v>
      </c>
      <c r="F19" s="9">
        <v>70</v>
      </c>
      <c r="G19" s="9">
        <v>80</v>
      </c>
      <c r="H19" s="9">
        <v>90</v>
      </c>
      <c r="I19" s="9">
        <v>90.6</v>
      </c>
      <c r="J19" s="9">
        <v>67</v>
      </c>
      <c r="K19" s="9">
        <v>80.400000000000006</v>
      </c>
      <c r="L19" s="9">
        <v>52</v>
      </c>
      <c r="M19" s="9">
        <v>65</v>
      </c>
      <c r="N19" s="9">
        <v>58</v>
      </c>
      <c r="O19" s="9">
        <v>75</v>
      </c>
      <c r="P19" s="9">
        <v>130</v>
      </c>
      <c r="Q19" s="9"/>
      <c r="R19" s="9">
        <v>75</v>
      </c>
      <c r="S19" s="9">
        <v>70</v>
      </c>
      <c r="T19" s="9">
        <v>73</v>
      </c>
      <c r="U19" s="9">
        <v>51.9</v>
      </c>
      <c r="V19" s="9">
        <v>98.3</v>
      </c>
      <c r="W19" s="9">
        <v>84</v>
      </c>
      <c r="X19" s="9">
        <v>63</v>
      </c>
      <c r="Y19" s="9">
        <v>65</v>
      </c>
      <c r="Z19" s="9">
        <v>75</v>
      </c>
      <c r="AA19" s="9">
        <v>56.8</v>
      </c>
      <c r="AB19" s="9">
        <f t="shared" si="0"/>
        <v>78.195999999999998</v>
      </c>
    </row>
    <row r="20" spans="1:28" x14ac:dyDescent="0.45">
      <c r="A20" s="8">
        <v>1998</v>
      </c>
      <c r="B20" s="9">
        <v>71</v>
      </c>
      <c r="C20" s="9">
        <v>75</v>
      </c>
      <c r="D20" s="9">
        <v>104.4</v>
      </c>
      <c r="E20" s="9">
        <v>98</v>
      </c>
      <c r="F20" s="9">
        <v>124</v>
      </c>
      <c r="G20" s="9">
        <v>60</v>
      </c>
      <c r="H20" s="9">
        <v>70</v>
      </c>
      <c r="I20" s="9">
        <v>100.5</v>
      </c>
      <c r="J20" s="9">
        <v>95</v>
      </c>
      <c r="K20" s="9">
        <v>100.3</v>
      </c>
      <c r="L20" s="9">
        <v>121.3</v>
      </c>
      <c r="M20" s="9">
        <v>140</v>
      </c>
      <c r="N20" s="9">
        <v>84</v>
      </c>
      <c r="O20" s="9">
        <v>90</v>
      </c>
      <c r="P20" s="9">
        <v>160</v>
      </c>
      <c r="Q20" s="9">
        <v>94</v>
      </c>
      <c r="R20" s="9">
        <v>87</v>
      </c>
      <c r="S20" s="9">
        <v>95</v>
      </c>
      <c r="T20" s="9">
        <v>110</v>
      </c>
      <c r="U20" s="9">
        <v>91</v>
      </c>
      <c r="V20" s="9">
        <v>85.1</v>
      </c>
      <c r="W20" s="9">
        <v>111</v>
      </c>
      <c r="X20" s="9">
        <v>75</v>
      </c>
      <c r="Y20" s="9">
        <v>108</v>
      </c>
      <c r="Z20" s="9">
        <v>55</v>
      </c>
      <c r="AA20" s="9">
        <v>103</v>
      </c>
      <c r="AB20" s="9">
        <f t="shared" si="0"/>
        <v>96.445999999999998</v>
      </c>
    </row>
    <row r="21" spans="1:28" x14ac:dyDescent="0.45">
      <c r="A21" s="8">
        <v>1999</v>
      </c>
      <c r="B21" s="9">
        <v>110</v>
      </c>
      <c r="C21" s="9">
        <v>128</v>
      </c>
      <c r="D21" s="9">
        <v>119.5</v>
      </c>
      <c r="E21" s="9">
        <v>152</v>
      </c>
      <c r="F21" s="9">
        <v>130</v>
      </c>
      <c r="G21" s="9">
        <v>95</v>
      </c>
      <c r="H21" s="9">
        <v>120</v>
      </c>
      <c r="I21" s="9">
        <v>100.3</v>
      </c>
      <c r="J21" s="9">
        <v>67</v>
      </c>
      <c r="K21" s="9">
        <v>108</v>
      </c>
      <c r="L21" s="9">
        <v>135</v>
      </c>
      <c r="M21" s="9">
        <v>90</v>
      </c>
      <c r="N21" s="9">
        <v>110</v>
      </c>
      <c r="O21" s="9">
        <v>97.041666666508107</v>
      </c>
      <c r="P21" s="9">
        <v>135</v>
      </c>
      <c r="Q21" s="9">
        <v>90</v>
      </c>
      <c r="R21" s="9">
        <v>102</v>
      </c>
      <c r="S21" s="9">
        <v>70</v>
      </c>
      <c r="T21" s="9">
        <v>99</v>
      </c>
      <c r="U21" s="9">
        <v>76.3</v>
      </c>
      <c r="V21" s="9">
        <v>120</v>
      </c>
      <c r="W21" s="9">
        <v>100</v>
      </c>
      <c r="X21" s="9">
        <v>110</v>
      </c>
      <c r="Y21" s="9">
        <v>100</v>
      </c>
      <c r="Z21" s="9">
        <v>114</v>
      </c>
      <c r="AA21" s="9">
        <v>113.5</v>
      </c>
      <c r="AB21" s="9">
        <f t="shared" si="0"/>
        <v>107.371</v>
      </c>
    </row>
    <row r="22" spans="1:28" x14ac:dyDescent="0.45">
      <c r="A22" s="8">
        <v>2000</v>
      </c>
      <c r="B22" s="9">
        <v>122</v>
      </c>
      <c r="C22" s="9">
        <v>105</v>
      </c>
      <c r="D22" s="9">
        <v>165</v>
      </c>
      <c r="E22" s="9">
        <v>97</v>
      </c>
      <c r="F22" s="9">
        <v>120</v>
      </c>
      <c r="G22" s="9">
        <v>90</v>
      </c>
      <c r="H22" s="9">
        <v>150</v>
      </c>
      <c r="I22" s="9">
        <v>109</v>
      </c>
      <c r="J22" s="9">
        <v>100.2</v>
      </c>
      <c r="K22" s="9">
        <v>130.4</v>
      </c>
      <c r="L22" s="9">
        <v>90</v>
      </c>
      <c r="M22" s="9">
        <v>120</v>
      </c>
      <c r="N22" s="9">
        <v>76</v>
      </c>
      <c r="O22" s="9">
        <v>92</v>
      </c>
      <c r="P22" s="9">
        <v>80</v>
      </c>
      <c r="Q22" s="9">
        <v>70</v>
      </c>
      <c r="R22" s="9">
        <v>94</v>
      </c>
      <c r="S22" s="9">
        <v>90</v>
      </c>
      <c r="T22" s="9">
        <v>94.7</v>
      </c>
      <c r="U22" s="9">
        <v>69</v>
      </c>
      <c r="V22" s="9">
        <v>99</v>
      </c>
      <c r="W22" s="9">
        <v>118</v>
      </c>
      <c r="X22" s="9">
        <v>56</v>
      </c>
      <c r="Y22" s="9">
        <v>81.8</v>
      </c>
      <c r="Z22" s="9">
        <v>69</v>
      </c>
      <c r="AA22" s="9">
        <v>88.8</v>
      </c>
      <c r="AB22" s="9">
        <f t="shared" si="0"/>
        <v>99.111999999999995</v>
      </c>
    </row>
    <row r="23" spans="1:28" x14ac:dyDescent="0.45">
      <c r="A23" s="8">
        <v>2001</v>
      </c>
      <c r="B23" s="9">
        <v>134.5</v>
      </c>
      <c r="C23" s="9">
        <v>87</v>
      </c>
      <c r="D23" s="9">
        <v>88.6</v>
      </c>
      <c r="E23" s="9">
        <v>97</v>
      </c>
      <c r="F23" s="9">
        <v>70</v>
      </c>
      <c r="G23" s="9">
        <v>98</v>
      </c>
      <c r="H23" s="9">
        <v>150</v>
      </c>
      <c r="I23" s="9">
        <v>120</v>
      </c>
      <c r="J23" s="9">
        <v>78</v>
      </c>
      <c r="K23" s="9">
        <v>67.5</v>
      </c>
      <c r="L23" s="9">
        <v>80</v>
      </c>
      <c r="M23" s="9">
        <v>110</v>
      </c>
      <c r="N23" s="9">
        <v>74</v>
      </c>
      <c r="O23" s="9">
        <v>78</v>
      </c>
      <c r="P23" s="9">
        <v>65</v>
      </c>
      <c r="Q23" s="9">
        <v>119</v>
      </c>
      <c r="R23" s="9">
        <v>82</v>
      </c>
      <c r="S23" s="9">
        <v>100</v>
      </c>
      <c r="T23" s="9">
        <v>41.1</v>
      </c>
      <c r="U23" s="9">
        <v>88.4</v>
      </c>
      <c r="V23" s="9">
        <v>133</v>
      </c>
      <c r="W23" s="9">
        <v>85.7</v>
      </c>
      <c r="X23" s="9">
        <v>68</v>
      </c>
      <c r="Y23" s="9">
        <v>90</v>
      </c>
      <c r="Z23" s="9">
        <v>82</v>
      </c>
      <c r="AA23" s="9">
        <v>55.5</v>
      </c>
      <c r="AB23" s="9">
        <f t="shared" si="0"/>
        <v>90.087999999999994</v>
      </c>
    </row>
    <row r="24" spans="1:28" x14ac:dyDescent="0.45">
      <c r="A24" s="8">
        <v>2002</v>
      </c>
      <c r="B24" s="9">
        <v>109</v>
      </c>
      <c r="C24" s="9">
        <v>113</v>
      </c>
      <c r="D24" s="9">
        <v>139</v>
      </c>
      <c r="E24" s="9">
        <v>93</v>
      </c>
      <c r="F24" s="9">
        <v>96</v>
      </c>
      <c r="G24" s="9">
        <v>135</v>
      </c>
      <c r="H24" s="9">
        <v>120</v>
      </c>
      <c r="I24" s="9">
        <v>100</v>
      </c>
      <c r="J24" s="9">
        <v>91</v>
      </c>
      <c r="K24" s="9">
        <v>130.19999999999999</v>
      </c>
      <c r="L24" s="9">
        <v>58</v>
      </c>
      <c r="M24" s="9">
        <v>94</v>
      </c>
      <c r="N24" s="9">
        <v>65</v>
      </c>
      <c r="O24" s="9"/>
      <c r="P24" s="9">
        <v>64</v>
      </c>
      <c r="Q24" s="9">
        <v>27.408424908424799</v>
      </c>
      <c r="R24" s="9">
        <v>87</v>
      </c>
      <c r="S24" s="9">
        <v>150</v>
      </c>
      <c r="T24" s="9">
        <v>98</v>
      </c>
      <c r="U24" s="9">
        <v>98.7</v>
      </c>
      <c r="V24" s="9">
        <v>55</v>
      </c>
      <c r="W24" s="9">
        <v>79</v>
      </c>
      <c r="X24" s="9">
        <v>117</v>
      </c>
      <c r="Y24" s="9">
        <v>59</v>
      </c>
      <c r="Z24" s="9">
        <v>86</v>
      </c>
      <c r="AA24" s="9">
        <v>104.5</v>
      </c>
      <c r="AB24" s="9">
        <f t="shared" si="0"/>
        <v>94.751999999999995</v>
      </c>
    </row>
    <row r="25" spans="1:28" x14ac:dyDescent="0.45">
      <c r="A25" s="8">
        <v>2003</v>
      </c>
      <c r="B25" s="9">
        <v>80</v>
      </c>
      <c r="C25" s="9">
        <v>112</v>
      </c>
      <c r="D25" s="9">
        <v>102.5</v>
      </c>
      <c r="E25" s="9">
        <v>93</v>
      </c>
      <c r="F25" s="9">
        <v>271</v>
      </c>
      <c r="G25" s="9">
        <v>90</v>
      </c>
      <c r="H25" s="9">
        <v>150</v>
      </c>
      <c r="I25" s="9">
        <v>97.5</v>
      </c>
      <c r="J25" s="9">
        <v>92</v>
      </c>
      <c r="K25" s="9">
        <v>122.5</v>
      </c>
      <c r="L25" s="9">
        <v>73</v>
      </c>
      <c r="M25" s="9">
        <v>109</v>
      </c>
      <c r="N25" s="9">
        <v>70</v>
      </c>
      <c r="O25" s="9"/>
      <c r="P25" s="9">
        <v>35</v>
      </c>
      <c r="Q25" s="9">
        <v>126</v>
      </c>
      <c r="R25" s="9">
        <v>96</v>
      </c>
      <c r="S25" s="9">
        <v>97</v>
      </c>
      <c r="T25" s="9">
        <v>79.2</v>
      </c>
      <c r="U25" s="9">
        <v>75.3</v>
      </c>
      <c r="V25" s="9">
        <v>1.1967213114754101</v>
      </c>
      <c r="W25" s="9">
        <v>77</v>
      </c>
      <c r="X25" s="9">
        <v>90</v>
      </c>
      <c r="Y25" s="9">
        <v>55.5</v>
      </c>
      <c r="Z25" s="9">
        <v>90</v>
      </c>
      <c r="AA25" s="9">
        <v>66.599999999999994</v>
      </c>
      <c r="AB25" s="9">
        <f t="shared" si="0"/>
        <v>94.052000000000007</v>
      </c>
    </row>
    <row r="26" spans="1:28" x14ac:dyDescent="0.45">
      <c r="A26" s="8">
        <v>2004</v>
      </c>
      <c r="B26" s="9">
        <v>80</v>
      </c>
      <c r="C26" s="9">
        <v>100</v>
      </c>
      <c r="D26" s="9">
        <v>77.3</v>
      </c>
      <c r="E26" s="9">
        <v>112</v>
      </c>
      <c r="F26" s="9">
        <v>90</v>
      </c>
      <c r="G26" s="9">
        <v>98</v>
      </c>
      <c r="H26" s="9">
        <v>203</v>
      </c>
      <c r="I26" s="9">
        <v>69.2</v>
      </c>
      <c r="J26" s="9">
        <v>99</v>
      </c>
      <c r="K26" s="9">
        <v>130.5</v>
      </c>
      <c r="L26" s="9">
        <v>76</v>
      </c>
      <c r="M26" s="9">
        <v>89</v>
      </c>
      <c r="N26" s="9">
        <v>105</v>
      </c>
      <c r="O26" s="9"/>
      <c r="P26" s="9"/>
      <c r="Q26" s="9">
        <v>100</v>
      </c>
      <c r="R26" s="9">
        <v>81</v>
      </c>
      <c r="S26" s="9">
        <v>90</v>
      </c>
      <c r="T26" s="9">
        <v>97</v>
      </c>
      <c r="U26" s="9">
        <v>75.5</v>
      </c>
      <c r="V26" s="9">
        <v>85</v>
      </c>
      <c r="W26" s="9">
        <v>90</v>
      </c>
      <c r="X26" s="9">
        <v>53</v>
      </c>
      <c r="Y26" s="9">
        <v>85</v>
      </c>
      <c r="Z26" s="9">
        <v>72</v>
      </c>
      <c r="AA26" s="9">
        <v>87.8</v>
      </c>
      <c r="AB26" s="9">
        <f t="shared" si="0"/>
        <v>93.554000000000002</v>
      </c>
    </row>
    <row r="27" spans="1:28" x14ac:dyDescent="0.45">
      <c r="A27" s="8">
        <v>2005</v>
      </c>
      <c r="B27" s="9">
        <v>40</v>
      </c>
      <c r="C27" s="9">
        <v>112</v>
      </c>
      <c r="D27" s="9">
        <v>105.3</v>
      </c>
      <c r="E27" s="9">
        <v>75</v>
      </c>
      <c r="F27" s="9">
        <v>106</v>
      </c>
      <c r="G27" s="9">
        <v>133</v>
      </c>
      <c r="H27" s="9">
        <v>170</v>
      </c>
      <c r="I27" s="9">
        <v>90.2</v>
      </c>
      <c r="J27" s="9">
        <v>96</v>
      </c>
      <c r="K27" s="9">
        <v>124.5</v>
      </c>
      <c r="L27" s="9">
        <v>100</v>
      </c>
      <c r="M27" s="9">
        <v>151</v>
      </c>
      <c r="N27" s="9">
        <v>110</v>
      </c>
      <c r="O27" s="9"/>
      <c r="P27" s="9"/>
      <c r="Q27" s="9">
        <v>120</v>
      </c>
      <c r="R27" s="9">
        <v>62</v>
      </c>
      <c r="S27" s="9">
        <v>90</v>
      </c>
      <c r="T27" s="9">
        <v>72</v>
      </c>
      <c r="U27" s="9">
        <v>106</v>
      </c>
      <c r="V27" s="9">
        <v>104</v>
      </c>
      <c r="W27" s="9">
        <v>77</v>
      </c>
      <c r="X27" s="9">
        <v>102</v>
      </c>
      <c r="Y27" s="9">
        <v>104</v>
      </c>
      <c r="Z27" s="9">
        <v>74</v>
      </c>
      <c r="AA27" s="9">
        <v>119</v>
      </c>
      <c r="AB27" s="9">
        <f t="shared" si="0"/>
        <v>101.792</v>
      </c>
    </row>
    <row r="28" spans="1:28" x14ac:dyDescent="0.45">
      <c r="A28" s="8">
        <v>2006</v>
      </c>
      <c r="B28" s="9">
        <v>90</v>
      </c>
      <c r="C28" s="9">
        <v>137</v>
      </c>
      <c r="D28" s="9">
        <v>130.80000000000001</v>
      </c>
      <c r="E28" s="9">
        <v>137</v>
      </c>
      <c r="F28" s="9">
        <v>125</v>
      </c>
      <c r="G28" s="9">
        <v>90</v>
      </c>
      <c r="H28" s="9">
        <v>150</v>
      </c>
      <c r="I28" s="9">
        <v>100.7</v>
      </c>
      <c r="J28" s="9">
        <v>96</v>
      </c>
      <c r="K28" s="9">
        <v>74</v>
      </c>
      <c r="L28" s="9">
        <v>130</v>
      </c>
      <c r="M28" s="9">
        <v>97</v>
      </c>
      <c r="N28" s="9">
        <v>76</v>
      </c>
      <c r="O28" s="9"/>
      <c r="P28" s="9"/>
      <c r="Q28" s="9">
        <v>80</v>
      </c>
      <c r="R28" s="9">
        <v>92</v>
      </c>
      <c r="S28" s="9">
        <v>74</v>
      </c>
      <c r="T28" s="9">
        <v>115</v>
      </c>
      <c r="U28" s="9">
        <v>115.5</v>
      </c>
      <c r="V28" s="9">
        <v>72</v>
      </c>
      <c r="W28" s="9">
        <v>112</v>
      </c>
      <c r="X28" s="9">
        <v>70</v>
      </c>
      <c r="Y28" s="9">
        <v>104</v>
      </c>
      <c r="Z28" s="9">
        <v>90</v>
      </c>
      <c r="AA28" s="9">
        <v>133.5</v>
      </c>
      <c r="AB28" s="9">
        <f t="shared" si="0"/>
        <v>103.813</v>
      </c>
    </row>
    <row r="29" spans="1:28" x14ac:dyDescent="0.45">
      <c r="A29" s="8">
        <v>2007</v>
      </c>
      <c r="B29" s="9">
        <v>150</v>
      </c>
      <c r="C29" s="9">
        <v>98</v>
      </c>
      <c r="D29" s="9">
        <v>136</v>
      </c>
      <c r="E29" s="9">
        <v>149</v>
      </c>
      <c r="F29" s="9">
        <v>90</v>
      </c>
      <c r="G29" s="9">
        <v>99</v>
      </c>
      <c r="H29" s="9">
        <v>80</v>
      </c>
      <c r="I29" s="9">
        <v>112</v>
      </c>
      <c r="J29" s="9">
        <v>111</v>
      </c>
      <c r="K29" s="9">
        <v>76.5</v>
      </c>
      <c r="L29" s="9">
        <v>85</v>
      </c>
      <c r="M29" s="9">
        <v>100</v>
      </c>
      <c r="N29" s="9">
        <v>73</v>
      </c>
      <c r="O29" s="9"/>
      <c r="P29" s="9"/>
      <c r="Q29" s="9">
        <v>110</v>
      </c>
      <c r="R29" s="9">
        <v>143</v>
      </c>
      <c r="S29" s="9">
        <v>150</v>
      </c>
      <c r="T29" s="9">
        <v>75</v>
      </c>
      <c r="U29" s="9">
        <v>136.5</v>
      </c>
      <c r="V29" s="9">
        <v>110</v>
      </c>
      <c r="W29" s="9">
        <v>91</v>
      </c>
      <c r="X29" s="9">
        <v>120.4</v>
      </c>
      <c r="Y29" s="9">
        <v>101</v>
      </c>
      <c r="Z29" s="9">
        <v>80</v>
      </c>
      <c r="AA29" s="9"/>
      <c r="AB29" s="9">
        <f t="shared" si="0"/>
        <v>107.67</v>
      </c>
    </row>
    <row r="30" spans="1:28" x14ac:dyDescent="0.45">
      <c r="A30" s="8">
        <v>2008</v>
      </c>
      <c r="B30" s="9">
        <v>160</v>
      </c>
      <c r="C30" s="9">
        <v>90</v>
      </c>
      <c r="D30" s="9">
        <v>80</v>
      </c>
      <c r="E30" s="9">
        <v>138</v>
      </c>
      <c r="F30" s="9">
        <v>121</v>
      </c>
      <c r="G30" s="9">
        <v>100</v>
      </c>
      <c r="H30" s="9">
        <v>20</v>
      </c>
      <c r="I30" s="9">
        <v>130.30000000000001</v>
      </c>
      <c r="J30" s="9">
        <v>94</v>
      </c>
      <c r="K30" s="9">
        <v>121.5</v>
      </c>
      <c r="L30" s="9">
        <v>80</v>
      </c>
      <c r="M30" s="9">
        <v>220</v>
      </c>
      <c r="N30" s="9">
        <v>100</v>
      </c>
      <c r="O30" s="9"/>
      <c r="P30" s="9"/>
      <c r="Q30" s="9">
        <v>125</v>
      </c>
      <c r="R30" s="9">
        <v>87</v>
      </c>
      <c r="S30" s="9">
        <v>150</v>
      </c>
      <c r="T30" s="9">
        <v>62</v>
      </c>
      <c r="U30" s="9">
        <v>152.6</v>
      </c>
      <c r="V30" s="9">
        <v>80</v>
      </c>
      <c r="W30" s="9">
        <v>100</v>
      </c>
      <c r="X30" s="9">
        <v>82.5</v>
      </c>
      <c r="Y30" s="9">
        <v>96</v>
      </c>
      <c r="Z30" s="9">
        <v>140</v>
      </c>
      <c r="AA30" s="9">
        <v>110.7</v>
      </c>
      <c r="AB30" s="9">
        <f t="shared" si="0"/>
        <v>110.02500000000001</v>
      </c>
    </row>
    <row r="31" spans="1:28" x14ac:dyDescent="0.45">
      <c r="A31" s="8">
        <v>2009</v>
      </c>
      <c r="B31" s="9">
        <v>150</v>
      </c>
      <c r="C31" s="9">
        <v>95</v>
      </c>
      <c r="D31" s="9">
        <v>84</v>
      </c>
      <c r="E31" s="9">
        <v>107</v>
      </c>
      <c r="F31" s="9">
        <v>90</v>
      </c>
      <c r="G31" s="9">
        <v>90</v>
      </c>
      <c r="H31" s="9">
        <v>75</v>
      </c>
      <c r="I31" s="9">
        <v>80</v>
      </c>
      <c r="J31" s="9">
        <v>110</v>
      </c>
      <c r="K31" s="9">
        <v>120</v>
      </c>
      <c r="L31" s="9">
        <v>96</v>
      </c>
      <c r="M31" s="9">
        <v>68</v>
      </c>
      <c r="N31" s="9">
        <v>110</v>
      </c>
      <c r="O31" s="9"/>
      <c r="P31" s="9"/>
      <c r="Q31" s="9">
        <v>100</v>
      </c>
      <c r="R31" s="9">
        <v>82</v>
      </c>
      <c r="S31" s="9">
        <v>120</v>
      </c>
      <c r="T31" s="9">
        <v>81</v>
      </c>
      <c r="U31" s="9">
        <v>97</v>
      </c>
      <c r="V31" s="9">
        <v>85.1</v>
      </c>
      <c r="W31" s="9">
        <v>141</v>
      </c>
      <c r="X31" s="9">
        <v>62.3</v>
      </c>
      <c r="Y31" s="9">
        <v>84</v>
      </c>
      <c r="Z31" s="9">
        <v>85</v>
      </c>
      <c r="AA31" s="9">
        <v>96</v>
      </c>
      <c r="AB31" s="9">
        <f t="shared" si="0"/>
        <v>96.183000000000007</v>
      </c>
    </row>
    <row r="32" spans="1:28" x14ac:dyDescent="0.45">
      <c r="A32" s="8">
        <v>2010</v>
      </c>
      <c r="B32" s="9">
        <v>91</v>
      </c>
      <c r="C32" s="9">
        <v>135</v>
      </c>
      <c r="D32" s="9">
        <v>132.19999999999999</v>
      </c>
      <c r="E32" s="9">
        <v>109</v>
      </c>
      <c r="F32" s="9">
        <v>157</v>
      </c>
      <c r="G32" s="9">
        <v>90</v>
      </c>
      <c r="H32" s="9">
        <v>75</v>
      </c>
      <c r="I32" s="9">
        <v>127</v>
      </c>
      <c r="J32" s="9">
        <v>84</v>
      </c>
      <c r="K32" s="9">
        <v>135.80000000000001</v>
      </c>
      <c r="L32" s="9">
        <v>96</v>
      </c>
      <c r="M32" s="9">
        <v>105</v>
      </c>
      <c r="N32" s="9">
        <v>92</v>
      </c>
      <c r="O32" s="9"/>
      <c r="P32" s="9"/>
      <c r="Q32" s="9">
        <v>116</v>
      </c>
      <c r="R32" s="9">
        <v>148</v>
      </c>
      <c r="S32" s="9">
        <v>150</v>
      </c>
      <c r="T32" s="9">
        <v>133</v>
      </c>
      <c r="U32" s="9">
        <v>134</v>
      </c>
      <c r="V32" s="9">
        <v>92</v>
      </c>
      <c r="W32" s="9">
        <v>124</v>
      </c>
      <c r="X32" s="9">
        <v>134</v>
      </c>
      <c r="Y32" s="9">
        <v>110</v>
      </c>
      <c r="Z32" s="9"/>
      <c r="AA32" s="9">
        <v>126</v>
      </c>
      <c r="AB32" s="9">
        <f t="shared" si="0"/>
        <v>117.217</v>
      </c>
    </row>
    <row r="33" spans="1:28" x14ac:dyDescent="0.45">
      <c r="A33" s="8">
        <v>2011</v>
      </c>
      <c r="B33" s="9">
        <v>110</v>
      </c>
      <c r="C33" s="9">
        <v>135</v>
      </c>
      <c r="D33" s="9">
        <v>130.5</v>
      </c>
      <c r="E33" s="9">
        <v>147</v>
      </c>
      <c r="F33" s="9">
        <v>85</v>
      </c>
      <c r="G33" s="9">
        <v>145</v>
      </c>
      <c r="H33" s="9">
        <v>80</v>
      </c>
      <c r="I33" s="9">
        <v>116.2</v>
      </c>
      <c r="J33" s="9">
        <v>96</v>
      </c>
      <c r="K33" s="9">
        <v>105.2</v>
      </c>
      <c r="L33" s="9">
        <v>71</v>
      </c>
      <c r="M33" s="9">
        <v>132</v>
      </c>
      <c r="N33" s="9">
        <v>108</v>
      </c>
      <c r="O33" s="9"/>
      <c r="P33" s="9"/>
      <c r="Q33" s="9">
        <v>80</v>
      </c>
      <c r="R33" s="9">
        <v>92</v>
      </c>
      <c r="S33" s="9">
        <v>98</v>
      </c>
      <c r="T33" s="9">
        <v>91</v>
      </c>
      <c r="U33" s="9">
        <v>124</v>
      </c>
      <c r="V33" s="9">
        <v>94</v>
      </c>
      <c r="W33" s="9">
        <v>110</v>
      </c>
      <c r="X33" s="9">
        <v>90.5</v>
      </c>
      <c r="Y33" s="9">
        <v>81</v>
      </c>
      <c r="Z33" s="9"/>
      <c r="AA33" s="9">
        <v>130</v>
      </c>
      <c r="AB33" s="9">
        <f t="shared" si="0"/>
        <v>106.583</v>
      </c>
    </row>
    <row r="34" spans="1:28" x14ac:dyDescent="0.45">
      <c r="A34" s="8">
        <v>2012</v>
      </c>
      <c r="B34" s="9">
        <v>73</v>
      </c>
      <c r="C34" s="9">
        <v>133</v>
      </c>
      <c r="D34" s="9">
        <v>112</v>
      </c>
      <c r="E34" s="9">
        <v>158</v>
      </c>
      <c r="F34" s="9">
        <v>130</v>
      </c>
      <c r="G34" s="9">
        <v>80</v>
      </c>
      <c r="H34" s="9">
        <v>80</v>
      </c>
      <c r="I34" s="9">
        <v>83.1</v>
      </c>
      <c r="J34" s="9">
        <v>97</v>
      </c>
      <c r="K34" s="9">
        <v>30.098360655737601</v>
      </c>
      <c r="L34" s="9">
        <v>95</v>
      </c>
      <c r="M34" s="9">
        <v>70</v>
      </c>
      <c r="N34" s="9">
        <v>71</v>
      </c>
      <c r="O34" s="9"/>
      <c r="P34" s="9"/>
      <c r="Q34" s="9">
        <v>52</v>
      </c>
      <c r="R34" s="9">
        <v>108</v>
      </c>
      <c r="S34" s="9">
        <v>162</v>
      </c>
      <c r="T34" s="9">
        <v>42.663690476190503</v>
      </c>
      <c r="U34" s="9">
        <v>93</v>
      </c>
      <c r="V34" s="9"/>
      <c r="W34" s="9">
        <v>56</v>
      </c>
      <c r="X34" s="9">
        <v>67</v>
      </c>
      <c r="Y34" s="9">
        <v>82</v>
      </c>
      <c r="Z34" s="9"/>
      <c r="AA34" s="9">
        <v>83</v>
      </c>
      <c r="AB34" s="9">
        <f t="shared" si="0"/>
        <v>88.994</v>
      </c>
    </row>
    <row r="35" spans="1:28" x14ac:dyDescent="0.45">
      <c r="A35" s="8">
        <v>2013</v>
      </c>
      <c r="B35" s="9">
        <v>82</v>
      </c>
      <c r="C35" s="9">
        <v>135</v>
      </c>
      <c r="D35" s="9">
        <v>119</v>
      </c>
      <c r="E35" s="9">
        <v>83</v>
      </c>
      <c r="F35" s="9">
        <v>89</v>
      </c>
      <c r="G35" s="9">
        <v>130</v>
      </c>
      <c r="H35" s="9">
        <v>30.934343434343301</v>
      </c>
      <c r="I35" s="9">
        <v>135</v>
      </c>
      <c r="J35" s="9">
        <v>135</v>
      </c>
      <c r="K35" s="9">
        <v>73</v>
      </c>
      <c r="L35" s="9">
        <v>85</v>
      </c>
      <c r="M35" s="9">
        <v>85</v>
      </c>
      <c r="N35" s="9">
        <v>70</v>
      </c>
      <c r="O35" s="9"/>
      <c r="P35" s="9"/>
      <c r="Q35" s="9">
        <v>85</v>
      </c>
      <c r="R35" s="9">
        <v>145</v>
      </c>
      <c r="S35" s="9">
        <v>90</v>
      </c>
      <c r="T35" s="9">
        <v>140</v>
      </c>
      <c r="U35" s="9">
        <v>96</v>
      </c>
      <c r="V35" s="9"/>
      <c r="W35" s="9">
        <v>115</v>
      </c>
      <c r="X35" s="9">
        <v>79</v>
      </c>
      <c r="Y35" s="9">
        <v>80</v>
      </c>
      <c r="Z35" s="9"/>
      <c r="AA35" s="9">
        <v>100</v>
      </c>
      <c r="AB35" s="9">
        <f t="shared" si="0"/>
        <v>99.179000000000002</v>
      </c>
    </row>
    <row r="36" spans="1:28" x14ac:dyDescent="0.45">
      <c r="A36" s="8">
        <v>2014</v>
      </c>
      <c r="B36" s="9">
        <v>96</v>
      </c>
      <c r="C36" s="9">
        <v>125</v>
      </c>
      <c r="D36" s="9">
        <v>92.7</v>
      </c>
      <c r="E36" s="9">
        <v>143</v>
      </c>
      <c r="F36" s="9">
        <v>135</v>
      </c>
      <c r="G36" s="9">
        <v>150</v>
      </c>
      <c r="H36" s="9">
        <v>19.065656565656599</v>
      </c>
      <c r="I36" s="9">
        <v>140</v>
      </c>
      <c r="J36" s="9">
        <v>135</v>
      </c>
      <c r="K36" s="9">
        <v>170</v>
      </c>
      <c r="L36" s="9">
        <v>95</v>
      </c>
      <c r="M36" s="9">
        <v>130</v>
      </c>
      <c r="N36" s="9">
        <v>73</v>
      </c>
      <c r="O36" s="9"/>
      <c r="P36" s="9"/>
      <c r="Q36" s="9">
        <v>80</v>
      </c>
      <c r="R36" s="9">
        <v>85</v>
      </c>
      <c r="S36" s="9">
        <v>137</v>
      </c>
      <c r="T36" s="9">
        <v>53</v>
      </c>
      <c r="U36" s="9">
        <v>85</v>
      </c>
      <c r="V36" s="9"/>
      <c r="W36" s="9">
        <v>97.3</v>
      </c>
      <c r="X36" s="9">
        <v>60.8</v>
      </c>
      <c r="Y36" s="9">
        <v>74</v>
      </c>
      <c r="Z36" s="9"/>
      <c r="AA36" s="9">
        <v>240</v>
      </c>
      <c r="AB36" s="9">
        <f t="shared" si="0"/>
        <v>109.812</v>
      </c>
    </row>
    <row r="37" spans="1:28" x14ac:dyDescent="0.45">
      <c r="A37" s="8">
        <v>2015</v>
      </c>
      <c r="B37" s="9">
        <v>150</v>
      </c>
      <c r="C37" s="9">
        <v>90</v>
      </c>
      <c r="D37" s="9">
        <v>80.7</v>
      </c>
      <c r="E37" s="9">
        <v>51</v>
      </c>
      <c r="F37" s="9">
        <v>85</v>
      </c>
      <c r="G37" s="9">
        <v>80</v>
      </c>
      <c r="H37" s="9">
        <v>80</v>
      </c>
      <c r="I37" s="9">
        <v>135</v>
      </c>
      <c r="J37" s="9">
        <v>80</v>
      </c>
      <c r="K37" s="9">
        <v>84</v>
      </c>
      <c r="L37" s="9">
        <v>40</v>
      </c>
      <c r="M37" s="9">
        <v>86</v>
      </c>
      <c r="N37" s="9">
        <v>66</v>
      </c>
      <c r="O37" s="9"/>
      <c r="P37" s="9"/>
      <c r="Q37" s="9">
        <v>60</v>
      </c>
      <c r="R37" s="9">
        <v>78</v>
      </c>
      <c r="S37" s="9">
        <v>142</v>
      </c>
      <c r="T37" s="9">
        <v>65</v>
      </c>
      <c r="U37" s="9">
        <v>112</v>
      </c>
      <c r="V37" s="9"/>
      <c r="W37" s="9">
        <v>100.7</v>
      </c>
      <c r="X37" s="9">
        <v>68.5</v>
      </c>
      <c r="Y37" s="9">
        <v>71</v>
      </c>
      <c r="Z37" s="9"/>
      <c r="AA37" s="9">
        <v>75</v>
      </c>
      <c r="AB37" s="9">
        <f t="shared" si="0"/>
        <v>85.45</v>
      </c>
    </row>
    <row r="38" spans="1:28" x14ac:dyDescent="0.45">
      <c r="A38" s="8">
        <v>2016</v>
      </c>
      <c r="B38" s="9">
        <v>100</v>
      </c>
      <c r="C38" s="9">
        <v>170</v>
      </c>
      <c r="D38" s="9">
        <v>123.3</v>
      </c>
      <c r="E38" s="9">
        <v>47</v>
      </c>
      <c r="F38" s="9">
        <v>95</v>
      </c>
      <c r="G38" s="9">
        <v>96</v>
      </c>
      <c r="H38" s="10"/>
      <c r="I38" s="9">
        <v>83</v>
      </c>
      <c r="J38" s="9">
        <v>77</v>
      </c>
      <c r="K38" s="9"/>
      <c r="L38" s="9">
        <v>80</v>
      </c>
      <c r="M38" s="9">
        <v>98</v>
      </c>
      <c r="N38" s="9">
        <v>92</v>
      </c>
      <c r="O38" s="9"/>
      <c r="P38" s="9"/>
      <c r="Q38" s="9">
        <v>90</v>
      </c>
      <c r="R38" s="9">
        <v>151</v>
      </c>
      <c r="S38" s="9">
        <v>80</v>
      </c>
      <c r="T38" s="9">
        <v>98</v>
      </c>
      <c r="U38" s="9">
        <v>82</v>
      </c>
      <c r="V38" s="9"/>
      <c r="W38" s="9">
        <v>65.2</v>
      </c>
      <c r="X38" s="9">
        <v>85</v>
      </c>
      <c r="Y38" s="9">
        <v>120</v>
      </c>
      <c r="Z38" s="9"/>
      <c r="AA38" s="9">
        <v>120</v>
      </c>
      <c r="AB38" s="9">
        <f t="shared" si="0"/>
        <v>97.625</v>
      </c>
    </row>
    <row r="39" spans="1:28" x14ac:dyDescent="0.45">
      <c r="A39" s="8">
        <v>2017</v>
      </c>
      <c r="B39" s="9">
        <v>120.1</v>
      </c>
      <c r="C39" s="9">
        <v>142</v>
      </c>
      <c r="D39" s="9">
        <v>104</v>
      </c>
      <c r="E39" s="9">
        <v>68</v>
      </c>
      <c r="F39" s="9">
        <v>100</v>
      </c>
      <c r="G39" s="9">
        <v>85</v>
      </c>
      <c r="H39" s="10"/>
      <c r="I39" s="9"/>
      <c r="J39" s="9">
        <v>115</v>
      </c>
      <c r="K39" s="9">
        <v>82</v>
      </c>
      <c r="L39" s="9">
        <v>100</v>
      </c>
      <c r="M39" s="9">
        <v>135</v>
      </c>
      <c r="N39" s="9">
        <v>100</v>
      </c>
      <c r="O39" s="9"/>
      <c r="P39" s="9"/>
      <c r="Q39" s="9">
        <v>80</v>
      </c>
      <c r="R39" s="9">
        <v>101</v>
      </c>
      <c r="S39" s="9">
        <v>112</v>
      </c>
      <c r="T39" s="9">
        <v>116</v>
      </c>
      <c r="U39" s="9">
        <v>117</v>
      </c>
      <c r="V39" s="9"/>
      <c r="W39" s="9">
        <v>71.7</v>
      </c>
      <c r="X39" s="9">
        <v>101</v>
      </c>
      <c r="Y39" s="9">
        <v>99</v>
      </c>
      <c r="Z39" s="9"/>
      <c r="AA39" s="9">
        <v>110</v>
      </c>
      <c r="AB39" s="9">
        <f t="shared" si="0"/>
        <v>102.94</v>
      </c>
    </row>
    <row r="40" spans="1:28" x14ac:dyDescent="0.45">
      <c r="A40" s="8">
        <v>2018</v>
      </c>
      <c r="B40" s="9">
        <v>81.099999999999994</v>
      </c>
      <c r="C40" s="9">
        <v>78</v>
      </c>
      <c r="D40" s="9">
        <v>107.1</v>
      </c>
      <c r="E40" s="9">
        <v>115</v>
      </c>
      <c r="F40" s="9">
        <v>100</v>
      </c>
      <c r="G40" s="9">
        <v>100</v>
      </c>
      <c r="H40" s="10"/>
      <c r="I40" s="9">
        <v>130</v>
      </c>
      <c r="J40" s="9">
        <v>101</v>
      </c>
      <c r="K40" s="9">
        <v>159</v>
      </c>
      <c r="L40" s="9">
        <v>63</v>
      </c>
      <c r="M40" s="9">
        <v>20</v>
      </c>
      <c r="N40" s="9">
        <v>75</v>
      </c>
      <c r="O40" s="9"/>
      <c r="P40" s="9"/>
      <c r="Q40" s="9">
        <v>100</v>
      </c>
      <c r="R40" s="9">
        <v>65</v>
      </c>
      <c r="S40" s="9">
        <v>75</v>
      </c>
      <c r="T40" s="9">
        <v>70</v>
      </c>
      <c r="U40" s="9">
        <v>82</v>
      </c>
      <c r="V40" s="9"/>
      <c r="W40" s="9">
        <v>80.7</v>
      </c>
      <c r="X40" s="9">
        <v>78</v>
      </c>
      <c r="Y40" s="9">
        <v>140</v>
      </c>
      <c r="Z40" s="9"/>
      <c r="AA40" s="9">
        <v>115</v>
      </c>
      <c r="AB40" s="9">
        <f t="shared" si="0"/>
        <v>92.138000000000005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F751-CA70-485B-8083-4CA6B96C2AB2}">
  <dimension ref="A1:G28"/>
  <sheetViews>
    <sheetView showGridLines="0" zoomScale="115" zoomScaleNormal="115" workbookViewId="0">
      <pane ySplit="1" topLeftCell="A2" activePane="bottomLeft" state="frozen"/>
      <selection pane="bottomLeft" activeCell="A2" sqref="A2"/>
    </sheetView>
  </sheetViews>
  <sheetFormatPr defaultColWidth="11.3984375" defaultRowHeight="16.5" x14ac:dyDescent="0.45"/>
  <cols>
    <col min="1" max="7" width="15.73046875" style="8" customWidth="1"/>
    <col min="8" max="16384" width="11.3984375" style="8"/>
  </cols>
  <sheetData>
    <row r="1" spans="1:7" x14ac:dyDescent="0.45">
      <c r="A1" s="11" t="s">
        <v>51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</row>
    <row r="2" spans="1:7" x14ac:dyDescent="0.45">
      <c r="A2" s="8">
        <v>25020230</v>
      </c>
      <c r="B2" s="8">
        <v>0.1</v>
      </c>
      <c r="C2" s="8">
        <v>0.254</v>
      </c>
      <c r="D2" s="8">
        <v>0.122</v>
      </c>
      <c r="E2" s="8">
        <v>7.0999999999999994E-2</v>
      </c>
      <c r="F2" s="8">
        <v>0.1</v>
      </c>
      <c r="G2" s="8" t="s">
        <v>8</v>
      </c>
    </row>
    <row r="3" spans="1:7" x14ac:dyDescent="0.45">
      <c r="A3" s="8">
        <v>25020240</v>
      </c>
      <c r="B3" s="8">
        <v>6.7000000000000004E-2</v>
      </c>
      <c r="C3" s="8">
        <v>0.224</v>
      </c>
      <c r="D3" s="8">
        <v>0.11899999999999999</v>
      </c>
      <c r="E3" s="8">
        <v>6.9000000000000006E-2</v>
      </c>
      <c r="F3" s="8">
        <v>6.7000000000000004E-2</v>
      </c>
      <c r="G3" s="8" t="s">
        <v>8</v>
      </c>
    </row>
    <row r="4" spans="1:7" x14ac:dyDescent="0.45">
      <c r="A4" s="8">
        <v>25020250</v>
      </c>
      <c r="B4" s="8">
        <v>9.8000000000000004E-2</v>
      </c>
      <c r="C4" s="8">
        <v>0.157</v>
      </c>
      <c r="D4" s="8">
        <v>0.26200000000000001</v>
      </c>
      <c r="E4" s="8" t="s">
        <v>9</v>
      </c>
      <c r="F4" s="8">
        <v>9.8000000000000004E-2</v>
      </c>
      <c r="G4" s="8" t="s">
        <v>8</v>
      </c>
    </row>
    <row r="5" spans="1:7" x14ac:dyDescent="0.45">
      <c r="A5" s="8">
        <v>25020260</v>
      </c>
      <c r="B5" s="8">
        <v>0.10199999999999999</v>
      </c>
      <c r="C5" s="8">
        <v>0.19400000000000001</v>
      </c>
      <c r="D5" s="8">
        <v>0.156</v>
      </c>
      <c r="E5" s="8">
        <v>9.2999999999999999E-2</v>
      </c>
      <c r="F5" s="8">
        <v>0.10199999999999999</v>
      </c>
      <c r="G5" s="8" t="s">
        <v>8</v>
      </c>
    </row>
    <row r="6" spans="1:7" x14ac:dyDescent="0.45">
      <c r="A6" s="8">
        <v>25020280</v>
      </c>
      <c r="B6" s="8">
        <v>0.13400000000000001</v>
      </c>
      <c r="C6" s="8">
        <v>0.27200000000000002</v>
      </c>
      <c r="D6" s="8">
        <v>0.114</v>
      </c>
      <c r="E6" s="8">
        <v>9.0999999999999998E-2</v>
      </c>
      <c r="F6" s="8">
        <v>0.114</v>
      </c>
      <c r="G6" s="8" t="s">
        <v>10</v>
      </c>
    </row>
    <row r="7" spans="1:7" x14ac:dyDescent="0.45">
      <c r="A7" s="8">
        <v>25020690</v>
      </c>
      <c r="B7" s="8">
        <v>0.16</v>
      </c>
      <c r="C7" s="8">
        <v>0.28499999999999998</v>
      </c>
      <c r="D7" s="8">
        <v>0.25700000000000001</v>
      </c>
      <c r="E7" s="8" t="s">
        <v>9</v>
      </c>
      <c r="F7" s="8">
        <v>0.16</v>
      </c>
      <c r="G7" s="8" t="s">
        <v>8</v>
      </c>
    </row>
    <row r="8" spans="1:7" x14ac:dyDescent="0.45">
      <c r="A8" s="8">
        <v>25020920</v>
      </c>
      <c r="B8" s="8">
        <v>0.125</v>
      </c>
      <c r="C8" s="8">
        <v>0.28299999999999997</v>
      </c>
      <c r="D8" s="8">
        <v>0.17</v>
      </c>
      <c r="E8" s="8">
        <v>9.2999999999999999E-2</v>
      </c>
      <c r="F8" s="8">
        <v>0.125</v>
      </c>
      <c r="G8" s="8" t="s">
        <v>8</v>
      </c>
    </row>
    <row r="9" spans="1:7" x14ac:dyDescent="0.45">
      <c r="A9" s="8">
        <v>25021240</v>
      </c>
      <c r="B9" s="8">
        <v>0.13900000000000001</v>
      </c>
      <c r="C9" s="8">
        <v>0.28799999999999998</v>
      </c>
      <c r="D9" s="8">
        <v>0.13500000000000001</v>
      </c>
      <c r="E9" s="8">
        <v>0.13700000000000001</v>
      </c>
      <c r="F9" s="8">
        <v>0.13500000000000001</v>
      </c>
      <c r="G9" s="8" t="s">
        <v>10</v>
      </c>
    </row>
    <row r="10" spans="1:7" x14ac:dyDescent="0.45">
      <c r="A10" s="8">
        <v>25021650</v>
      </c>
      <c r="B10" s="8">
        <v>0.17799999999999999</v>
      </c>
      <c r="C10" s="8">
        <v>0.312</v>
      </c>
      <c r="D10" s="8">
        <v>0.10100000000000001</v>
      </c>
      <c r="E10" s="8">
        <v>0.111</v>
      </c>
      <c r="F10" s="8">
        <v>0.10100000000000001</v>
      </c>
      <c r="G10" s="8" t="s">
        <v>10</v>
      </c>
    </row>
    <row r="11" spans="1:7" x14ac:dyDescent="0.45">
      <c r="A11" s="8">
        <v>25025250</v>
      </c>
      <c r="B11" s="8">
        <v>8.4000000000000005E-2</v>
      </c>
      <c r="C11" s="8">
        <v>0.20899999999999999</v>
      </c>
      <c r="D11" s="8">
        <v>0.127</v>
      </c>
      <c r="E11" s="8" t="s">
        <v>9</v>
      </c>
      <c r="F11" s="8">
        <v>8.4000000000000005E-2</v>
      </c>
      <c r="G11" s="8" t="s">
        <v>8</v>
      </c>
    </row>
    <row r="12" spans="1:7" x14ac:dyDescent="0.45">
      <c r="A12" s="8">
        <v>28010070</v>
      </c>
      <c r="B12" s="8">
        <v>7.4999999999999997E-2</v>
      </c>
      <c r="C12" s="8">
        <v>0.214</v>
      </c>
      <c r="D12" s="8">
        <v>0.122</v>
      </c>
      <c r="E12" s="8">
        <v>6.6000000000000003E-2</v>
      </c>
      <c r="F12" s="8">
        <v>7.4999999999999997E-2</v>
      </c>
      <c r="G12" s="8" t="s">
        <v>8</v>
      </c>
    </row>
    <row r="13" spans="1:7" x14ac:dyDescent="0.45">
      <c r="A13" s="8">
        <v>28020080</v>
      </c>
      <c r="B13" s="8">
        <v>0.107</v>
      </c>
      <c r="C13" s="8">
        <v>0.24299999999999999</v>
      </c>
      <c r="D13" s="8">
        <v>0.107</v>
      </c>
      <c r="E13" s="8" t="s">
        <v>9</v>
      </c>
      <c r="F13" s="8">
        <v>0.107</v>
      </c>
      <c r="G13" s="8" t="s">
        <v>8</v>
      </c>
    </row>
    <row r="14" spans="1:7" x14ac:dyDescent="0.45">
      <c r="A14" s="8">
        <v>28020150</v>
      </c>
      <c r="B14" s="8">
        <v>0.16</v>
      </c>
      <c r="C14" s="8">
        <v>0.318</v>
      </c>
      <c r="D14" s="8">
        <v>0.123</v>
      </c>
      <c r="E14" s="8" t="s">
        <v>9</v>
      </c>
      <c r="F14" s="8">
        <v>0.123</v>
      </c>
      <c r="G14" s="8" t="s">
        <v>10</v>
      </c>
    </row>
    <row r="15" spans="1:7" x14ac:dyDescent="0.45">
      <c r="A15" s="8">
        <v>28020230</v>
      </c>
      <c r="B15" s="8">
        <v>0.16900000000000001</v>
      </c>
      <c r="C15" s="8">
        <v>0.312</v>
      </c>
      <c r="D15" s="8">
        <v>0.16500000000000001</v>
      </c>
      <c r="E15" s="8">
        <v>0.161</v>
      </c>
      <c r="F15" s="8">
        <v>0.16500000000000001</v>
      </c>
      <c r="G15" s="8" t="s">
        <v>10</v>
      </c>
    </row>
    <row r="16" spans="1:7" x14ac:dyDescent="0.45">
      <c r="A16" s="8">
        <v>28020310</v>
      </c>
      <c r="B16" s="8">
        <v>0.23400000000000001</v>
      </c>
      <c r="C16" s="8">
        <v>0.376</v>
      </c>
      <c r="D16" s="8">
        <v>0.125</v>
      </c>
      <c r="E16" s="8">
        <v>0.26700000000000002</v>
      </c>
      <c r="F16" s="8">
        <v>0.125</v>
      </c>
      <c r="G16" s="8" t="s">
        <v>10</v>
      </c>
    </row>
    <row r="17" spans="1:7" x14ac:dyDescent="0.45">
      <c r="A17" s="8">
        <v>28020420</v>
      </c>
      <c r="B17" s="8">
        <v>9.8000000000000004E-2</v>
      </c>
      <c r="C17" s="8">
        <v>0.20100000000000001</v>
      </c>
      <c r="D17" s="8">
        <v>0.19600000000000001</v>
      </c>
      <c r="E17" s="8">
        <v>5.3999999999999999E-2</v>
      </c>
      <c r="F17" s="8">
        <v>9.8000000000000004E-2</v>
      </c>
      <c r="G17" s="8" t="s">
        <v>8</v>
      </c>
    </row>
    <row r="18" spans="1:7" x14ac:dyDescent="0.45">
      <c r="A18" s="8">
        <v>28020440</v>
      </c>
      <c r="B18" s="8">
        <v>0.13700000000000001</v>
      </c>
      <c r="C18" s="8">
        <v>0.29599999999999999</v>
      </c>
      <c r="D18" s="8">
        <v>7.0000000000000007E-2</v>
      </c>
      <c r="E18" s="8">
        <v>9.9000000000000005E-2</v>
      </c>
      <c r="F18" s="8">
        <v>7.0000000000000007E-2</v>
      </c>
      <c r="G18" s="8" t="s">
        <v>10</v>
      </c>
    </row>
    <row r="19" spans="1:7" x14ac:dyDescent="0.45">
      <c r="A19" s="8">
        <v>28020460</v>
      </c>
      <c r="B19" s="8">
        <v>0.153</v>
      </c>
      <c r="C19" s="8">
        <v>0.30199999999999999</v>
      </c>
      <c r="D19" s="8">
        <v>0.125</v>
      </c>
      <c r="E19" s="8">
        <v>0.122</v>
      </c>
      <c r="F19" s="8">
        <v>0.125</v>
      </c>
      <c r="G19" s="8" t="s">
        <v>10</v>
      </c>
    </row>
    <row r="20" spans="1:7" x14ac:dyDescent="0.45">
      <c r="A20" s="8">
        <v>28020600</v>
      </c>
      <c r="B20" s="8">
        <v>8.8999999999999996E-2</v>
      </c>
      <c r="C20" s="8">
        <v>0.16700000000000001</v>
      </c>
      <c r="D20" s="8">
        <v>0.23499999999999999</v>
      </c>
      <c r="E20" s="8" t="s">
        <v>9</v>
      </c>
      <c r="F20" s="8">
        <v>8.8999999999999996E-2</v>
      </c>
      <c r="G20" s="8" t="s">
        <v>8</v>
      </c>
    </row>
    <row r="21" spans="1:7" x14ac:dyDescent="0.45">
      <c r="A21" s="8">
        <v>28025070</v>
      </c>
      <c r="B21" s="8">
        <v>0.11600000000000001</v>
      </c>
      <c r="C21" s="8">
        <v>0.255</v>
      </c>
      <c r="D21" s="8">
        <v>6.0999999999999999E-2</v>
      </c>
      <c r="E21" s="8" t="s">
        <v>9</v>
      </c>
      <c r="F21" s="8">
        <v>6.0999999999999999E-2</v>
      </c>
      <c r="G21" s="8" t="s">
        <v>10</v>
      </c>
    </row>
    <row r="22" spans="1:7" x14ac:dyDescent="0.45">
      <c r="A22" s="8">
        <v>28025080</v>
      </c>
      <c r="B22" s="8">
        <v>9.8000000000000004E-2</v>
      </c>
      <c r="C22" s="8">
        <v>0.17499999999999999</v>
      </c>
      <c r="D22" s="8">
        <v>0.39100000000000001</v>
      </c>
      <c r="E22" s="8" t="s">
        <v>9</v>
      </c>
      <c r="F22" s="8">
        <v>9.8000000000000004E-2</v>
      </c>
      <c r="G22" s="8" t="s">
        <v>8</v>
      </c>
    </row>
    <row r="23" spans="1:7" x14ac:dyDescent="0.45">
      <c r="A23" s="8">
        <v>28025090</v>
      </c>
      <c r="B23" s="8">
        <v>8.4000000000000005E-2</v>
      </c>
      <c r="C23" s="8">
        <v>0.23400000000000001</v>
      </c>
      <c r="D23" s="8">
        <v>0.13400000000000001</v>
      </c>
      <c r="E23" s="8">
        <v>8.3000000000000004E-2</v>
      </c>
      <c r="F23" s="8">
        <v>8.4000000000000005E-2</v>
      </c>
      <c r="G23" s="8" t="s">
        <v>8</v>
      </c>
    </row>
    <row r="24" spans="1:7" x14ac:dyDescent="0.45">
      <c r="A24" s="8">
        <v>28035010</v>
      </c>
      <c r="B24" s="8">
        <v>0.11799999999999999</v>
      </c>
      <c r="C24" s="8">
        <v>0.26700000000000002</v>
      </c>
      <c r="D24" s="8">
        <v>0.106</v>
      </c>
      <c r="E24" s="8">
        <v>6.0999999999999999E-2</v>
      </c>
      <c r="F24" s="8">
        <v>0.106</v>
      </c>
      <c r="G24" s="8" t="s">
        <v>10</v>
      </c>
    </row>
    <row r="25" spans="1:7" x14ac:dyDescent="0.45">
      <c r="A25" s="8">
        <v>28035040</v>
      </c>
      <c r="B25" s="8">
        <v>8.4000000000000005E-2</v>
      </c>
      <c r="C25" s="8">
        <v>0.23499999999999999</v>
      </c>
      <c r="D25" s="8">
        <v>0.128</v>
      </c>
      <c r="E25" s="8">
        <v>8.4000000000000005E-2</v>
      </c>
      <c r="F25" s="8">
        <v>8.4000000000000005E-2</v>
      </c>
      <c r="G25" s="8" t="s">
        <v>8</v>
      </c>
    </row>
    <row r="26" spans="1:7" x14ac:dyDescent="0.45">
      <c r="A26" s="8">
        <v>28040310</v>
      </c>
      <c r="B26" s="8">
        <v>0.2</v>
      </c>
      <c r="C26" s="8">
        <v>0.32500000000000001</v>
      </c>
      <c r="D26" s="8">
        <v>8.4000000000000005E-2</v>
      </c>
      <c r="E26" s="8">
        <v>0.11799999999999999</v>
      </c>
      <c r="F26" s="8">
        <v>8.4000000000000005E-2</v>
      </c>
      <c r="G26" s="8" t="s">
        <v>10</v>
      </c>
    </row>
    <row r="27" spans="1:7" x14ac:dyDescent="0.45">
      <c r="A27" s="8">
        <v>28040350</v>
      </c>
      <c r="B27" s="8">
        <v>0.104</v>
      </c>
      <c r="C27" s="8">
        <v>0.20200000000000001</v>
      </c>
      <c r="D27" s="8">
        <v>0.124</v>
      </c>
      <c r="E27" s="8">
        <v>7.5999999999999998E-2</v>
      </c>
      <c r="F27" s="8">
        <v>0.104</v>
      </c>
      <c r="G27" s="8" t="s">
        <v>8</v>
      </c>
    </row>
    <row r="28" spans="1:7" x14ac:dyDescent="0.45">
      <c r="A28" s="8" t="s">
        <v>1</v>
      </c>
      <c r="B28" s="8">
        <v>9.6000000000000002E-2</v>
      </c>
      <c r="C28" s="8">
        <v>0.19600000000000001</v>
      </c>
      <c r="D28" s="8">
        <v>0.16600000000000001</v>
      </c>
      <c r="E28" s="8">
        <v>8.3000000000000004E-2</v>
      </c>
      <c r="F28" s="8">
        <v>9.6000000000000002E-2</v>
      </c>
      <c r="G28" s="8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22C4-3AF7-4967-9EBD-14A124ADD35D}">
  <dimension ref="A1:P32"/>
  <sheetViews>
    <sheetView showGridLines="0" zoomScale="110" zoomScaleNormal="11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7" sqref="A37"/>
    </sheetView>
  </sheetViews>
  <sheetFormatPr defaultColWidth="11.3984375" defaultRowHeight="16.5" x14ac:dyDescent="0.45"/>
  <cols>
    <col min="1" max="1" width="12.73046875" style="8" customWidth="1"/>
    <col min="2" max="2" width="35.73046875" style="8" bestFit="1" customWidth="1"/>
    <col min="3" max="4" width="11.3984375" style="8"/>
    <col min="5" max="5" width="8.3984375" style="8" bestFit="1" customWidth="1"/>
    <col min="6" max="7" width="15.3984375" style="8" bestFit="1" customWidth="1"/>
    <col min="8" max="8" width="11.3984375" style="8"/>
    <col min="9" max="9" width="7.1328125" style="8" bestFit="1" customWidth="1"/>
    <col min="10" max="10" width="7.265625" style="8" bestFit="1" customWidth="1"/>
    <col min="11" max="13" width="7.1328125" style="8" bestFit="1" customWidth="1"/>
    <col min="14" max="15" width="7.3984375" style="8" bestFit="1" customWidth="1"/>
    <col min="16" max="16" width="7.59765625" style="8" bestFit="1" customWidth="1"/>
    <col min="17" max="17" width="2.73046875" style="8" customWidth="1"/>
    <col min="18" max="16384" width="11.3984375" style="8"/>
  </cols>
  <sheetData>
    <row r="1" spans="1:16" x14ac:dyDescent="0.45">
      <c r="A1" s="13" t="s">
        <v>51</v>
      </c>
      <c r="B1" s="13" t="s">
        <v>52</v>
      </c>
      <c r="C1" s="13" t="s">
        <v>53</v>
      </c>
      <c r="D1" s="13" t="s">
        <v>54</v>
      </c>
      <c r="E1" s="13" t="s">
        <v>55</v>
      </c>
      <c r="F1" s="13" t="s">
        <v>11</v>
      </c>
      <c r="G1" s="13" t="s">
        <v>12</v>
      </c>
      <c r="H1" s="13" t="s">
        <v>56</v>
      </c>
      <c r="I1" s="13">
        <v>2</v>
      </c>
      <c r="J1" s="13">
        <v>2.33</v>
      </c>
      <c r="K1" s="13">
        <v>5</v>
      </c>
      <c r="L1" s="13">
        <v>10</v>
      </c>
      <c r="M1" s="13">
        <v>15</v>
      </c>
      <c r="N1" s="13">
        <v>25</v>
      </c>
      <c r="O1" s="13">
        <v>50</v>
      </c>
      <c r="P1" s="13">
        <v>100</v>
      </c>
    </row>
    <row r="2" spans="1:16" x14ac:dyDescent="0.45">
      <c r="A2" s="12" t="s">
        <v>44</v>
      </c>
      <c r="B2" s="12" t="s">
        <v>13</v>
      </c>
      <c r="C2" s="12">
        <v>9.5621666669999996</v>
      </c>
      <c r="D2" s="12">
        <v>-73.339472220000005</v>
      </c>
      <c r="E2" s="12">
        <v>170</v>
      </c>
      <c r="F2" s="12">
        <v>1081025.8688099999</v>
      </c>
      <c r="G2" s="12">
        <v>1549281.92044</v>
      </c>
      <c r="H2" s="12" t="s">
        <v>8</v>
      </c>
      <c r="I2" s="14">
        <v>75.478200000000001</v>
      </c>
      <c r="J2" s="14">
        <v>85.749260000000007</v>
      </c>
      <c r="K2" s="14">
        <v>129.06943999999999</v>
      </c>
      <c r="L2" s="14">
        <v>162.79741999999999</v>
      </c>
      <c r="M2" s="14">
        <v>181.35482999999999</v>
      </c>
      <c r="N2" s="14">
        <v>203.98510999999999</v>
      </c>
      <c r="O2" s="14">
        <v>233.79863</v>
      </c>
      <c r="P2" s="14">
        <v>262.93006000000003</v>
      </c>
    </row>
    <row r="3" spans="1:16" x14ac:dyDescent="0.45">
      <c r="A3" s="12">
        <v>25020240</v>
      </c>
      <c r="B3" s="12" t="s">
        <v>14</v>
      </c>
      <c r="C3" s="12">
        <v>9.4104722219999992</v>
      </c>
      <c r="D3" s="12">
        <v>-73.890416669999993</v>
      </c>
      <c r="E3" s="12">
        <v>70</v>
      </c>
      <c r="F3" s="12">
        <v>1020548.49362</v>
      </c>
      <c r="G3" s="12">
        <v>1532422.63365</v>
      </c>
      <c r="H3" s="12" t="s">
        <v>8</v>
      </c>
      <c r="I3" s="14">
        <v>82.986159999999998</v>
      </c>
      <c r="J3" s="14">
        <v>90.408109999999994</v>
      </c>
      <c r="K3" s="14">
        <v>121.7116</v>
      </c>
      <c r="L3" s="14">
        <v>146.08371</v>
      </c>
      <c r="M3" s="14">
        <v>159.49342999999999</v>
      </c>
      <c r="N3" s="14">
        <v>175.84625</v>
      </c>
      <c r="O3" s="14">
        <v>197.38972999999999</v>
      </c>
      <c r="P3" s="14">
        <v>218.44032999999999</v>
      </c>
    </row>
    <row r="4" spans="1:16" x14ac:dyDescent="0.45">
      <c r="A4" s="12">
        <v>25020250</v>
      </c>
      <c r="B4" s="12" t="s">
        <v>15</v>
      </c>
      <c r="C4" s="12">
        <v>9.1971944440000009</v>
      </c>
      <c r="D4" s="12">
        <v>-73.541944439999995</v>
      </c>
      <c r="E4" s="12">
        <v>100</v>
      </c>
      <c r="F4" s="12">
        <v>1058858.0534699999</v>
      </c>
      <c r="G4" s="12">
        <v>1508871.88943</v>
      </c>
      <c r="H4" s="12" t="s">
        <v>8</v>
      </c>
      <c r="I4" s="14">
        <v>87.20984</v>
      </c>
      <c r="J4" s="14">
        <v>94.453310000000002</v>
      </c>
      <c r="K4" s="14">
        <v>125.00402</v>
      </c>
      <c r="L4" s="14">
        <v>148.79003</v>
      </c>
      <c r="M4" s="14">
        <v>161.87728000000001</v>
      </c>
      <c r="N4" s="14">
        <v>177.83685</v>
      </c>
      <c r="O4" s="14">
        <v>198.86225999999999</v>
      </c>
      <c r="P4" s="14">
        <v>219.40663000000001</v>
      </c>
    </row>
    <row r="5" spans="1:16" x14ac:dyDescent="0.45">
      <c r="A5" s="12">
        <v>25020260</v>
      </c>
      <c r="B5" s="12" t="s">
        <v>16</v>
      </c>
      <c r="C5" s="12">
        <v>9.397027778</v>
      </c>
      <c r="D5" s="12">
        <v>-73.488027779999996</v>
      </c>
      <c r="E5" s="12">
        <v>100</v>
      </c>
      <c r="F5" s="12">
        <v>1064746.9076100001</v>
      </c>
      <c r="G5" s="12">
        <v>1530984.5232500001</v>
      </c>
      <c r="H5" s="12" t="s">
        <v>8</v>
      </c>
      <c r="I5" s="14">
        <v>81.932140000000004</v>
      </c>
      <c r="J5" s="14">
        <v>90.388570000000001</v>
      </c>
      <c r="K5" s="14">
        <v>126.05517999999999</v>
      </c>
      <c r="L5" s="14">
        <v>153.82429999999999</v>
      </c>
      <c r="M5" s="14">
        <v>169.10309000000001</v>
      </c>
      <c r="N5" s="14">
        <v>187.73518000000001</v>
      </c>
      <c r="O5" s="14">
        <v>212.28142</v>
      </c>
      <c r="P5" s="14">
        <v>236.26607999999999</v>
      </c>
    </row>
    <row r="6" spans="1:16" x14ac:dyDescent="0.45">
      <c r="A6" s="12">
        <v>25020280</v>
      </c>
      <c r="B6" s="12" t="s">
        <v>17</v>
      </c>
      <c r="C6" s="12">
        <v>9.6065277780000002</v>
      </c>
      <c r="D6" s="12">
        <v>-73.611972219999998</v>
      </c>
      <c r="E6" s="12">
        <v>30</v>
      </c>
      <c r="F6" s="12">
        <v>1051101.77985</v>
      </c>
      <c r="G6" s="12">
        <v>1554136.43713</v>
      </c>
      <c r="H6" s="12" t="s">
        <v>10</v>
      </c>
      <c r="I6" s="14">
        <v>99.612759999999994</v>
      </c>
      <c r="J6" s="14">
        <v>104.46872</v>
      </c>
      <c r="K6" s="14">
        <v>128.46704</v>
      </c>
      <c r="L6" s="14">
        <v>152.03267</v>
      </c>
      <c r="M6" s="14">
        <v>167.18790000000001</v>
      </c>
      <c r="N6" s="14">
        <v>188.08583999999999</v>
      </c>
      <c r="O6" s="14">
        <v>220.25102000000001</v>
      </c>
      <c r="P6" s="14">
        <v>257.61639000000002</v>
      </c>
    </row>
    <row r="7" spans="1:16" x14ac:dyDescent="0.45">
      <c r="A7" s="12">
        <v>25020690</v>
      </c>
      <c r="B7" s="12" t="s">
        <v>18</v>
      </c>
      <c r="C7" s="12">
        <v>9.4232777779999992</v>
      </c>
      <c r="D7" s="12">
        <v>-73.410944439999994</v>
      </c>
      <c r="E7" s="12">
        <v>500</v>
      </c>
      <c r="F7" s="12">
        <v>1073208.35354</v>
      </c>
      <c r="G7" s="12">
        <v>1533903.2182</v>
      </c>
      <c r="H7" s="12" t="s">
        <v>8</v>
      </c>
      <c r="I7" s="14">
        <v>75.738960000000006</v>
      </c>
      <c r="J7" s="14">
        <v>83.027510000000007</v>
      </c>
      <c r="K7" s="14">
        <v>113.76837</v>
      </c>
      <c r="L7" s="14">
        <v>137.70241999999999</v>
      </c>
      <c r="M7" s="14">
        <v>150.87112999999999</v>
      </c>
      <c r="N7" s="14">
        <v>166.93002000000001</v>
      </c>
      <c r="O7" s="14">
        <v>188.08628999999999</v>
      </c>
      <c r="P7" s="14">
        <v>208.75854000000001</v>
      </c>
    </row>
    <row r="8" spans="1:16" x14ac:dyDescent="0.45">
      <c r="A8" s="12">
        <v>25020920</v>
      </c>
      <c r="B8" s="12" t="s">
        <v>19</v>
      </c>
      <c r="C8" s="12">
        <v>9.2166666670000001</v>
      </c>
      <c r="D8" s="12">
        <v>-73.416666669999998</v>
      </c>
      <c r="E8" s="12">
        <v>500</v>
      </c>
      <c r="F8" s="12">
        <v>1072622.5463099999</v>
      </c>
      <c r="G8" s="12">
        <v>1511048.68386</v>
      </c>
      <c r="H8" s="12" t="s">
        <v>8</v>
      </c>
      <c r="I8" s="14">
        <v>62.748829999999998</v>
      </c>
      <c r="J8" s="14">
        <v>75.672619999999995</v>
      </c>
      <c r="K8" s="14">
        <v>130.18117000000001</v>
      </c>
      <c r="L8" s="14">
        <v>172.62013999999999</v>
      </c>
      <c r="M8" s="14">
        <v>195.97040000000001</v>
      </c>
      <c r="N8" s="14">
        <v>224.44543999999999</v>
      </c>
      <c r="O8" s="14">
        <v>261.95895999999999</v>
      </c>
      <c r="P8" s="14">
        <v>298.61421999999999</v>
      </c>
    </row>
    <row r="9" spans="1:16" x14ac:dyDescent="0.45">
      <c r="A9" s="12">
        <v>25021240</v>
      </c>
      <c r="B9" s="12" t="s">
        <v>20</v>
      </c>
      <c r="C9" s="12">
        <v>9.2600833330000007</v>
      </c>
      <c r="D9" s="12">
        <v>-73.80986111</v>
      </c>
      <c r="E9" s="12">
        <v>138</v>
      </c>
      <c r="F9" s="12">
        <v>1029408.67982</v>
      </c>
      <c r="G9" s="12">
        <v>1515794.6640399999</v>
      </c>
      <c r="H9" s="12" t="s">
        <v>10</v>
      </c>
      <c r="I9" s="14">
        <v>100.2906</v>
      </c>
      <c r="J9" s="14">
        <v>103.9967</v>
      </c>
      <c r="K9" s="14">
        <v>121.75409999999999</v>
      </c>
      <c r="L9" s="14">
        <v>138.43520000000001</v>
      </c>
      <c r="M9" s="14">
        <v>148.83580000000001</v>
      </c>
      <c r="N9" s="14">
        <v>162.81829999999999</v>
      </c>
      <c r="O9" s="14">
        <v>183.64189999999999</v>
      </c>
      <c r="P9" s="14">
        <v>206.94489999999999</v>
      </c>
    </row>
    <row r="10" spans="1:16" x14ac:dyDescent="0.45">
      <c r="A10" s="12">
        <v>25021650</v>
      </c>
      <c r="B10" s="12" t="s">
        <v>21</v>
      </c>
      <c r="C10" s="12">
        <v>9.5573888890000003</v>
      </c>
      <c r="D10" s="12">
        <v>-73.876194440000006</v>
      </c>
      <c r="E10" s="12">
        <v>40</v>
      </c>
      <c r="F10" s="12">
        <v>1022101.13937</v>
      </c>
      <c r="G10" s="12">
        <v>1548673.22881</v>
      </c>
      <c r="H10" s="12" t="s">
        <v>10</v>
      </c>
      <c r="I10" s="14">
        <v>94.145790000000005</v>
      </c>
      <c r="J10" s="14">
        <v>98.359930000000006</v>
      </c>
      <c r="K10" s="14">
        <v>118.97014</v>
      </c>
      <c r="L10" s="14">
        <v>138.90906000000001</v>
      </c>
      <c r="M10" s="14">
        <v>151.59905000000001</v>
      </c>
      <c r="N10" s="14">
        <v>168.94873000000001</v>
      </c>
      <c r="O10" s="14">
        <v>195.35785000000001</v>
      </c>
      <c r="P10" s="14">
        <v>225.65297000000001</v>
      </c>
    </row>
    <row r="11" spans="1:16" x14ac:dyDescent="0.45">
      <c r="A11" s="12">
        <v>25025250</v>
      </c>
      <c r="B11" s="12" t="s">
        <v>22</v>
      </c>
      <c r="C11" s="12">
        <v>9.3610277780000004</v>
      </c>
      <c r="D11" s="12">
        <v>-73.59338889</v>
      </c>
      <c r="E11" s="12">
        <v>40</v>
      </c>
      <c r="F11" s="12">
        <v>1053179.5195800001</v>
      </c>
      <c r="G11" s="12">
        <v>1526984.9483700001</v>
      </c>
      <c r="H11" s="12" t="s">
        <v>8</v>
      </c>
      <c r="I11" s="14">
        <v>83.304820000000007</v>
      </c>
      <c r="J11" s="14">
        <v>92.646699999999996</v>
      </c>
      <c r="K11" s="14">
        <v>132.04787999999999</v>
      </c>
      <c r="L11" s="14">
        <v>162.72463999999999</v>
      </c>
      <c r="M11" s="14">
        <v>179.60323</v>
      </c>
      <c r="N11" s="14">
        <v>200.18624</v>
      </c>
      <c r="O11" s="14">
        <v>227.30266</v>
      </c>
      <c r="P11" s="14">
        <v>253.7987</v>
      </c>
    </row>
    <row r="12" spans="1:16" x14ac:dyDescent="0.45">
      <c r="A12" s="12">
        <v>28010070</v>
      </c>
      <c r="B12" s="12" t="s">
        <v>23</v>
      </c>
      <c r="C12" s="12">
        <v>10.185499999999999</v>
      </c>
      <c r="D12" s="12">
        <v>-73.467111110000005</v>
      </c>
      <c r="E12" s="12">
        <v>120</v>
      </c>
      <c r="F12" s="12">
        <v>1066886.4064199999</v>
      </c>
      <c r="G12" s="12">
        <v>1618203.2284299999</v>
      </c>
      <c r="H12" s="12" t="s">
        <v>8</v>
      </c>
      <c r="I12" s="14">
        <v>66.779430000000005</v>
      </c>
      <c r="J12" s="14">
        <v>73.260199999999998</v>
      </c>
      <c r="K12" s="14">
        <v>100.59407</v>
      </c>
      <c r="L12" s="14">
        <v>121.87553</v>
      </c>
      <c r="M12" s="14">
        <v>133.58475999999999</v>
      </c>
      <c r="N12" s="14">
        <v>147.86385999999999</v>
      </c>
      <c r="O12" s="14">
        <v>166.6754</v>
      </c>
      <c r="P12" s="14">
        <v>185.05655999999999</v>
      </c>
    </row>
    <row r="13" spans="1:16" x14ac:dyDescent="0.45">
      <c r="A13" s="12">
        <v>28020080</v>
      </c>
      <c r="B13" s="12" t="s">
        <v>24</v>
      </c>
      <c r="C13" s="12">
        <v>9.8480833329999999</v>
      </c>
      <c r="D13" s="12">
        <v>-73.462194440000005</v>
      </c>
      <c r="E13" s="12">
        <v>60</v>
      </c>
      <c r="F13" s="12">
        <v>1067494.90762</v>
      </c>
      <c r="G13" s="12">
        <v>1580881.26987</v>
      </c>
      <c r="H13" s="12" t="s">
        <v>8</v>
      </c>
      <c r="I13" s="14">
        <v>71.640519999999995</v>
      </c>
      <c r="J13" s="14">
        <v>82.353759999999994</v>
      </c>
      <c r="K13" s="14">
        <v>127.53888999999999</v>
      </c>
      <c r="L13" s="14">
        <v>162.71888999999999</v>
      </c>
      <c r="M13" s="14">
        <v>182.07521</v>
      </c>
      <c r="N13" s="14">
        <v>205.67973000000001</v>
      </c>
      <c r="O13" s="14">
        <v>236.77674999999999</v>
      </c>
      <c r="P13" s="14">
        <v>267.16230999999999</v>
      </c>
    </row>
    <row r="14" spans="1:16" x14ac:dyDescent="0.45">
      <c r="A14" s="12">
        <v>28020150</v>
      </c>
      <c r="B14" s="12" t="s">
        <v>25</v>
      </c>
      <c r="C14" s="12">
        <v>10.029972219999999</v>
      </c>
      <c r="D14" s="12">
        <v>-73.668833329999998</v>
      </c>
      <c r="E14" s="12">
        <v>60</v>
      </c>
      <c r="F14" s="12">
        <v>1044803.06886</v>
      </c>
      <c r="G14" s="12">
        <v>1600965.35965</v>
      </c>
      <c r="H14" s="12" t="s">
        <v>10</v>
      </c>
      <c r="I14" s="14">
        <v>80.455280000000002</v>
      </c>
      <c r="J14" s="14">
        <v>83.403930000000003</v>
      </c>
      <c r="K14" s="14">
        <v>97.521209999999996</v>
      </c>
      <c r="L14" s="14">
        <v>110.76763</v>
      </c>
      <c r="M14" s="14">
        <v>119.02012999999999</v>
      </c>
      <c r="N14" s="14">
        <v>130.10738000000001</v>
      </c>
      <c r="O14" s="14">
        <v>146.60529</v>
      </c>
      <c r="P14" s="14">
        <v>165.04962</v>
      </c>
    </row>
    <row r="15" spans="1:16" x14ac:dyDescent="0.45">
      <c r="A15" s="12">
        <v>28020230</v>
      </c>
      <c r="B15" s="12" t="s">
        <v>26</v>
      </c>
      <c r="C15" s="12">
        <v>9.7333333329999991</v>
      </c>
      <c r="D15" s="12">
        <v>-73.3</v>
      </c>
      <c r="E15" s="12">
        <v>100</v>
      </c>
      <c r="F15" s="12">
        <v>1085316.5444400001</v>
      </c>
      <c r="G15" s="12">
        <v>1568225.0681400001</v>
      </c>
      <c r="H15" s="12" t="s">
        <v>10</v>
      </c>
      <c r="I15" s="14">
        <v>91.517330000000001</v>
      </c>
      <c r="J15" s="14">
        <v>96.890990000000002</v>
      </c>
      <c r="K15" s="14">
        <v>124.14785999999999</v>
      </c>
      <c r="L15" s="14">
        <v>151.92292</v>
      </c>
      <c r="M15" s="14">
        <v>170.25265999999999</v>
      </c>
      <c r="N15" s="14">
        <v>196.07055</v>
      </c>
      <c r="O15" s="14">
        <v>236.92016000000001</v>
      </c>
      <c r="P15" s="14">
        <v>285.88067000000001</v>
      </c>
    </row>
    <row r="16" spans="1:16" x14ac:dyDescent="0.45">
      <c r="A16" s="12">
        <v>28020310</v>
      </c>
      <c r="B16" s="12" t="s">
        <v>27</v>
      </c>
      <c r="C16" s="12">
        <v>10.1</v>
      </c>
      <c r="D16" s="12">
        <v>-73.150000000000006</v>
      </c>
      <c r="E16" s="12">
        <v>200</v>
      </c>
      <c r="F16" s="12">
        <v>1101664.3273700001</v>
      </c>
      <c r="G16" s="12">
        <v>1608827.4915400001</v>
      </c>
      <c r="H16" s="12" t="s">
        <v>10</v>
      </c>
      <c r="I16" s="14">
        <v>84.461590000000001</v>
      </c>
      <c r="J16" s="14">
        <v>89.400729999999996</v>
      </c>
      <c r="K16" s="14">
        <v>114.43797000000001</v>
      </c>
      <c r="L16" s="14">
        <v>139.92865</v>
      </c>
      <c r="M16" s="14">
        <v>156.74047999999999</v>
      </c>
      <c r="N16" s="14">
        <v>180.40831</v>
      </c>
      <c r="O16" s="14">
        <v>217.83135999999999</v>
      </c>
      <c r="P16" s="14">
        <v>262.65145000000001</v>
      </c>
    </row>
    <row r="17" spans="1:16" x14ac:dyDescent="0.45">
      <c r="A17" s="12">
        <v>28020420</v>
      </c>
      <c r="B17" s="12" t="s">
        <v>28</v>
      </c>
      <c r="C17" s="12">
        <v>9.8446111110000007</v>
      </c>
      <c r="D17" s="12">
        <v>-73.547694440000001</v>
      </c>
      <c r="E17" s="12">
        <v>70</v>
      </c>
      <c r="F17" s="12">
        <v>1058116.5832400001</v>
      </c>
      <c r="G17" s="12">
        <v>1580481.17221</v>
      </c>
      <c r="H17" s="12" t="s">
        <v>8</v>
      </c>
      <c r="I17" s="14">
        <v>73.338430000000002</v>
      </c>
      <c r="J17" s="14">
        <v>80.194339999999997</v>
      </c>
      <c r="K17" s="14">
        <v>109.11041</v>
      </c>
      <c r="L17" s="14">
        <v>131.62374</v>
      </c>
      <c r="M17" s="14">
        <v>144.01075</v>
      </c>
      <c r="N17" s="14">
        <v>159.11639</v>
      </c>
      <c r="O17" s="14">
        <v>179.01682</v>
      </c>
      <c r="P17" s="14">
        <v>198.46196</v>
      </c>
    </row>
    <row r="18" spans="1:16" x14ac:dyDescent="0.45">
      <c r="A18" s="12">
        <v>28020440</v>
      </c>
      <c r="B18" s="12" t="s">
        <v>29</v>
      </c>
      <c r="C18" s="12">
        <v>9.9170277779999996</v>
      </c>
      <c r="D18" s="12">
        <v>-73.286138890000004</v>
      </c>
      <c r="E18" s="12">
        <v>80</v>
      </c>
      <c r="F18" s="12">
        <v>1086789.7309900001</v>
      </c>
      <c r="G18" s="12">
        <v>1588548.2477500001</v>
      </c>
      <c r="H18" s="12" t="s">
        <v>10</v>
      </c>
      <c r="I18" s="14">
        <v>92.362260000000006</v>
      </c>
      <c r="J18" s="14">
        <v>95.931520000000006</v>
      </c>
      <c r="K18" s="14">
        <v>113.10987</v>
      </c>
      <c r="L18" s="14">
        <v>129.35049000000001</v>
      </c>
      <c r="M18" s="14">
        <v>139.52181999999999</v>
      </c>
      <c r="N18" s="14">
        <v>153.24606</v>
      </c>
      <c r="O18" s="14">
        <v>173.78238999999999</v>
      </c>
      <c r="P18" s="14">
        <v>196.88784999999999</v>
      </c>
    </row>
    <row r="19" spans="1:16" x14ac:dyDescent="0.45">
      <c r="A19" s="12">
        <v>28020460</v>
      </c>
      <c r="B19" s="12" t="s">
        <v>30</v>
      </c>
      <c r="C19" s="12">
        <v>10.04463889</v>
      </c>
      <c r="D19" s="12">
        <v>-73.243388890000006</v>
      </c>
      <c r="E19" s="12">
        <v>90</v>
      </c>
      <c r="F19" s="12">
        <v>1091442.82436</v>
      </c>
      <c r="G19" s="12">
        <v>1602675.8821700001</v>
      </c>
      <c r="H19" s="12" t="s">
        <v>10</v>
      </c>
      <c r="I19" s="14">
        <v>99.132540000000006</v>
      </c>
      <c r="J19" s="14">
        <v>103.72171</v>
      </c>
      <c r="K19" s="14">
        <v>126.25629000000001</v>
      </c>
      <c r="L19" s="14">
        <v>148.18235999999999</v>
      </c>
      <c r="M19" s="14">
        <v>162.19309000000001</v>
      </c>
      <c r="N19" s="14">
        <v>181.41152</v>
      </c>
      <c r="O19" s="14">
        <v>210.79031000000001</v>
      </c>
      <c r="P19" s="14">
        <v>244.65557000000001</v>
      </c>
    </row>
    <row r="20" spans="1:16" x14ac:dyDescent="0.45">
      <c r="A20" s="12">
        <v>28020600</v>
      </c>
      <c r="B20" s="12" t="s">
        <v>31</v>
      </c>
      <c r="C20" s="12">
        <v>9.8547222219999995</v>
      </c>
      <c r="D20" s="12">
        <v>-73.357166669999998</v>
      </c>
      <c r="E20" s="12">
        <v>150</v>
      </c>
      <c r="F20" s="12">
        <v>1079014.55752</v>
      </c>
      <c r="G20" s="12">
        <v>1581638.60044</v>
      </c>
      <c r="H20" s="12" t="s">
        <v>8</v>
      </c>
      <c r="I20" s="14">
        <v>64.086770000000001</v>
      </c>
      <c r="J20" s="14">
        <v>71.696669999999997</v>
      </c>
      <c r="K20" s="14">
        <v>103.79288</v>
      </c>
      <c r="L20" s="14">
        <v>128.78218000000001</v>
      </c>
      <c r="M20" s="14">
        <v>142.53148999999999</v>
      </c>
      <c r="N20" s="14">
        <v>159.29841999999999</v>
      </c>
      <c r="O20" s="14">
        <v>181.38746</v>
      </c>
      <c r="P20" s="14">
        <v>202.97113999999999</v>
      </c>
    </row>
    <row r="21" spans="1:16" x14ac:dyDescent="0.45">
      <c r="A21" s="12">
        <v>28025070</v>
      </c>
      <c r="B21" s="12" t="s">
        <v>32</v>
      </c>
      <c r="C21" s="12">
        <v>10.001805559999999</v>
      </c>
      <c r="D21" s="12">
        <v>-73.249388890000006</v>
      </c>
      <c r="E21" s="12">
        <v>180</v>
      </c>
      <c r="F21" s="12">
        <v>1090796.9328099999</v>
      </c>
      <c r="G21" s="12">
        <v>1597936.04422</v>
      </c>
      <c r="H21" s="12" t="s">
        <v>10</v>
      </c>
      <c r="I21" s="14">
        <v>95.659899999999993</v>
      </c>
      <c r="J21" s="14">
        <v>99.880340000000004</v>
      </c>
      <c r="K21" s="14">
        <v>120.48666</v>
      </c>
      <c r="L21" s="14">
        <v>140.37380999999999</v>
      </c>
      <c r="M21" s="14">
        <v>153.00955999999999</v>
      </c>
      <c r="N21" s="14">
        <v>170.26125999999999</v>
      </c>
      <c r="O21" s="14">
        <v>196.47421</v>
      </c>
      <c r="P21" s="14">
        <v>226.48322999999999</v>
      </c>
    </row>
    <row r="22" spans="1:16" x14ac:dyDescent="0.45">
      <c r="A22" s="12">
        <v>28025080</v>
      </c>
      <c r="B22" s="12" t="s">
        <v>33</v>
      </c>
      <c r="C22" s="12">
        <v>9.6866666670000008</v>
      </c>
      <c r="D22" s="12">
        <v>-73.240555560000004</v>
      </c>
      <c r="E22" s="12">
        <v>170</v>
      </c>
      <c r="F22" s="12">
        <v>1091852.5725799999</v>
      </c>
      <c r="G22" s="12">
        <v>1563078.4769900001</v>
      </c>
      <c r="H22" s="12" t="s">
        <v>8</v>
      </c>
      <c r="I22" s="14">
        <v>72.715680000000006</v>
      </c>
      <c r="J22" s="14">
        <v>79.924170000000004</v>
      </c>
      <c r="K22" s="14">
        <v>110.32736</v>
      </c>
      <c r="L22" s="14">
        <v>133.99851000000001</v>
      </c>
      <c r="M22" s="14">
        <v>147.02257</v>
      </c>
      <c r="N22" s="14">
        <v>162.90506999999999</v>
      </c>
      <c r="O22" s="14">
        <v>183.82894999999999</v>
      </c>
      <c r="P22" s="14">
        <v>204.27413000000001</v>
      </c>
    </row>
    <row r="23" spans="1:16" x14ac:dyDescent="0.45">
      <c r="A23" s="12">
        <v>28025090</v>
      </c>
      <c r="B23" s="12" t="s">
        <v>34</v>
      </c>
      <c r="C23" s="12">
        <v>9.8502500000000008</v>
      </c>
      <c r="D23" s="12">
        <v>-73.265472220000007</v>
      </c>
      <c r="E23" s="12">
        <v>100</v>
      </c>
      <c r="F23" s="12">
        <v>1089074.3653200001</v>
      </c>
      <c r="G23" s="12">
        <v>1581166.9178800001</v>
      </c>
      <c r="H23" s="12" t="s">
        <v>8</v>
      </c>
      <c r="I23" s="14">
        <v>81.304249999999996</v>
      </c>
      <c r="J23" s="14">
        <v>86.807559999999995</v>
      </c>
      <c r="K23" s="14">
        <v>110.01886</v>
      </c>
      <c r="L23" s="14">
        <v>128.09057999999999</v>
      </c>
      <c r="M23" s="14">
        <v>138.03378000000001</v>
      </c>
      <c r="N23" s="14">
        <v>150.15926999999999</v>
      </c>
      <c r="O23" s="14">
        <v>166.13359</v>
      </c>
      <c r="P23" s="14">
        <v>181.74243999999999</v>
      </c>
    </row>
    <row r="24" spans="1:16" x14ac:dyDescent="0.45">
      <c r="A24" s="12">
        <v>28035010</v>
      </c>
      <c r="B24" s="12" t="s">
        <v>35</v>
      </c>
      <c r="C24" s="12">
        <v>10.190666670000001</v>
      </c>
      <c r="D24" s="12">
        <v>-73.547388889999993</v>
      </c>
      <c r="E24" s="12">
        <v>70</v>
      </c>
      <c r="F24" s="12">
        <v>1058088.4922799999</v>
      </c>
      <c r="G24" s="12">
        <v>1618759.2484200001</v>
      </c>
      <c r="H24" s="12" t="s">
        <v>10</v>
      </c>
      <c r="I24" s="14">
        <v>78.788989999999998</v>
      </c>
      <c r="J24" s="14">
        <v>82.299949999999995</v>
      </c>
      <c r="K24" s="14">
        <v>99.462100000000007</v>
      </c>
      <c r="L24" s="14">
        <v>116.05278</v>
      </c>
      <c r="M24" s="14">
        <v>126.60626999999999</v>
      </c>
      <c r="N24" s="14">
        <v>141.02874</v>
      </c>
      <c r="O24" s="14">
        <v>162.96988999999999</v>
      </c>
      <c r="P24" s="14">
        <v>188.12365</v>
      </c>
    </row>
    <row r="25" spans="1:16" x14ac:dyDescent="0.45">
      <c r="A25" s="12">
        <v>28035040</v>
      </c>
      <c r="B25" s="12" t="s">
        <v>36</v>
      </c>
      <c r="C25" s="12">
        <v>9.9049166670000002</v>
      </c>
      <c r="D25" s="12">
        <v>-73.647527780000004</v>
      </c>
      <c r="E25" s="12">
        <v>50</v>
      </c>
      <c r="F25" s="12">
        <v>1047156.80868</v>
      </c>
      <c r="G25" s="12">
        <v>1587135.88</v>
      </c>
      <c r="H25" s="12" t="s">
        <v>8</v>
      </c>
      <c r="I25" s="14">
        <v>76.322630000000004</v>
      </c>
      <c r="J25" s="14">
        <v>81.590199999999996</v>
      </c>
      <c r="K25" s="14">
        <v>103.80718</v>
      </c>
      <c r="L25" s="14">
        <v>121.10475</v>
      </c>
      <c r="M25" s="14">
        <v>130.62201999999999</v>
      </c>
      <c r="N25" s="14">
        <v>142.22807</v>
      </c>
      <c r="O25" s="14">
        <v>157.5181</v>
      </c>
      <c r="P25" s="14">
        <v>172.45831000000001</v>
      </c>
    </row>
    <row r="26" spans="1:16" x14ac:dyDescent="0.45">
      <c r="A26" s="12">
        <v>28040310</v>
      </c>
      <c r="B26" s="12" t="s">
        <v>37</v>
      </c>
      <c r="C26" s="12">
        <v>9.7760555559999993</v>
      </c>
      <c r="D26" s="12">
        <v>-73.743416670000002</v>
      </c>
      <c r="E26" s="12">
        <v>110</v>
      </c>
      <c r="F26" s="12">
        <v>1036654.55132</v>
      </c>
      <c r="G26" s="12">
        <v>1572870.68399</v>
      </c>
      <c r="H26" s="12" t="s">
        <v>10</v>
      </c>
      <c r="I26" s="14">
        <v>87.353610000000003</v>
      </c>
      <c r="J26" s="14">
        <v>90.704669999999993</v>
      </c>
      <c r="K26" s="14">
        <v>106.82086</v>
      </c>
      <c r="L26" s="14">
        <v>122.04107999999999</v>
      </c>
      <c r="M26" s="14">
        <v>131.56626</v>
      </c>
      <c r="N26" s="14">
        <v>144.41079999999999</v>
      </c>
      <c r="O26" s="14">
        <v>163.61559</v>
      </c>
      <c r="P26" s="14">
        <v>185.20355000000001</v>
      </c>
    </row>
    <row r="27" spans="1:16" x14ac:dyDescent="0.45">
      <c r="A27" s="12">
        <v>28040350</v>
      </c>
      <c r="B27" s="12" t="s">
        <v>38</v>
      </c>
      <c r="C27" s="12">
        <v>9.6569722220000003</v>
      </c>
      <c r="D27" s="12">
        <v>-73.743694439999999</v>
      </c>
      <c r="E27" s="12">
        <v>30</v>
      </c>
      <c r="F27" s="12">
        <v>1036637.02737</v>
      </c>
      <c r="G27" s="12">
        <v>1559699.12093</v>
      </c>
      <c r="H27" s="12" t="s">
        <v>8</v>
      </c>
      <c r="I27" s="14">
        <v>79.869960000000006</v>
      </c>
      <c r="J27" s="14">
        <v>88.225650000000002</v>
      </c>
      <c r="K27" s="14">
        <v>123.46736</v>
      </c>
      <c r="L27" s="14">
        <v>150.90566000000001</v>
      </c>
      <c r="M27" s="14">
        <v>166.00243</v>
      </c>
      <c r="N27" s="14">
        <v>184.41255000000001</v>
      </c>
      <c r="O27" s="14">
        <v>208.66636</v>
      </c>
      <c r="P27" s="14">
        <v>232.36528999999999</v>
      </c>
    </row>
    <row r="28" spans="1:16" x14ac:dyDescent="0.45">
      <c r="A28" s="12" t="s">
        <v>57</v>
      </c>
      <c r="B28" s="12" t="s">
        <v>39</v>
      </c>
      <c r="C28" s="12">
        <v>10.064161</v>
      </c>
      <c r="D28" s="12">
        <v>-72.937769000000003</v>
      </c>
      <c r="E28" s="12">
        <v>2871</v>
      </c>
      <c r="F28" s="12">
        <v>1124943.4475400001</v>
      </c>
      <c r="G28" s="12">
        <v>1604936.2703100001</v>
      </c>
      <c r="H28" s="12" t="s">
        <v>43</v>
      </c>
      <c r="I28" s="14">
        <v>86.058298715291983</v>
      </c>
      <c r="J28" s="14">
        <v>90.945880999766914</v>
      </c>
      <c r="K28" s="14">
        <v>115.48827900729611</v>
      </c>
      <c r="L28" s="14">
        <v>140.17606390329362</v>
      </c>
      <c r="M28" s="14">
        <v>156.33918656480321</v>
      </c>
      <c r="N28" s="14">
        <v>178.96936340950296</v>
      </c>
      <c r="O28" s="14">
        <v>214.51850242261</v>
      </c>
      <c r="P28" s="14">
        <v>256.80764074344023</v>
      </c>
    </row>
    <row r="29" spans="1:16" x14ac:dyDescent="0.45">
      <c r="A29" s="12" t="s">
        <v>58</v>
      </c>
      <c r="B29" s="12" t="s">
        <v>40</v>
      </c>
      <c r="C29" s="12">
        <v>9.7391120000000004</v>
      </c>
      <c r="D29" s="12">
        <v>-72.944278999999995</v>
      </c>
      <c r="E29" s="12">
        <v>1323</v>
      </c>
      <c r="F29" s="12">
        <v>1124352.0195200001</v>
      </c>
      <c r="G29" s="12">
        <v>1568974.40072</v>
      </c>
      <c r="H29" s="12" t="s">
        <v>43</v>
      </c>
      <c r="I29" s="14">
        <v>80.498526501205149</v>
      </c>
      <c r="J29" s="14">
        <v>86.708210040723273</v>
      </c>
      <c r="K29" s="14">
        <v>114.07656607145626</v>
      </c>
      <c r="L29" s="14">
        <v>137.0392404243305</v>
      </c>
      <c r="M29" s="14">
        <v>150.42736625308919</v>
      </c>
      <c r="N29" s="14">
        <v>167.5974038019647</v>
      </c>
      <c r="O29" s="14">
        <v>191.85734201417372</v>
      </c>
      <c r="P29" s="14">
        <v>217.69706119909932</v>
      </c>
    </row>
    <row r="30" spans="1:16" x14ac:dyDescent="0.45">
      <c r="A30" s="12" t="s">
        <v>59</v>
      </c>
      <c r="B30" s="12" t="s">
        <v>41</v>
      </c>
      <c r="C30" s="12">
        <v>9.5500799999999995</v>
      </c>
      <c r="D30" s="12">
        <v>-73.027957999999998</v>
      </c>
      <c r="E30" s="12">
        <v>595</v>
      </c>
      <c r="F30" s="12">
        <v>1115232.8844600001</v>
      </c>
      <c r="G30" s="12">
        <v>1548033.5030100001</v>
      </c>
      <c r="H30" s="12" t="s">
        <v>43</v>
      </c>
      <c r="I30" s="14">
        <v>75.881850512013898</v>
      </c>
      <c r="J30" s="14">
        <v>83.268804817414505</v>
      </c>
      <c r="K30" s="14">
        <v>114.96174599301611</v>
      </c>
      <c r="L30" s="14">
        <v>140.39983854554561</v>
      </c>
      <c r="M30" s="14">
        <v>154.7486976630764</v>
      </c>
      <c r="N30" s="14">
        <v>172.64583241789057</v>
      </c>
      <c r="O30" s="14">
        <v>197.00785038570748</v>
      </c>
      <c r="P30" s="14">
        <v>221.84511098369248</v>
      </c>
    </row>
    <row r="31" spans="1:16" x14ac:dyDescent="0.45">
      <c r="A31" s="12" t="s">
        <v>60</v>
      </c>
      <c r="B31" s="12" t="s">
        <v>42</v>
      </c>
      <c r="C31" s="12">
        <v>9.3958790000000008</v>
      </c>
      <c r="D31" s="12">
        <v>-73.196422999999996</v>
      </c>
      <c r="E31" s="12">
        <v>2467</v>
      </c>
      <c r="F31" s="12">
        <v>1096778.31705</v>
      </c>
      <c r="G31" s="12">
        <v>1530924.56911</v>
      </c>
      <c r="H31" s="12" t="s">
        <v>43</v>
      </c>
      <c r="I31" s="14">
        <v>75.40066456259386</v>
      </c>
      <c r="J31" s="14">
        <v>84.208403898805003</v>
      </c>
      <c r="K31" s="14">
        <v>121.43112498429097</v>
      </c>
      <c r="L31" s="14">
        <v>150.51735770834577</v>
      </c>
      <c r="M31" s="14">
        <v>166.56959736156</v>
      </c>
      <c r="N31" s="14">
        <v>186.20002189412315</v>
      </c>
      <c r="O31" s="14">
        <v>212.16972883170209</v>
      </c>
      <c r="P31" s="14">
        <v>237.68772275019427</v>
      </c>
    </row>
    <row r="32" spans="1:16" x14ac:dyDescent="0.45">
      <c r="A32" s="13" t="s">
        <v>1</v>
      </c>
      <c r="B32" s="13" t="s">
        <v>1</v>
      </c>
      <c r="C32" s="13" t="s">
        <v>43</v>
      </c>
      <c r="D32" s="13" t="s">
        <v>43</v>
      </c>
      <c r="E32" s="13" t="s">
        <v>43</v>
      </c>
      <c r="F32" s="13" t="s">
        <v>43</v>
      </c>
      <c r="G32" s="13" t="s">
        <v>43</v>
      </c>
      <c r="H32" s="13" t="s">
        <v>43</v>
      </c>
      <c r="I32" s="15">
        <f>AVERAGE(I1:I31)</f>
        <v>79.32505194487436</v>
      </c>
      <c r="J32" s="15">
        <f t="shared" ref="J32:P32" si="0">AVERAGE(J1:J31)</f>
        <v>85.578036121184184</v>
      </c>
      <c r="K32" s="15">
        <f t="shared" si="0"/>
        <v>113.18988664696967</v>
      </c>
      <c r="L32" s="15">
        <f t="shared" si="0"/>
        <v>136.44424679295207</v>
      </c>
      <c r="M32" s="15">
        <f t="shared" si="0"/>
        <v>150.05723444653322</v>
      </c>
      <c r="N32" s="15">
        <f t="shared" si="0"/>
        <v>167.60769553301549</v>
      </c>
      <c r="O32" s="15">
        <f t="shared" si="0"/>
        <v>192.6927991501353</v>
      </c>
      <c r="P32" s="15">
        <f t="shared" si="0"/>
        <v>220.06109953794919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F1FA-CE3A-4B86-9866-A0F80537081E}">
  <dimension ref="B2:B22"/>
  <sheetViews>
    <sheetView showGridLines="0" showRowColHeaders="0" zoomScale="115" zoomScaleNormal="115" workbookViewId="0">
      <selection activeCell="B7" sqref="B7"/>
    </sheetView>
  </sheetViews>
  <sheetFormatPr defaultColWidth="11.3984375" defaultRowHeight="16.5" x14ac:dyDescent="0.45"/>
  <cols>
    <col min="1" max="1" width="2.73046875" style="2" customWidth="1"/>
    <col min="2" max="2" width="63.86328125" style="2" customWidth="1"/>
    <col min="3" max="16384" width="11.3984375" style="2"/>
  </cols>
  <sheetData>
    <row r="2" spans="2:2" x14ac:dyDescent="0.45">
      <c r="B2" s="1" t="s">
        <v>45</v>
      </c>
    </row>
    <row r="3" spans="2:2" x14ac:dyDescent="0.45">
      <c r="B3" s="3" t="s">
        <v>46</v>
      </c>
    </row>
    <row r="4" spans="2:2" x14ac:dyDescent="0.45">
      <c r="B4" s="3" t="s">
        <v>47</v>
      </c>
    </row>
    <row r="5" spans="2:2" x14ac:dyDescent="0.45">
      <c r="B5" s="1"/>
    </row>
    <row r="6" spans="2:2" x14ac:dyDescent="0.45">
      <c r="B6" s="1" t="s">
        <v>48</v>
      </c>
    </row>
    <row r="7" spans="2:2" x14ac:dyDescent="0.45">
      <c r="B7" s="4" t="s">
        <v>49</v>
      </c>
    </row>
    <row r="22" spans="2:2" x14ac:dyDescent="0.45">
      <c r="B22" s="5" t="s">
        <v>50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293DA03B-F276-4B1F-BF52-7F6CF59615BF}"/>
    <hyperlink ref="B4" r:id="rId2" xr:uid="{9060818B-CC67-4E24-A508-AB43C83A160E}"/>
    <hyperlink ref="B7" r:id="rId3" xr:uid="{0D879672-7129-48A4-94AF-51F4BEE4D96C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PMax24hSerie1980a2018</vt:lpstr>
      <vt:lpstr>PMP Analisis</vt:lpstr>
      <vt:lpstr>PMP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dcterms:created xsi:type="dcterms:W3CDTF">2019-05-05T14:16:53Z</dcterms:created>
  <dcterms:modified xsi:type="dcterms:W3CDTF">2026-01-27T14:02:23Z</dcterms:modified>
</cp:coreProperties>
</file>