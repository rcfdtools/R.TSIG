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pruebacorreoescuelaingeduco-my.sharepoint.com/personal/william_aguilar_escuelaing_edu_co/Documents/ECIJG.ClassSourcecode/HIDG/HIDG0023/"/>
    </mc:Choice>
  </mc:AlternateContent>
  <xr:revisionPtr revIDLastSave="66" documentId="13_ncr:1_{075DD33D-4EC4-4770-8638-FFD292DBC3EF}" xr6:coauthVersionLast="47" xr6:coauthVersionMax="47" xr10:uidLastSave="{FAC511FA-F6EE-444D-8157-BF49BDCDE77C}"/>
  <bookViews>
    <workbookView xWindow="-120" yWindow="-120" windowWidth="29040" windowHeight="15720" xr2:uid="{03B55DA4-6B51-4AED-8FA8-1B5F13EEC1E3}"/>
  </bookViews>
  <sheets>
    <sheet name="STR" sheetId="1" r:id="rId1"/>
    <sheet name="{R}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5" i="1" l="1"/>
  <c r="F4" i="1"/>
  <c r="D4" i="1"/>
  <c r="D5" i="1"/>
  <c r="D6" i="1"/>
  <c r="F6" i="1"/>
  <c r="D7" i="1"/>
  <c r="F7" i="1"/>
  <c r="D8" i="1"/>
  <c r="F8" i="1"/>
  <c r="D9" i="1"/>
  <c r="F9" i="1"/>
  <c r="D10" i="1"/>
  <c r="F10" i="1"/>
</calcChain>
</file>

<file path=xl/sharedStrings.xml><?xml version="1.0" encoding="utf-8"?>
<sst xmlns="http://schemas.openxmlformats.org/spreadsheetml/2006/main" count="14" uniqueCount="14">
  <si>
    <t>*# de subcuencas igual a número de hietogramas requeridos.</t>
  </si>
  <si>
    <t xml:space="preserve"> </t>
  </si>
  <si>
    <t>r.cfdtools@gmail.com</t>
  </si>
  <si>
    <t>Demarcación de drenajes por área de aportación - Stream definition - STR</t>
  </si>
  <si>
    <t>Resolución celdas, m</t>
  </si>
  <si>
    <t># celdas requeridas</t>
  </si>
  <si>
    <t>Contenido creado por:</t>
  </si>
  <si>
    <t>https://github.com/rcfdtools</t>
  </si>
  <si>
    <t>Licencia, cláusulas y condiciones de uso en:</t>
  </si>
  <si>
    <t>https://github.com/rcfdtools/R.HydroTools/wiki/License</t>
  </si>
  <si>
    <t>Password: 1234</t>
  </si>
  <si>
    <t># subcuencas obtenidas*</t>
  </si>
  <si>
    <t>Área cuenca principal, km²</t>
  </si>
  <si>
    <t>Área de aportación, km²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</si>
</sst>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Segoe UI Light"/>
      <family val="2"/>
    </font>
    <font>
      <sz val="8"/>
      <color theme="1" tint="0.499984740745262"/>
      <name val="Segoe UI Light"/>
      <family val="2"/>
    </font>
    <font>
      <sz val="11"/>
      <color rgb="FF0070C0"/>
      <name val="Segoe UI Light"/>
      <family val="2"/>
    </font>
    <font>
      <u/>
      <sz val="11"/>
      <color theme="10"/>
      <name val="Calibri"/>
      <family val="2"/>
      <scheme val="minor"/>
    </font>
    <font>
      <sz val="8"/>
      <color theme="1"/>
      <name val="Segoe UI Light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10">
    <border>
      <left/>
      <right/>
      <top/>
      <bottom/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theme="0" tint="-4.9989318521683403E-2"/>
      </top>
      <bottom style="thin">
        <color theme="0" tint="-4.9989318521683403E-2"/>
      </bottom>
      <diagonal/>
    </border>
    <border>
      <left style="thin">
        <color indexed="64"/>
      </left>
      <right style="thin">
        <color theme="0" tint="-4.9989318521683403E-2"/>
      </right>
      <top style="thin">
        <color indexed="64"/>
      </top>
      <bottom style="thin">
        <color theme="0" tint="-4.9989318521683403E-2"/>
      </bottom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indexed="64"/>
      </top>
      <bottom style="thin">
        <color theme="0" tint="-4.9989318521683403E-2"/>
      </bottom>
      <diagonal/>
    </border>
    <border>
      <left style="thin">
        <color theme="0" tint="-4.9989318521683403E-2"/>
      </left>
      <right style="thin">
        <color indexed="64"/>
      </right>
      <top style="thin">
        <color indexed="64"/>
      </top>
      <bottom style="thin">
        <color theme="0" tint="-4.9989318521683403E-2"/>
      </bottom>
      <diagonal/>
    </border>
    <border>
      <left style="thin">
        <color indexed="64"/>
      </left>
      <right style="thin">
        <color theme="0" tint="-4.9989318521683403E-2"/>
      </right>
      <top style="thin">
        <color theme="0" tint="-4.9989318521683403E-2"/>
      </top>
      <bottom style="thin">
        <color theme="0" tint="-4.9989318521683403E-2"/>
      </bottom>
      <diagonal/>
    </border>
    <border>
      <left style="thin">
        <color theme="0" tint="-4.9989318521683403E-2"/>
      </left>
      <right style="thin">
        <color indexed="64"/>
      </right>
      <top style="thin">
        <color theme="0" tint="-4.9989318521683403E-2"/>
      </top>
      <bottom style="thin">
        <color theme="0" tint="-4.9989318521683403E-2"/>
      </bottom>
      <diagonal/>
    </border>
    <border>
      <left style="thin">
        <color indexed="64"/>
      </left>
      <right style="thin">
        <color theme="0" tint="-4.9989318521683403E-2"/>
      </right>
      <top style="thin">
        <color theme="0" tint="-4.9989318521683403E-2"/>
      </top>
      <bottom style="thin">
        <color indexed="64"/>
      </bottom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theme="0" tint="-4.9989318521683403E-2"/>
      </top>
      <bottom style="thin">
        <color indexed="64"/>
      </bottom>
      <diagonal/>
    </border>
    <border>
      <left style="thin">
        <color theme="0" tint="-4.9989318521683403E-2"/>
      </left>
      <right style="thin">
        <color indexed="64"/>
      </right>
      <top style="thin">
        <color theme="0" tint="-4.9989318521683403E-2"/>
      </top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28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right"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left" vertical="center" wrapText="1"/>
    </xf>
    <xf numFmtId="0" fontId="3" fillId="0" borderId="1" xfId="0" applyFont="1" applyBorder="1" applyAlignment="1" applyProtection="1">
      <alignment horizontal="center" vertical="center"/>
      <protection locked="0"/>
    </xf>
    <xf numFmtId="1" fontId="1" fillId="0" borderId="1" xfId="0" applyNumberFormat="1" applyFont="1" applyBorder="1" applyAlignment="1" applyProtection="1">
      <alignment horizontal="center" vertical="center"/>
    </xf>
    <xf numFmtId="0" fontId="1" fillId="0" borderId="1" xfId="0" applyFont="1" applyBorder="1" applyAlignment="1" applyProtection="1">
      <alignment horizontal="center" vertical="center"/>
    </xf>
    <xf numFmtId="164" fontId="1" fillId="0" borderId="1" xfId="0" applyNumberFormat="1" applyFont="1" applyBorder="1" applyAlignment="1" applyProtection="1">
      <alignment horizontal="center" vertical="center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vertical="top"/>
    </xf>
    <xf numFmtId="0" fontId="3" fillId="0" borderId="0" xfId="1" applyFont="1" applyAlignment="1" applyProtection="1">
      <alignment horizontal="center" vertical="top" wrapText="1"/>
    </xf>
    <xf numFmtId="0" fontId="3" fillId="0" borderId="0" xfId="1" applyFont="1" applyAlignment="1" applyProtection="1">
      <alignment horizontal="center" vertical="top"/>
      <protection locked="0"/>
    </xf>
    <xf numFmtId="0" fontId="5" fillId="0" borderId="0" xfId="0" applyFont="1" applyAlignment="1">
      <alignment horizontal="center" vertical="top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3" fillId="0" borderId="5" xfId="0" applyFont="1" applyBorder="1" applyAlignment="1" applyProtection="1">
      <alignment horizontal="center" vertical="center"/>
      <protection locked="0"/>
    </xf>
    <xf numFmtId="1" fontId="1" fillId="0" borderId="6" xfId="0" applyNumberFormat="1" applyFont="1" applyBorder="1" applyAlignment="1" applyProtection="1">
      <alignment horizontal="center" vertical="center"/>
    </xf>
    <xf numFmtId="0" fontId="3" fillId="0" borderId="7" xfId="0" applyFont="1" applyBorder="1" applyAlignment="1" applyProtection="1">
      <alignment horizontal="center" vertical="center"/>
      <protection locked="0"/>
    </xf>
    <xf numFmtId="1" fontId="1" fillId="0" borderId="8" xfId="0" applyNumberFormat="1" applyFont="1" applyBorder="1" applyAlignment="1" applyProtection="1">
      <alignment horizontal="center" vertical="center"/>
    </xf>
    <xf numFmtId="164" fontId="1" fillId="0" borderId="8" xfId="0" applyNumberFormat="1" applyFont="1" applyBorder="1" applyAlignment="1" applyProtection="1">
      <alignment horizontal="center" vertical="center"/>
    </xf>
    <xf numFmtId="0" fontId="3" fillId="0" borderId="8" xfId="0" applyFont="1" applyBorder="1" applyAlignment="1" applyProtection="1">
      <alignment horizontal="center" vertical="center"/>
      <protection locked="0"/>
    </xf>
    <xf numFmtId="1" fontId="1" fillId="0" borderId="9" xfId="0" applyNumberFormat="1" applyFont="1" applyBorder="1" applyAlignment="1" applyProtection="1">
      <alignment horizontal="center" vertical="center"/>
    </xf>
    <xf numFmtId="0" fontId="1" fillId="0" borderId="0" xfId="0" applyFont="1" applyBorder="1" applyAlignment="1">
      <alignment horizontal="left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STR!$B$2</c:f>
          <c:strCache>
            <c:ptCount val="1"/>
            <c:pt idx="0">
              <c:v>Demarcación de drenajes por área de aportación - Stream definition - STR</c:v>
            </c:pt>
          </c:strCache>
        </c:strRef>
      </c:tx>
      <c:layout>
        <c:manualLayout>
          <c:xMode val="edge"/>
          <c:yMode val="edge"/>
          <c:x val="0.13459735016359503"/>
          <c:y val="2.116666666666666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spc="0" baseline="0">
              <a:solidFill>
                <a:sysClr val="windowText" lastClr="000000"/>
              </a:solidFill>
              <a:latin typeface="Segoe UI Light" panose="020B0502040204020203" pitchFamily="34" charset="0"/>
              <a:ea typeface="+mn-ea"/>
              <a:cs typeface="Segoe UI Light" panose="020B0502040204020203" pitchFamily="34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0290799684318644"/>
          <c:y val="0.24277083333333332"/>
          <c:w val="0.63936367827575813"/>
          <c:h val="0.58333361111111115"/>
        </c:manualLayout>
      </c:layout>
      <c:scatterChart>
        <c:scatterStyle val="smoothMarker"/>
        <c:varyColors val="0"/>
        <c:ser>
          <c:idx val="0"/>
          <c:order val="0"/>
          <c:tx>
            <c:strRef>
              <c:f>STR!$F$3</c:f>
              <c:strCache>
                <c:ptCount val="1"/>
                <c:pt idx="0">
                  <c:v># celdas requeridas</c:v>
                </c:pt>
              </c:strCache>
            </c:strRef>
          </c:tx>
          <c:spPr>
            <a:ln w="63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3"/>
            <c:spPr>
              <a:solidFill>
                <a:schemeClr val="tx1"/>
              </a:solidFill>
              <a:ln w="9525">
                <a:noFill/>
              </a:ln>
              <a:effectLst/>
            </c:spPr>
          </c:marker>
          <c:xVal>
            <c:numRef>
              <c:f>STR!$C$4:$C$10</c:f>
              <c:numCache>
                <c:formatCode>0</c:formatCode>
                <c:ptCount val="7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16</c:v>
                </c:pt>
                <c:pt idx="5">
                  <c:v>32</c:v>
                </c:pt>
                <c:pt idx="6">
                  <c:v>64</c:v>
                </c:pt>
              </c:numCache>
            </c:numRef>
          </c:xVal>
          <c:yVal>
            <c:numRef>
              <c:f>STR!$F$4:$F$10</c:f>
              <c:numCache>
                <c:formatCode>0</c:formatCode>
                <c:ptCount val="7"/>
                <c:pt idx="0">
                  <c:v>6400</c:v>
                </c:pt>
                <c:pt idx="1">
                  <c:v>12800</c:v>
                </c:pt>
                <c:pt idx="2">
                  <c:v>25600</c:v>
                </c:pt>
                <c:pt idx="3">
                  <c:v>51200</c:v>
                </c:pt>
                <c:pt idx="4">
                  <c:v>102400</c:v>
                </c:pt>
                <c:pt idx="5">
                  <c:v>204800</c:v>
                </c:pt>
                <c:pt idx="6">
                  <c:v>409600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BBC-4FEB-9204-7DD31E19C0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64885520"/>
        <c:axId val="764885936"/>
      </c:scatterChart>
      <c:scatterChart>
        <c:scatterStyle val="smoothMarker"/>
        <c:varyColors val="0"/>
        <c:ser>
          <c:idx val="1"/>
          <c:order val="1"/>
          <c:tx>
            <c:strRef>
              <c:f>STR!$D$3</c:f>
              <c:strCache>
                <c:ptCount val="1"/>
                <c:pt idx="0">
                  <c:v># subcuencas obtenidas*</c:v>
                </c:pt>
              </c:strCache>
            </c:strRef>
          </c:tx>
          <c:spPr>
            <a:ln w="6350" cap="rnd">
              <a:solidFill>
                <a:schemeClr val="tx1"/>
              </a:solidFill>
              <a:round/>
            </a:ln>
            <a:effectLst/>
          </c:spPr>
          <c:marker>
            <c:symbol val="triangle"/>
            <c:size val="4"/>
            <c:spPr>
              <a:solidFill>
                <a:schemeClr val="tx1"/>
              </a:solidFill>
              <a:ln w="6350">
                <a:noFill/>
              </a:ln>
              <a:effectLst/>
            </c:spPr>
          </c:marker>
          <c:xVal>
            <c:numRef>
              <c:f>STR!$C$4:$C$10</c:f>
              <c:numCache>
                <c:formatCode>0</c:formatCode>
                <c:ptCount val="7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16</c:v>
                </c:pt>
                <c:pt idx="5">
                  <c:v>32</c:v>
                </c:pt>
                <c:pt idx="6">
                  <c:v>64</c:v>
                </c:pt>
              </c:numCache>
            </c:numRef>
          </c:xVal>
          <c:yVal>
            <c:numRef>
              <c:f>STR!$D$4:$D$10</c:f>
              <c:numCache>
                <c:formatCode>General</c:formatCode>
                <c:ptCount val="7"/>
                <c:pt idx="0">
                  <c:v>1000</c:v>
                </c:pt>
                <c:pt idx="1">
                  <c:v>500</c:v>
                </c:pt>
                <c:pt idx="2">
                  <c:v>250</c:v>
                </c:pt>
                <c:pt idx="3">
                  <c:v>125</c:v>
                </c:pt>
                <c:pt idx="4" formatCode="0.0">
                  <c:v>62.5</c:v>
                </c:pt>
                <c:pt idx="5" formatCode="0.0">
                  <c:v>31.25</c:v>
                </c:pt>
                <c:pt idx="6" formatCode="0.0">
                  <c:v>15.625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BBBC-4FEB-9204-7DD31E19C0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75426304"/>
        <c:axId val="975422976"/>
      </c:scatterChart>
      <c:valAx>
        <c:axId val="764885520"/>
        <c:scaling>
          <c:orientation val="minMax"/>
        </c:scaling>
        <c:delete val="0"/>
        <c:axPos val="b"/>
        <c:majorGridlines>
          <c:spPr>
            <a:ln w="3175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title>
          <c:tx>
            <c:strRef>
              <c:f>STR!$C$3</c:f>
              <c:strCache>
                <c:ptCount val="1"/>
                <c:pt idx="0">
                  <c:v>Área de aportación, km²</c:v>
                </c:pt>
              </c:strCache>
            </c:strRef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Segoe UI Light" panose="020B0502040204020203" pitchFamily="34" charset="0"/>
                  <a:ea typeface="+mn-ea"/>
                  <a:cs typeface="Segoe UI Light" panose="020B0502040204020203" pitchFamily="34" charset="0"/>
                </a:defRPr>
              </a:pPr>
              <a:endParaRPr lang="en-US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 w="317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Segoe UI Light" panose="020B0502040204020203" pitchFamily="34" charset="0"/>
                <a:ea typeface="+mn-ea"/>
                <a:cs typeface="Segoe UI Light" panose="020B0502040204020203" pitchFamily="34" charset="0"/>
              </a:defRPr>
            </a:pPr>
            <a:endParaRPr lang="en-US"/>
          </a:p>
        </c:txPr>
        <c:crossAx val="764885936"/>
        <c:crosses val="autoZero"/>
        <c:crossBetween val="midCat"/>
      </c:valAx>
      <c:valAx>
        <c:axId val="764885936"/>
        <c:scaling>
          <c:orientation val="minMax"/>
        </c:scaling>
        <c:delete val="0"/>
        <c:axPos val="l"/>
        <c:majorGridlines>
          <c:spPr>
            <a:ln w="3175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title>
          <c:tx>
            <c:strRef>
              <c:f>STR!$F$3</c:f>
              <c:strCache>
                <c:ptCount val="1"/>
                <c:pt idx="0">
                  <c:v># celdas requeridas</c:v>
                </c:pt>
              </c:strCache>
            </c:strRef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Segoe UI Light" panose="020B0502040204020203" pitchFamily="34" charset="0"/>
                  <a:ea typeface="+mn-ea"/>
                  <a:cs typeface="Segoe UI Light" panose="020B0502040204020203" pitchFamily="34" charset="0"/>
                </a:defRPr>
              </a:pPr>
              <a:endParaRPr lang="en-US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 w="317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Segoe UI Light" panose="020B0502040204020203" pitchFamily="34" charset="0"/>
                <a:ea typeface="+mn-ea"/>
                <a:cs typeface="Segoe UI Light" panose="020B0502040204020203" pitchFamily="34" charset="0"/>
              </a:defRPr>
            </a:pPr>
            <a:endParaRPr lang="en-US"/>
          </a:p>
        </c:txPr>
        <c:crossAx val="764885520"/>
        <c:crosses val="autoZero"/>
        <c:crossBetween val="midCat"/>
      </c:valAx>
      <c:valAx>
        <c:axId val="975422976"/>
        <c:scaling>
          <c:orientation val="minMax"/>
        </c:scaling>
        <c:delete val="0"/>
        <c:axPos val="r"/>
        <c:title>
          <c:tx>
            <c:strRef>
              <c:f>STR!$D$3</c:f>
              <c:strCache>
                <c:ptCount val="1"/>
                <c:pt idx="0">
                  <c:v># subcuencas obtenidas*</c:v>
                </c:pt>
              </c:strCache>
            </c:strRef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Segoe UI Light" panose="020B0502040204020203" pitchFamily="34" charset="0"/>
                  <a:ea typeface="+mn-ea"/>
                  <a:cs typeface="Segoe UI Light" panose="020B0502040204020203" pitchFamily="34" charset="0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317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Segoe UI Light" panose="020B0502040204020203" pitchFamily="34" charset="0"/>
                <a:ea typeface="+mn-ea"/>
                <a:cs typeface="Segoe UI Light" panose="020B0502040204020203" pitchFamily="34" charset="0"/>
              </a:defRPr>
            </a:pPr>
            <a:endParaRPr lang="en-US"/>
          </a:p>
        </c:txPr>
        <c:crossAx val="975426304"/>
        <c:crosses val="max"/>
        <c:crossBetween val="midCat"/>
      </c:valAx>
      <c:valAx>
        <c:axId val="975426304"/>
        <c:scaling>
          <c:orientation val="minMax"/>
        </c:scaling>
        <c:delete val="1"/>
        <c:axPos val="b"/>
        <c:numFmt formatCode="0" sourceLinked="1"/>
        <c:majorTickMark val="out"/>
        <c:minorTickMark val="none"/>
        <c:tickLblPos val="nextTo"/>
        <c:crossAx val="975422976"/>
        <c:crossBetween val="midCat"/>
      </c:valAx>
      <c:spPr>
        <a:noFill/>
        <a:ln w="3175">
          <a:solidFill>
            <a:schemeClr val="bg1">
              <a:lumMod val="95000"/>
            </a:schemeClr>
          </a:solidFill>
        </a:ln>
        <a:effectLst/>
      </c:spPr>
    </c:plotArea>
    <c:legend>
      <c:legendPos val="t"/>
      <c:layout>
        <c:manualLayout>
          <c:xMode val="edge"/>
          <c:yMode val="edge"/>
          <c:x val="7.8286332469532038E-2"/>
          <c:y val="0.13405555555555557"/>
          <c:w val="0.81448433204518977"/>
          <c:h val="6.761666666666667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ysClr val="windowText" lastClr="000000"/>
              </a:solidFill>
              <a:latin typeface="Segoe UI Light" panose="020B0502040204020203" pitchFamily="34" charset="0"/>
              <a:ea typeface="+mn-ea"/>
              <a:cs typeface="Segoe UI Light" panose="020B0502040204020203" pitchFamily="34" charset="0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000">
          <a:solidFill>
            <a:sysClr val="windowText" lastClr="000000"/>
          </a:solidFill>
          <a:latin typeface="Segoe UI Light" panose="020B0502040204020203" pitchFamily="34" charset="0"/>
          <a:cs typeface="Segoe UI Light" panose="020B0502040204020203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110131</xdr:colOff>
      <xdr:row>1</xdr:row>
      <xdr:rowOff>203001</xdr:rowOff>
    </xdr:from>
    <xdr:to>
      <xdr:col>11</xdr:col>
      <xdr:colOff>51115</xdr:colOff>
      <xdr:row>17</xdr:row>
      <xdr:rowOff>46579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99DA43E-D1E3-4A81-BD67-98A0FF46DC9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790128</xdr:colOff>
      <xdr:row>7</xdr:row>
      <xdr:rowOff>130387</xdr:rowOff>
    </xdr:from>
    <xdr:ext cx="2661006" cy="2635012"/>
    <xdr:pic>
      <xdr:nvPicPr>
        <xdr:cNvPr id="2" name="Picture 1">
          <a:extLst>
            <a:ext uri="{FF2B5EF4-FFF2-40B4-BE49-F238E27FC236}">
              <a16:creationId xmlns:a16="http://schemas.microsoft.com/office/drawing/2014/main" id="{5B379302-9B31-4595-B8B0-0D29A7E6AB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1103" y="1597237"/>
          <a:ext cx="2661006" cy="2635012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github.com/rcfdtools/R.HydroTools/wiki/License" TargetMode="External"/><Relationship Id="rId2" Type="http://schemas.openxmlformats.org/officeDocument/2006/relationships/hyperlink" Target="https://github.com/rcfdtools" TargetMode="External"/><Relationship Id="rId1" Type="http://schemas.openxmlformats.org/officeDocument/2006/relationships/hyperlink" Target="mailto:r.cfdtools@gmail.com" TargetMode="External"/><Relationship Id="rId5" Type="http://schemas.openxmlformats.org/officeDocument/2006/relationships/drawing" Target="../drawings/drawing2.xm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1415A4-076C-4BD2-9369-99B3F132DD0C}">
  <dimension ref="A1:H11"/>
  <sheetViews>
    <sheetView showGridLines="0" showRowColHeaders="0" tabSelected="1" zoomScale="160" zoomScaleNormal="160" workbookViewId="0">
      <selection activeCell="B11" sqref="B11"/>
    </sheetView>
  </sheetViews>
  <sheetFormatPr defaultColWidth="11.42578125" defaultRowHeight="16.5" x14ac:dyDescent="0.25"/>
  <cols>
    <col min="1" max="1" width="2.7109375" style="1" customWidth="1"/>
    <col min="2" max="2" width="16.5703125" style="3" customWidth="1"/>
    <col min="3" max="3" width="17" style="3" customWidth="1"/>
    <col min="4" max="4" width="17.140625" style="3" customWidth="1"/>
    <col min="5" max="5" width="10.42578125" style="3" customWidth="1"/>
    <col min="6" max="6" width="17.140625" style="3" customWidth="1"/>
    <col min="7" max="7" width="2.7109375" style="3" customWidth="1"/>
    <col min="8" max="8" width="17.85546875" style="3" customWidth="1"/>
    <col min="9" max="9" width="11.42578125" style="1"/>
    <col min="10" max="10" width="17.140625" style="1" bestFit="1" customWidth="1"/>
    <col min="11" max="11" width="20.28515625" style="1" bestFit="1" customWidth="1"/>
    <col min="12" max="12" width="19.85546875" style="1" bestFit="1" customWidth="1"/>
    <col min="13" max="16384" width="11.42578125" style="1"/>
  </cols>
  <sheetData>
    <row r="1" spans="1:8" x14ac:dyDescent="0.25">
      <c r="B1" s="2"/>
      <c r="F1" s="4"/>
    </row>
    <row r="2" spans="1:8" x14ac:dyDescent="0.25">
      <c r="B2" s="27" t="s">
        <v>3</v>
      </c>
      <c r="C2" s="27"/>
      <c r="D2" s="27"/>
      <c r="E2" s="27"/>
      <c r="F2" s="27"/>
      <c r="G2" s="5"/>
      <c r="H2" s="5"/>
    </row>
    <row r="3" spans="1:8" s="6" customFormat="1" ht="49.5" x14ac:dyDescent="0.25">
      <c r="B3" s="17" t="s">
        <v>12</v>
      </c>
      <c r="C3" s="18" t="s">
        <v>13</v>
      </c>
      <c r="D3" s="18" t="s">
        <v>11</v>
      </c>
      <c r="E3" s="18" t="s">
        <v>4</v>
      </c>
      <c r="F3" s="19" t="s">
        <v>5</v>
      </c>
      <c r="G3" s="7"/>
      <c r="H3" s="7"/>
    </row>
    <row r="4" spans="1:8" x14ac:dyDescent="0.25">
      <c r="A4" s="1" t="s">
        <v>1</v>
      </c>
      <c r="B4" s="20">
        <v>1000</v>
      </c>
      <c r="C4" s="9">
        <v>1</v>
      </c>
      <c r="D4" s="10">
        <f t="shared" ref="D4:D10" si="0">$B$4/C4</f>
        <v>1000</v>
      </c>
      <c r="E4" s="8">
        <v>12.5</v>
      </c>
      <c r="F4" s="21">
        <f>(C4*1000000)/($E$4*$E$4)</f>
        <v>6400</v>
      </c>
    </row>
    <row r="5" spans="1:8" x14ac:dyDescent="0.25">
      <c r="B5" s="20"/>
      <c r="C5" s="9">
        <v>2</v>
      </c>
      <c r="D5" s="10">
        <f t="shared" si="0"/>
        <v>500</v>
      </c>
      <c r="E5" s="8"/>
      <c r="F5" s="21">
        <f>(C5*1000000)/($E$4*$E$4)</f>
        <v>12800</v>
      </c>
    </row>
    <row r="6" spans="1:8" x14ac:dyDescent="0.25">
      <c r="B6" s="20"/>
      <c r="C6" s="9">
        <v>4</v>
      </c>
      <c r="D6" s="10">
        <f t="shared" si="0"/>
        <v>250</v>
      </c>
      <c r="E6" s="8"/>
      <c r="F6" s="21">
        <f t="shared" ref="F4:F10" si="1">(C6*1000000)/($E$4*$E$4)</f>
        <v>25600</v>
      </c>
    </row>
    <row r="7" spans="1:8" x14ac:dyDescent="0.25">
      <c r="B7" s="20"/>
      <c r="C7" s="9">
        <v>8</v>
      </c>
      <c r="D7" s="10">
        <f t="shared" si="0"/>
        <v>125</v>
      </c>
      <c r="E7" s="8"/>
      <c r="F7" s="21">
        <f t="shared" si="1"/>
        <v>51200</v>
      </c>
    </row>
    <row r="8" spans="1:8" x14ac:dyDescent="0.25">
      <c r="B8" s="20"/>
      <c r="C8" s="9">
        <v>16</v>
      </c>
      <c r="D8" s="11">
        <f t="shared" si="0"/>
        <v>62.5</v>
      </c>
      <c r="E8" s="8"/>
      <c r="F8" s="21">
        <f t="shared" si="1"/>
        <v>102400</v>
      </c>
    </row>
    <row r="9" spans="1:8" x14ac:dyDescent="0.25">
      <c r="B9" s="20"/>
      <c r="C9" s="9">
        <v>32</v>
      </c>
      <c r="D9" s="11">
        <f t="shared" si="0"/>
        <v>31.25</v>
      </c>
      <c r="E9" s="8"/>
      <c r="F9" s="21">
        <f t="shared" si="1"/>
        <v>204800</v>
      </c>
    </row>
    <row r="10" spans="1:8" x14ac:dyDescent="0.25">
      <c r="B10" s="22"/>
      <c r="C10" s="23">
        <v>64</v>
      </c>
      <c r="D10" s="24">
        <f t="shared" si="0"/>
        <v>15.625</v>
      </c>
      <c r="E10" s="25"/>
      <c r="F10" s="26">
        <f t="shared" si="1"/>
        <v>409600</v>
      </c>
    </row>
    <row r="11" spans="1:8" x14ac:dyDescent="0.25">
      <c r="B11" s="5" t="s">
        <v>0</v>
      </c>
    </row>
  </sheetData>
  <sheetProtection algorithmName="SHA-512" hashValue="RFp06tBCXimTOGz3R38T3WPVmexmChIF2RQ+nIJfYwFOJVQME/1f/FCWVJ7xLOSRDo9GoageZRX9z+ESmcE/XQ==" saltValue="IyTqI5XTOFC+f0t8xmY3Dg==" spinCount="100000" sheet="1" objects="1" scenarios="1"/>
  <mergeCells count="3">
    <mergeCell ref="B4:B10"/>
    <mergeCell ref="E4:E10"/>
    <mergeCell ref="B2:F2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0ED5C4-D867-4826-AA6A-45A3212B37D0}">
  <dimension ref="B2:B22"/>
  <sheetViews>
    <sheetView showGridLines="0" showRowColHeaders="0" zoomScale="115" zoomScaleNormal="115" workbookViewId="0">
      <selection activeCell="B7" sqref="B7"/>
    </sheetView>
  </sheetViews>
  <sheetFormatPr defaultColWidth="11.42578125" defaultRowHeight="16.5" x14ac:dyDescent="0.25"/>
  <cols>
    <col min="1" max="1" width="2.7109375" style="13" customWidth="1"/>
    <col min="2" max="2" width="63.85546875" style="13" customWidth="1"/>
    <col min="3" max="16384" width="11.42578125" style="13"/>
  </cols>
  <sheetData>
    <row r="2" spans="2:2" x14ac:dyDescent="0.25">
      <c r="B2" s="12" t="s">
        <v>6</v>
      </c>
    </row>
    <row r="3" spans="2:2" x14ac:dyDescent="0.25">
      <c r="B3" s="14" t="s">
        <v>2</v>
      </c>
    </row>
    <row r="4" spans="2:2" x14ac:dyDescent="0.25">
      <c r="B4" s="14" t="s">
        <v>7</v>
      </c>
    </row>
    <row r="5" spans="2:2" x14ac:dyDescent="0.25">
      <c r="B5" s="12"/>
    </row>
    <row r="6" spans="2:2" x14ac:dyDescent="0.25">
      <c r="B6" s="12" t="s">
        <v>8</v>
      </c>
    </row>
    <row r="7" spans="2:2" x14ac:dyDescent="0.25">
      <c r="B7" s="15" t="s">
        <v>9</v>
      </c>
    </row>
    <row r="22" spans="2:2" x14ac:dyDescent="0.25">
      <c r="B22" s="16" t="s">
        <v>10</v>
      </c>
    </row>
  </sheetData>
  <sheetProtection algorithmName="SHA-512" hashValue="bTceIAnuQBpB8+f6rzttpkszPIc8jELrlfCRKErPltUjte8lOzcd5XNQgb2o9GYWOc1rapIGzlpccuIQ5ZvneQ==" saltValue="rlLEvjSGVDIHlX8xFrO/6Q==" spinCount="100000" sheet="1" objects="1" scenarios="1" selectLockedCells="1"/>
  <hyperlinks>
    <hyperlink ref="B3" r:id="rId1" xr:uid="{7770A5C7-3B78-4F57-B932-909CEFAB9D96}"/>
    <hyperlink ref="B4" r:id="rId2" xr:uid="{A361197E-91DD-4A20-B7A8-694522B9FB2B}"/>
    <hyperlink ref="B7" r:id="rId3" xr:uid="{0DDDE545-70D6-4EE2-93BB-15748A478D19}"/>
  </hyperlinks>
  <pageMargins left="0.7" right="0.7" top="0.75" bottom="0.75" header="0.3" footer="0.3"/>
  <pageSetup paperSize="9" orientation="portrait" r:id="rId4"/>
  <drawing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STR</vt:lpstr>
      <vt:lpstr>{R}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[ R ]</cp:lastModifiedBy>
  <dcterms:created xsi:type="dcterms:W3CDTF">2019-04-24T12:55:41Z</dcterms:created>
  <dcterms:modified xsi:type="dcterms:W3CDTF">2021-11-26T13:38:36Z</dcterms:modified>
</cp:coreProperties>
</file>