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.TSIG\file\table\"/>
    </mc:Choice>
  </mc:AlternateContent>
  <xr:revisionPtr revIDLastSave="0" documentId="13_ncr:1_{E80A11D8-B044-476F-B872-AF7575F180E6}" xr6:coauthVersionLast="47" xr6:coauthVersionMax="47" xr10:uidLastSave="{00000000-0000-0000-0000-000000000000}"/>
  <bookViews>
    <workbookView xWindow="-98" yWindow="-98" windowWidth="28996" windowHeight="15675" activeTab="1" xr2:uid="{19276741-97E1-4F04-AE72-7C7189CE5845}"/>
  </bookViews>
  <sheets>
    <sheet name="DistanciaEstaciones" sheetId="1" r:id="rId1"/>
    <sheet name="DistanciaMultipleEstaciones" sheetId="4" r:id="rId2"/>
    <sheet name="Sheet2" sheetId="3" r:id="rId3"/>
    <sheet name="Sheet1" sheetId="2" r:id="rId4"/>
  </sheets>
  <definedNames>
    <definedName name="DeltaX" localSheetId="1">DistanciaMultipleEstaciones!#REF!</definedName>
    <definedName name="DeltaX">DistanciaEstaciones!$C$6</definedName>
    <definedName name="DeltaY" localSheetId="1">DistanciaMultipleEstaciones!#REF!</definedName>
    <definedName name="DeltaY">DistanciaEstaciones!$D$6</definedName>
    <definedName name="DeltaZ" localSheetId="1">DistanciaMultipleEstaciones!#REF!</definedName>
    <definedName name="DeltaZ">DistanciaEstaciones!$E$6</definedName>
    <definedName name="Distancia2D" localSheetId="1">DistanciaMultipleEstaciones!#REF!</definedName>
    <definedName name="Distancia2D">DistanciaEstaciones!$D$12</definedName>
    <definedName name="Distancia3D" localSheetId="1">DistanciaMultipleEstaciones!#REF!</definedName>
    <definedName name="Distancia3D">DistanciaEstaciones!$D$13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4" l="1"/>
  <c r="G11" i="4"/>
  <c r="G10" i="4"/>
  <c r="F12" i="4"/>
  <c r="F11" i="4"/>
  <c r="I11" i="4" s="1"/>
  <c r="F10" i="4"/>
  <c r="H12" i="4"/>
  <c r="H11" i="4"/>
  <c r="H10" i="4"/>
  <c r="D15" i="1"/>
  <c r="E6" i="1"/>
  <c r="E7" i="1" s="1"/>
  <c r="D6" i="1"/>
  <c r="C6" i="1"/>
  <c r="D12" i="1" s="1"/>
  <c r="D13" i="1" s="1"/>
  <c r="C7" i="1" a="1"/>
  <c r="K12" i="4" l="1"/>
  <c r="K11" i="4"/>
  <c r="K10" i="4"/>
  <c r="P12" i="4"/>
  <c r="O12" i="4"/>
  <c r="J12" i="4"/>
  <c r="P11" i="4"/>
  <c r="O11" i="4"/>
  <c r="L11" i="4"/>
  <c r="J11" i="4"/>
  <c r="I12" i="4"/>
  <c r="L12" i="4"/>
  <c r="O10" i="4"/>
  <c r="L10" i="4"/>
  <c r="J10" i="4"/>
  <c r="I10" i="4"/>
  <c r="P10" i="4"/>
  <c r="D8" i="1"/>
  <c r="D7" i="1"/>
  <c r="D14" i="1"/>
  <c r="D16" i="1"/>
  <c r="D18" i="1"/>
  <c r="D17" i="1"/>
  <c r="L8" i="4" l="1"/>
  <c r="Q11" i="4"/>
  <c r="N11" i="4" s="1"/>
  <c r="R11" i="4"/>
  <c r="M11" i="4"/>
  <c r="Q12" i="4"/>
  <c r="N12" i="4" s="1"/>
  <c r="R12" i="4"/>
  <c r="M12" i="4"/>
  <c r="M10" i="4"/>
  <c r="M8" i="4" s="1"/>
  <c r="R10" i="4"/>
  <c r="Q10" i="4"/>
  <c r="N10" i="4" s="1"/>
  <c r="N8" i="4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<sst xmlns="http://schemas.openxmlformats.org/spreadsheetml/2006/main" count="109" uniqueCount="84">
  <si>
    <t>Estación</t>
  </si>
  <si>
    <t>COORD_Y_m</t>
  </si>
  <si>
    <t>COORD_X_m</t>
  </si>
  <si>
    <t>Cálculo de distancias entre dos estaciones</t>
  </si>
  <si>
    <t>COORD_Z_m</t>
  </si>
  <si>
    <t>ESTACIONID</t>
  </si>
  <si>
    <t>wkt_geom</t>
  </si>
  <si>
    <t>Activar</t>
  </si>
  <si>
    <t>Estatal</t>
  </si>
  <si>
    <t>Virtual</t>
  </si>
  <si>
    <t>ESTACION</t>
  </si>
  <si>
    <t>TIPO</t>
  </si>
  <si>
    <t>CLASE</t>
  </si>
  <si>
    <t>ESTADO</t>
  </si>
  <si>
    <t>FUENTE</t>
  </si>
  <si>
    <t>DEPARTAMEN</t>
  </si>
  <si>
    <t>MUNICIPIO</t>
  </si>
  <si>
    <t>CORRIENTE</t>
  </si>
  <si>
    <t>FECHA_INST</t>
  </si>
  <si>
    <t>FECHA_SUSP</t>
  </si>
  <si>
    <t>LAT_DD_N</t>
  </si>
  <si>
    <t>LON_DD_O</t>
  </si>
  <si>
    <t>COTA_MDT_M</t>
  </si>
  <si>
    <t>AREAH</t>
  </si>
  <si>
    <t>ZONAH</t>
  </si>
  <si>
    <t>SUBZONAH</t>
  </si>
  <si>
    <t>Point (-74.46241700000000208 5.48508300000000037)</t>
  </si>
  <si>
    <t>SAN PABLO [23060160]</t>
  </si>
  <si>
    <t>PM</t>
  </si>
  <si>
    <t>ACT</t>
  </si>
  <si>
    <t>IDEAM</t>
  </si>
  <si>
    <t>Cundinamarca</t>
  </si>
  <si>
    <t>Caparrapí</t>
  </si>
  <si>
    <t>Gachaneca</t>
  </si>
  <si>
    <t>Magdalena Cauca</t>
  </si>
  <si>
    <t>Medio Magdalena</t>
  </si>
  <si>
    <t>Río Negro</t>
  </si>
  <si>
    <t>Point (-74.5833329999999961 5.5)</t>
  </si>
  <si>
    <t>CAPTACION-BOCATOMA [23067010]</t>
  </si>
  <si>
    <t>LM</t>
  </si>
  <si>
    <t>SUS</t>
  </si>
  <si>
    <t>Puerto Salgar</t>
  </si>
  <si>
    <t>Negro</t>
  </si>
  <si>
    <t>v.20260124</t>
  </si>
  <si>
    <t>Δ</t>
  </si>
  <si>
    <t>Centroide</t>
  </si>
  <si>
    <t>Distancia 2D (m)</t>
  </si>
  <si>
    <t>Distancia 3D trigonométrica (m)</t>
  </si>
  <si>
    <t>Distancia 3D Pitágoras (m)</t>
  </si>
  <si>
    <t>Parámetro</t>
  </si>
  <si>
    <t>Valor</t>
  </si>
  <si>
    <t xml:space="preserve"> =(DeltaX^2+DeltaY^2)^0.5</t>
  </si>
  <si>
    <t xml:space="preserve"> =(Distancia2D^2+DeltaZ^2)^0.5</t>
  </si>
  <si>
    <t xml:space="preserve"> =ABS(ATAN(DeltaZ/Distancia2D))</t>
  </si>
  <si>
    <t xml:space="preserve"> =ABS(ATAN(DeltaZ/Distancia2D)*180/PI())</t>
  </si>
  <si>
    <t xml:space="preserve"> =ABS(DeltaZ/SIN(D13))</t>
  </si>
  <si>
    <t>Formulación</t>
  </si>
  <si>
    <t>Cálculo de longitud, dirección e inclinación</t>
  </si>
  <si>
    <t>Inclinación 3D (rad)</t>
  </si>
  <si>
    <t>Inclinación 3D (°)</t>
  </si>
  <si>
    <t>Dirección 2D (rad)</t>
  </si>
  <si>
    <t xml:space="preserve">  =ATAN(DeltaY/DeltaX)</t>
  </si>
  <si>
    <t>CX (m)</t>
  </si>
  <si>
    <t>CY (m)</t>
  </si>
  <si>
    <t>CZ (m)</t>
  </si>
  <si>
    <t>Dirección 2D (°)</t>
  </si>
  <si>
    <t xml:space="preserve"> =ATAN(DeltaY/DeltaX)*180/PI()</t>
  </si>
  <si>
    <t>Centroide Google maps:</t>
  </si>
  <si>
    <t>Dirección con respecto a la horizontal de la estación más al norte.</t>
  </si>
  <si>
    <t>Cálculo de distancias entre múltiples estaciones</t>
  </si>
  <si>
    <t>Localización de estación o punto de referencia</t>
  </si>
  <si>
    <t>Punto arbitrario</t>
  </si>
  <si>
    <t>Estaciones próximas</t>
  </si>
  <si>
    <t>ΔX</t>
  </si>
  <si>
    <t>ΔY</t>
  </si>
  <si>
    <t>ΔZ</t>
  </si>
  <si>
    <t>Centroide X</t>
  </si>
  <si>
    <t>Centroide Y</t>
  </si>
  <si>
    <t>Centroide Z</t>
  </si>
  <si>
    <t>CAMPO CAPOTE [23125040]</t>
  </si>
  <si>
    <t>MELITOSA LA [23140060]</t>
  </si>
  <si>
    <t>PUENTE FERROCARRIL OPÓN [23147020]</t>
  </si>
  <si>
    <t>v.20260901</t>
  </si>
  <si>
    <t>Promedio σ: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</si>
</sst>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Segoe UI Light"/>
      <family val="2"/>
    </font>
    <font>
      <sz val="11"/>
      <color rgb="FF0070C0"/>
      <name val="Segoe UI Light"/>
      <family val="2"/>
    </font>
    <font>
      <sz val="8"/>
      <color theme="1"/>
      <name val="Segoe UI Light"/>
      <family val="2"/>
    </font>
    <font>
      <sz val="11"/>
      <name val="Segoe UI Light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indexed="64"/>
      </right>
      <top style="thin">
        <color indexed="64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indexed="64"/>
      </bottom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 style="thin">
        <color indexed="64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right" vertical="top"/>
    </xf>
    <xf numFmtId="0" fontId="3" fillId="0" borderId="0" xfId="0" applyFont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164" fontId="1" fillId="0" borderId="2" xfId="0" applyNumberFormat="1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2" fillId="0" borderId="6" xfId="0" applyFont="1" applyBorder="1" applyAlignment="1">
      <alignment horizontal="left" vertical="top"/>
    </xf>
    <xf numFmtId="0" fontId="2" fillId="0" borderId="7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/>
    </xf>
    <xf numFmtId="0" fontId="1" fillId="0" borderId="10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top"/>
    </xf>
    <xf numFmtId="164" fontId="1" fillId="0" borderId="9" xfId="0" applyNumberFormat="1" applyFont="1" applyBorder="1" applyAlignment="1">
      <alignment horizontal="left" vertical="top"/>
    </xf>
    <xf numFmtId="0" fontId="3" fillId="0" borderId="10" xfId="0" applyFont="1" applyBorder="1" applyAlignment="1">
      <alignment horizontal="left" vertical="top"/>
    </xf>
    <xf numFmtId="0" fontId="1" fillId="2" borderId="3" xfId="0" applyFont="1" applyFill="1" applyBorder="1" applyAlignment="1">
      <alignment horizontal="left" vertical="top"/>
    </xf>
    <xf numFmtId="0" fontId="1" fillId="2" borderId="4" xfId="0" applyFont="1" applyFill="1" applyBorder="1" applyAlignment="1">
      <alignment horizontal="left" vertical="top"/>
    </xf>
    <xf numFmtId="0" fontId="1" fillId="2" borderId="5" xfId="0" applyFont="1" applyFill="1" applyBorder="1" applyAlignment="1">
      <alignment horizontal="left" vertical="top"/>
    </xf>
    <xf numFmtId="0" fontId="2" fillId="0" borderId="11" xfId="0" applyFont="1" applyBorder="1" applyAlignment="1">
      <alignment horizontal="left" vertical="top"/>
    </xf>
    <xf numFmtId="0" fontId="2" fillId="0" borderId="12" xfId="0" applyFont="1" applyBorder="1" applyAlignment="1">
      <alignment horizontal="left" vertical="top"/>
    </xf>
    <xf numFmtId="0" fontId="2" fillId="0" borderId="13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/>
    </xf>
    <xf numFmtId="0" fontId="1" fillId="2" borderId="3" xfId="0" applyFont="1" applyFill="1" applyBorder="1" applyAlignment="1">
      <alignment horizontal="left" vertical="top"/>
    </xf>
    <xf numFmtId="0" fontId="1" fillId="2" borderId="4" xfId="0" applyFont="1" applyFill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2" fillId="0" borderId="8" xfId="0" applyFont="1" applyBorder="1" applyAlignment="1">
      <alignment horizontal="left" vertical="top"/>
    </xf>
    <xf numFmtId="0" fontId="2" fillId="0" borderId="9" xfId="0" applyFont="1" applyBorder="1" applyAlignment="1">
      <alignment horizontal="left" vertical="top"/>
    </xf>
    <xf numFmtId="0" fontId="2" fillId="0" borderId="10" xfId="0" applyFont="1" applyBorder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4" fillId="0" borderId="7" xfId="0" applyFont="1" applyBorder="1" applyAlignment="1">
      <alignment horizontal="left" vertical="top"/>
    </xf>
    <xf numFmtId="0" fontId="1" fillId="2" borderId="3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/>
    </xf>
    <xf numFmtId="0" fontId="1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1016240</xdr:colOff>
      <xdr:row>0</xdr:row>
      <xdr:rowOff>146366</xdr:rowOff>
    </xdr:from>
    <xdr:to>
      <xdr:col>5</xdr:col>
      <xdr:colOff>16443</xdr:colOff>
      <xdr:row>1</xdr:row>
      <xdr:rowOff>176582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CFE99FAD-11CB-49C6-B65F-849C61FE7D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432102" y="146366"/>
          <a:ext cx="1000453" cy="24042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398946</xdr:colOff>
      <xdr:row>1</xdr:row>
      <xdr:rowOff>18142</xdr:rowOff>
    </xdr:from>
    <xdr:to>
      <xdr:col>4</xdr:col>
      <xdr:colOff>455489</xdr:colOff>
      <xdr:row>2</xdr:row>
      <xdr:rowOff>48359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8CDCADA2-3832-458E-A6AA-D936957E7C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86965" y="226960"/>
          <a:ext cx="998053" cy="2390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DCAB2-6DBB-443A-9EF8-7543B8F1FE8D}">
  <dimension ref="B1:E19"/>
  <sheetViews>
    <sheetView showGridLines="0" zoomScale="145" zoomScaleNormal="145" workbookViewId="0">
      <selection activeCell="D24" sqref="D24"/>
    </sheetView>
  </sheetViews>
  <sheetFormatPr defaultColWidth="9.1328125" defaultRowHeight="16.5" x14ac:dyDescent="0.45"/>
  <cols>
    <col min="1" max="1" width="2.6640625" style="4" customWidth="1"/>
    <col min="2" max="2" width="15.86328125" style="4" customWidth="1"/>
    <col min="3" max="3" width="15.3984375" style="4" customWidth="1"/>
    <col min="4" max="4" width="13.86328125" style="4" customWidth="1"/>
    <col min="5" max="5" width="28" style="4" customWidth="1"/>
    <col min="6" max="16384" width="9.1328125" style="4"/>
  </cols>
  <sheetData>
    <row r="1" spans="2:5" x14ac:dyDescent="0.45">
      <c r="E1" s="5" t="s">
        <v>43</v>
      </c>
    </row>
    <row r="2" spans="2:5" x14ac:dyDescent="0.45">
      <c r="B2" s="4" t="s">
        <v>3</v>
      </c>
    </row>
    <row r="3" spans="2:5" x14ac:dyDescent="0.45">
      <c r="B3" s="22" t="s">
        <v>0</v>
      </c>
      <c r="C3" s="23" t="s">
        <v>62</v>
      </c>
      <c r="D3" s="23" t="s">
        <v>63</v>
      </c>
      <c r="E3" s="24" t="s">
        <v>64</v>
      </c>
    </row>
    <row r="4" spans="2:5" x14ac:dyDescent="0.45">
      <c r="B4" s="13">
        <v>23060160</v>
      </c>
      <c r="C4" s="8">
        <v>957346.69072399999</v>
      </c>
      <c r="D4" s="8">
        <v>1098308.88197</v>
      </c>
      <c r="E4" s="14">
        <v>1200</v>
      </c>
    </row>
    <row r="5" spans="2:5" x14ac:dyDescent="0.45">
      <c r="B5" s="25">
        <v>23067010</v>
      </c>
      <c r="C5" s="26">
        <v>943948.59801700001</v>
      </c>
      <c r="D5" s="26">
        <v>1099968.48985</v>
      </c>
      <c r="E5" s="27">
        <v>291</v>
      </c>
    </row>
    <row r="6" spans="2:5" x14ac:dyDescent="0.45">
      <c r="B6" s="10" t="s">
        <v>44</v>
      </c>
      <c r="C6" s="11">
        <f>C5-C4</f>
        <v>-13398.092706999974</v>
      </c>
      <c r="D6" s="11">
        <f t="shared" ref="D6:E6" si="0">D5-D4</f>
        <v>1659.607880000025</v>
      </c>
      <c r="E6" s="12">
        <f t="shared" si="0"/>
        <v>-909</v>
      </c>
    </row>
    <row r="7" spans="2:5" x14ac:dyDescent="0.45">
      <c r="B7" s="16" t="s">
        <v>45</v>
      </c>
      <c r="C7" s="17" cm="1">
        <f t="array" ref="C7">(DeltaX/2)+C4</f>
        <v>950647.6443705</v>
      </c>
      <c r="D7" s="17">
        <f>(DeltaY/2)+D4</f>
        <v>1099138.68591</v>
      </c>
      <c r="E7" s="18">
        <f>(DeltaZ/2)+E4</f>
        <v>745.5</v>
      </c>
    </row>
    <row r="8" spans="2:5" x14ac:dyDescent="0.45">
      <c r="B8" s="4" t="s">
        <v>67</v>
      </c>
      <c r="D8" s="4" t="str">
        <f>_xlfn.CONCAT(C7,",",D7)</f>
        <v>950647.6443705,1099138.68591</v>
      </c>
    </row>
    <row r="10" spans="2:5" x14ac:dyDescent="0.45">
      <c r="B10" s="4" t="s">
        <v>57</v>
      </c>
    </row>
    <row r="11" spans="2:5" x14ac:dyDescent="0.45">
      <c r="B11" s="30" t="s">
        <v>49</v>
      </c>
      <c r="C11" s="31"/>
      <c r="D11" s="23" t="s">
        <v>50</v>
      </c>
      <c r="E11" s="24" t="s">
        <v>56</v>
      </c>
    </row>
    <row r="12" spans="2:5" x14ac:dyDescent="0.45">
      <c r="B12" s="32" t="s">
        <v>46</v>
      </c>
      <c r="C12" s="33"/>
      <c r="D12" s="9">
        <f>(DeltaX^2+DeltaY^2)^0.5</f>
        <v>13500.488380081813</v>
      </c>
      <c r="E12" s="19" t="s">
        <v>51</v>
      </c>
    </row>
    <row r="13" spans="2:5" x14ac:dyDescent="0.45">
      <c r="B13" s="32" t="s">
        <v>48</v>
      </c>
      <c r="C13" s="33"/>
      <c r="D13" s="9">
        <f>(Distancia2D^2+DeltaZ^2)^0.5</f>
        <v>13531.055668377248</v>
      </c>
      <c r="E13" s="19" t="s">
        <v>52</v>
      </c>
    </row>
    <row r="14" spans="2:5" x14ac:dyDescent="0.45">
      <c r="B14" s="15" t="s">
        <v>60</v>
      </c>
      <c r="C14" s="7"/>
      <c r="D14" s="9">
        <f>ATAN(DeltaY/DeltaX)</f>
        <v>-0.12324120575214718</v>
      </c>
      <c r="E14" s="19" t="s">
        <v>61</v>
      </c>
    </row>
    <row r="15" spans="2:5" x14ac:dyDescent="0.45">
      <c r="B15" s="15" t="s">
        <v>65</v>
      </c>
      <c r="C15" s="7"/>
      <c r="D15" s="9">
        <f>ATAN(DeltaY/DeltaX)*180/PI()</f>
        <v>-7.061200951701438</v>
      </c>
      <c r="E15" s="19" t="s">
        <v>66</v>
      </c>
    </row>
    <row r="16" spans="2:5" x14ac:dyDescent="0.45">
      <c r="B16" s="32" t="s">
        <v>58</v>
      </c>
      <c r="C16" s="33"/>
      <c r="D16" s="9">
        <f>ABS(ATAN(DeltaZ/Distancia2D))</f>
        <v>6.722942633598758E-2</v>
      </c>
      <c r="E16" s="19" t="s">
        <v>53</v>
      </c>
    </row>
    <row r="17" spans="2:5" x14ac:dyDescent="0.45">
      <c r="B17" s="32" t="s">
        <v>59</v>
      </c>
      <c r="C17" s="33"/>
      <c r="D17" s="9">
        <f>ABS(ATAN(DeltaZ/Distancia2D)*180/PI())</f>
        <v>3.8519623881377543</v>
      </c>
      <c r="E17" s="19" t="s">
        <v>54</v>
      </c>
    </row>
    <row r="18" spans="2:5" x14ac:dyDescent="0.45">
      <c r="B18" s="28" t="s">
        <v>47</v>
      </c>
      <c r="C18" s="29"/>
      <c r="D18" s="20">
        <f>ABS(DeltaZ/SIN(D16))</f>
        <v>13531.05566837725</v>
      </c>
      <c r="E18" s="21" t="s">
        <v>55</v>
      </c>
    </row>
    <row r="19" spans="2:5" x14ac:dyDescent="0.45">
      <c r="B19" s="6" t="s">
        <v>68</v>
      </c>
    </row>
  </sheetData>
  <mergeCells count="6">
    <mergeCell ref="B18:C18"/>
    <mergeCell ref="B11:C11"/>
    <mergeCell ref="B12:C12"/>
    <mergeCell ref="B13:C13"/>
    <mergeCell ref="B16:C16"/>
    <mergeCell ref="B17:C1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FEC33-4080-475F-B822-E959CBA1839A}">
  <dimension ref="A1:AF20"/>
  <sheetViews>
    <sheetView showGridLines="0" tabSelected="1" zoomScale="130" zoomScaleNormal="130" workbookViewId="0">
      <pane xSplit="5" ySplit="9" topLeftCell="F10" activePane="bottomRight" state="frozen"/>
      <selection pane="topRight" activeCell="F1" sqref="F1"/>
      <selection pane="bottomLeft" activeCell="A10" sqref="A10"/>
      <selection pane="bottomRight" activeCell="G6" sqref="G6"/>
    </sheetView>
  </sheetViews>
  <sheetFormatPr defaultColWidth="9.1328125" defaultRowHeight="16.5" x14ac:dyDescent="0.45"/>
  <cols>
    <col min="1" max="1" width="2.6640625" style="5" customWidth="1"/>
    <col min="2" max="2" width="37.19921875" style="4" customWidth="1"/>
    <col min="3" max="4" width="13.19921875" style="4" customWidth="1"/>
    <col min="5" max="5" width="7.06640625" style="4" customWidth="1"/>
    <col min="6" max="8" width="9.46484375" style="4" customWidth="1"/>
    <col min="9" max="12" width="10.73046875" style="4" customWidth="1"/>
    <col min="13" max="14" width="13.265625" style="4" customWidth="1"/>
    <col min="15" max="16384" width="9.1328125" style="4"/>
  </cols>
  <sheetData>
    <row r="1" spans="1:32" x14ac:dyDescent="0.45">
      <c r="E1" s="5" t="s">
        <v>82</v>
      </c>
    </row>
    <row r="2" spans="1:32" x14ac:dyDescent="0.45">
      <c r="B2" s="4" t="s">
        <v>69</v>
      </c>
    </row>
    <row r="4" spans="1:32" x14ac:dyDescent="0.45">
      <c r="B4" s="4" t="s">
        <v>70</v>
      </c>
    </row>
    <row r="5" spans="1:32" x14ac:dyDescent="0.45">
      <c r="B5" s="22" t="s">
        <v>0</v>
      </c>
      <c r="C5" s="23" t="s">
        <v>62</v>
      </c>
      <c r="D5" s="23" t="s">
        <v>63</v>
      </c>
      <c r="E5" s="24" t="s">
        <v>64</v>
      </c>
    </row>
    <row r="6" spans="1:32" ht="34.9" customHeight="1" x14ac:dyDescent="0.45">
      <c r="B6" s="42" t="s">
        <v>71</v>
      </c>
      <c r="C6" s="35">
        <v>4902232</v>
      </c>
      <c r="D6" s="35">
        <v>2297439</v>
      </c>
      <c r="E6" s="36">
        <v>0</v>
      </c>
    </row>
    <row r="8" spans="1:32" x14ac:dyDescent="0.45">
      <c r="B8" s="4" t="s">
        <v>72</v>
      </c>
      <c r="K8" s="44" t="s">
        <v>83</v>
      </c>
      <c r="L8" s="4">
        <f>AVERAGE(L10:L19)</f>
        <v>1367991.5684213266</v>
      </c>
      <c r="M8" s="4">
        <f t="shared" ref="M8:N8" si="0">AVERAGE(M10:M19)</f>
        <v>1367991.673048208</v>
      </c>
      <c r="N8" s="4">
        <f t="shared" si="0"/>
        <v>1367991.6730482082</v>
      </c>
    </row>
    <row r="9" spans="1:32" ht="49.5" x14ac:dyDescent="0.45">
      <c r="B9" s="39" t="s">
        <v>0</v>
      </c>
      <c r="C9" s="40" t="s">
        <v>62</v>
      </c>
      <c r="D9" s="40" t="s">
        <v>63</v>
      </c>
      <c r="E9" s="41" t="s">
        <v>64</v>
      </c>
      <c r="F9" s="41" t="s">
        <v>73</v>
      </c>
      <c r="G9" s="41" t="s">
        <v>74</v>
      </c>
      <c r="H9" s="41" t="s">
        <v>75</v>
      </c>
      <c r="I9" s="41" t="s">
        <v>76</v>
      </c>
      <c r="J9" s="41" t="s">
        <v>77</v>
      </c>
      <c r="K9" s="41" t="s">
        <v>78</v>
      </c>
      <c r="L9" s="41" t="s">
        <v>46</v>
      </c>
      <c r="M9" s="41" t="s">
        <v>48</v>
      </c>
      <c r="N9" s="41" t="s">
        <v>47</v>
      </c>
      <c r="O9" s="41" t="s">
        <v>60</v>
      </c>
      <c r="P9" s="41" t="s">
        <v>65</v>
      </c>
      <c r="Q9" s="41" t="s">
        <v>58</v>
      </c>
      <c r="R9" s="41" t="s">
        <v>59</v>
      </c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</row>
    <row r="10" spans="1:32" x14ac:dyDescent="0.45">
      <c r="A10" s="5">
        <v>1</v>
      </c>
      <c r="B10" s="13" t="s">
        <v>79</v>
      </c>
      <c r="C10" s="8">
        <v>7998579.2960000001</v>
      </c>
      <c r="D10" s="8">
        <v>2289162.665</v>
      </c>
      <c r="E10" s="14">
        <v>180</v>
      </c>
      <c r="F10" s="38">
        <f>($C$6-C10)</f>
        <v>-3096347.2960000001</v>
      </c>
      <c r="G10" s="38">
        <f>($D$6-D10)</f>
        <v>8276.3349999999627</v>
      </c>
      <c r="H10" s="38">
        <f>ABS($E$6-E10)</f>
        <v>180</v>
      </c>
      <c r="I10" s="38">
        <f>(F10/2)+C10</f>
        <v>6450405.648</v>
      </c>
      <c r="J10" s="38">
        <f>(G10/2)+D10</f>
        <v>2293300.8325</v>
      </c>
      <c r="K10" s="38">
        <f>(H10/2)+E10</f>
        <v>270</v>
      </c>
      <c r="L10" s="38">
        <f>(F10^2+G10^2)^0.5</f>
        <v>3096358.35703291</v>
      </c>
      <c r="M10" s="38">
        <f>(L10^2+H10^2)^0.5</f>
        <v>3096358.3622648623</v>
      </c>
      <c r="N10" s="38">
        <f>ABS(H10/SIN(Q10))</f>
        <v>3096358.3622648627</v>
      </c>
      <c r="O10" s="38">
        <f>ATAN(G10/F10)</f>
        <v>-2.6729286151006932E-3</v>
      </c>
      <c r="P10" s="38">
        <f>ATAN(G10/F10)*180/PI()</f>
        <v>-0.15314752858501782</v>
      </c>
      <c r="Q10" s="38">
        <f>ABS(ATAN(H10/L10))</f>
        <v>5.8132806039194982E-5</v>
      </c>
      <c r="R10" s="38">
        <f>ABS(ATAN(H10/L10)*180/PI())</f>
        <v>3.330764437298496E-3</v>
      </c>
    </row>
    <row r="11" spans="1:32" x14ac:dyDescent="0.45">
      <c r="A11" s="5">
        <v>2</v>
      </c>
      <c r="B11" s="13" t="s">
        <v>80</v>
      </c>
      <c r="C11" s="8">
        <v>3911674.574</v>
      </c>
      <c r="D11" s="8">
        <v>2214042.8640000001</v>
      </c>
      <c r="E11" s="14">
        <v>140</v>
      </c>
      <c r="F11" s="38">
        <f t="shared" ref="F11:F12" si="1">($C$6-C11)</f>
        <v>990557.42599999998</v>
      </c>
      <c r="G11" s="38">
        <f t="shared" ref="G11:G12" si="2">($D$6-D11)</f>
        <v>83396.13599999994</v>
      </c>
      <c r="H11" s="38">
        <f>ABS($E$6-E11)</f>
        <v>140</v>
      </c>
      <c r="I11" s="38">
        <f>(F11/2)+C11</f>
        <v>4406953.2870000005</v>
      </c>
      <c r="J11" s="38">
        <f>(G11/2)+D11</f>
        <v>2255740.932</v>
      </c>
      <c r="K11" s="38">
        <f>(H11/2)+E11</f>
        <v>210</v>
      </c>
      <c r="L11" s="38">
        <f>(F11^2+G11^2)^0.5</f>
        <v>994061.83394368179</v>
      </c>
      <c r="M11" s="38">
        <f>(L11^2+H11^2)^0.5</f>
        <v>994061.84380222333</v>
      </c>
      <c r="N11" s="38">
        <f>ABS(H11/SIN(Q11))</f>
        <v>994061.84380222333</v>
      </c>
      <c r="O11" s="38">
        <f>ATAN(G11/F11)</f>
        <v>8.3993038982769511E-2</v>
      </c>
      <c r="P11" s="38">
        <f>ATAN(G11/F11)*180/PI()</f>
        <v>4.8124466421904906</v>
      </c>
      <c r="Q11" s="38">
        <f>ABS(ATAN(H11/L11))</f>
        <v>1.4083630846077185E-4</v>
      </c>
      <c r="R11" s="38">
        <f>ABS(ATAN(H11/L11)*180/PI())</f>
        <v>8.0693260770048347E-3</v>
      </c>
    </row>
    <row r="12" spans="1:32" x14ac:dyDescent="0.45">
      <c r="A12" s="5">
        <v>3</v>
      </c>
      <c r="B12" s="13" t="s">
        <v>81</v>
      </c>
      <c r="C12" s="8">
        <v>4892216.176</v>
      </c>
      <c r="D12" s="8">
        <v>2306571.8050000002</v>
      </c>
      <c r="E12" s="14">
        <v>90</v>
      </c>
      <c r="F12" s="38">
        <f t="shared" si="1"/>
        <v>10015.824000000022</v>
      </c>
      <c r="G12" s="38">
        <f t="shared" si="2"/>
        <v>-9132.8050000001676</v>
      </c>
      <c r="H12" s="38">
        <f>ABS($E$6-E12)</f>
        <v>90</v>
      </c>
      <c r="I12" s="38">
        <f>(F12/2)+C12</f>
        <v>4897224.0879999995</v>
      </c>
      <c r="J12" s="38">
        <f>(G12/2)+D12</f>
        <v>2302005.4024999999</v>
      </c>
      <c r="K12" s="38">
        <f>(H12/2)+E12</f>
        <v>135</v>
      </c>
      <c r="L12" s="38">
        <f>(F12^2+G12^2)^0.5</f>
        <v>13554.514287387967</v>
      </c>
      <c r="M12" s="38">
        <f>(L12^2+H12^2)^0.5</f>
        <v>13554.813077538345</v>
      </c>
      <c r="N12" s="38">
        <f>ABS(H12/SIN(Q12))</f>
        <v>13554.813077538343</v>
      </c>
      <c r="O12" s="38">
        <f>ATAN(G12/F12)</f>
        <v>-0.73931685465000996</v>
      </c>
      <c r="P12" s="38">
        <f>ATAN(G12/F12)*180/PI()</f>
        <v>-42.359735494332504</v>
      </c>
      <c r="Q12" s="38">
        <f>ABS(ATAN(H12/L12))</f>
        <v>6.63975672582914E-3</v>
      </c>
      <c r="R12" s="38">
        <f>ABS(ATAN(H12/L12)*180/PI())</f>
        <v>0.38043003738361181</v>
      </c>
    </row>
    <row r="13" spans="1:32" x14ac:dyDescent="0.45">
      <c r="A13" s="5">
        <v>4</v>
      </c>
      <c r="B13" s="13"/>
      <c r="C13" s="8"/>
      <c r="D13" s="8"/>
      <c r="E13" s="14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</row>
    <row r="14" spans="1:32" x14ac:dyDescent="0.45">
      <c r="A14" s="5">
        <v>5</v>
      </c>
      <c r="B14" s="13"/>
      <c r="C14" s="8"/>
      <c r="D14" s="8"/>
      <c r="E14" s="14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</row>
    <row r="15" spans="1:32" x14ac:dyDescent="0.45">
      <c r="A15" s="5">
        <v>6</v>
      </c>
      <c r="B15" s="13"/>
      <c r="C15" s="8"/>
      <c r="D15" s="8"/>
      <c r="E15" s="14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</row>
    <row r="16" spans="1:32" x14ac:dyDescent="0.45">
      <c r="A16" s="5">
        <v>7</v>
      </c>
      <c r="B16" s="13"/>
      <c r="C16" s="8"/>
      <c r="D16" s="8"/>
      <c r="E16" s="14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</row>
    <row r="17" spans="1:18" x14ac:dyDescent="0.45">
      <c r="A17" s="5">
        <v>8</v>
      </c>
      <c r="B17" s="13"/>
      <c r="C17" s="8"/>
      <c r="D17" s="8"/>
      <c r="E17" s="14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</row>
    <row r="18" spans="1:18" x14ac:dyDescent="0.45">
      <c r="A18" s="5">
        <v>9</v>
      </c>
      <c r="B18" s="13"/>
      <c r="C18" s="8"/>
      <c r="D18" s="8"/>
      <c r="E18" s="14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</row>
    <row r="19" spans="1:18" x14ac:dyDescent="0.45">
      <c r="A19" s="5">
        <v>10</v>
      </c>
      <c r="B19" s="34"/>
      <c r="C19" s="35"/>
      <c r="D19" s="35"/>
      <c r="E19" s="36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</row>
    <row r="20" spans="1:18" x14ac:dyDescent="0.45">
      <c r="B20" s="6" t="s">
        <v>68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7452E-9DB9-4B6A-B4BF-ACF2268D9B4D}">
  <dimension ref="A2:X4"/>
  <sheetViews>
    <sheetView workbookViewId="0">
      <selection activeCell="P3" sqref="P3:Q4"/>
    </sheetView>
  </sheetViews>
  <sheetFormatPr defaultRowHeight="14.25" x14ac:dyDescent="0.45"/>
  <cols>
    <col min="1" max="1" width="9" bestFit="1" customWidth="1"/>
    <col min="2" max="2" width="6.265625" bestFit="1" customWidth="1"/>
    <col min="3" max="3" width="6.06640625" bestFit="1" customWidth="1"/>
    <col min="4" max="4" width="6" bestFit="1" customWidth="1"/>
    <col min="7" max="7" width="4.3984375" bestFit="1" customWidth="1"/>
    <col min="8" max="8" width="5.46484375" bestFit="1" customWidth="1"/>
    <col min="9" max="9" width="7.06640625" bestFit="1" customWidth="1"/>
    <col min="10" max="10" width="6.9296875" bestFit="1" customWidth="1"/>
    <col min="11" max="11" width="8.6640625" bestFit="1" customWidth="1"/>
    <col min="12" max="12" width="8.33203125" bestFit="1" customWidth="1"/>
    <col min="13" max="13" width="8.73046875" bestFit="1" customWidth="1"/>
    <col min="14" max="15" width="10.19921875" bestFit="1" customWidth="1"/>
    <col min="16" max="17" width="11.19921875" bestFit="1" customWidth="1"/>
    <col min="18" max="18" width="8.3984375" bestFit="1" customWidth="1"/>
    <col min="19" max="19" width="8.19921875" bestFit="1" customWidth="1"/>
    <col min="20" max="20" width="9.796875" bestFit="1" customWidth="1"/>
    <col min="21" max="21" width="8.86328125" bestFit="1" customWidth="1"/>
    <col min="22" max="23" width="8.59765625" bestFit="1" customWidth="1"/>
    <col min="24" max="24" width="8.53125" bestFit="1" customWidth="1"/>
  </cols>
  <sheetData>
    <row r="2" spans="1:24" ht="28.5" x14ac:dyDescent="0.45">
      <c r="A2" s="2" t="s">
        <v>6</v>
      </c>
      <c r="B2" s="2" t="s">
        <v>7</v>
      </c>
      <c r="C2" s="2" t="s">
        <v>8</v>
      </c>
      <c r="D2" s="2" t="s">
        <v>9</v>
      </c>
      <c r="E2" s="2" t="s">
        <v>5</v>
      </c>
      <c r="F2" s="2" t="s">
        <v>10</v>
      </c>
      <c r="G2" s="2" t="s">
        <v>11</v>
      </c>
      <c r="H2" s="2" t="s">
        <v>12</v>
      </c>
      <c r="I2" s="2" t="s">
        <v>13</v>
      </c>
      <c r="J2" s="2" t="s">
        <v>14</v>
      </c>
      <c r="K2" s="2" t="s">
        <v>15</v>
      </c>
      <c r="L2" s="2" t="s">
        <v>16</v>
      </c>
      <c r="M2" s="2" t="s">
        <v>17</v>
      </c>
      <c r="N2" s="2" t="s">
        <v>18</v>
      </c>
      <c r="O2" s="2" t="s">
        <v>19</v>
      </c>
      <c r="P2" s="2" t="s">
        <v>1</v>
      </c>
      <c r="Q2" s="2" t="s">
        <v>2</v>
      </c>
      <c r="R2" s="2" t="s">
        <v>4</v>
      </c>
      <c r="S2" s="2" t="s">
        <v>20</v>
      </c>
      <c r="T2" s="2" t="s">
        <v>21</v>
      </c>
      <c r="U2" s="2" t="s">
        <v>22</v>
      </c>
      <c r="V2" s="2" t="s">
        <v>23</v>
      </c>
      <c r="W2" s="2" t="s">
        <v>24</v>
      </c>
      <c r="X2" s="2" t="s">
        <v>25</v>
      </c>
    </row>
    <row r="3" spans="1:24" ht="99.75" x14ac:dyDescent="0.45">
      <c r="A3" s="2" t="s">
        <v>26</v>
      </c>
      <c r="B3" s="2">
        <v>-1</v>
      </c>
      <c r="C3" s="2">
        <v>-1</v>
      </c>
      <c r="D3" s="2">
        <v>0</v>
      </c>
      <c r="E3" s="2">
        <v>23060160</v>
      </c>
      <c r="F3" s="2" t="s">
        <v>27</v>
      </c>
      <c r="G3" s="2" t="s">
        <v>28</v>
      </c>
      <c r="H3" s="2"/>
      <c r="I3" s="2" t="s">
        <v>29</v>
      </c>
      <c r="J3" s="2" t="s">
        <v>30</v>
      </c>
      <c r="K3" s="2" t="s">
        <v>31</v>
      </c>
      <c r="L3" s="2" t="s">
        <v>32</v>
      </c>
      <c r="M3" s="2" t="s">
        <v>33</v>
      </c>
      <c r="N3" s="3">
        <v>27287</v>
      </c>
      <c r="O3" s="2"/>
      <c r="P3" s="2">
        <v>1098308.88197</v>
      </c>
      <c r="Q3" s="2">
        <v>957346.69072399999</v>
      </c>
      <c r="R3" s="2">
        <v>1200</v>
      </c>
      <c r="S3" s="2">
        <v>5.4850830000000004</v>
      </c>
      <c r="T3" s="2">
        <v>-74.462417000000002</v>
      </c>
      <c r="U3" s="2">
        <v>1153</v>
      </c>
      <c r="V3" s="2" t="s">
        <v>34</v>
      </c>
      <c r="W3" s="2" t="s">
        <v>35</v>
      </c>
      <c r="X3" s="2" t="s">
        <v>36</v>
      </c>
    </row>
    <row r="4" spans="1:24" ht="85.5" x14ac:dyDescent="0.45">
      <c r="A4" s="2" t="s">
        <v>37</v>
      </c>
      <c r="B4" s="2">
        <v>-1</v>
      </c>
      <c r="C4" s="2">
        <v>-1</v>
      </c>
      <c r="D4" s="2">
        <v>0</v>
      </c>
      <c r="E4" s="2">
        <v>23067010</v>
      </c>
      <c r="F4" s="2" t="s">
        <v>38</v>
      </c>
      <c r="G4" s="2" t="s">
        <v>39</v>
      </c>
      <c r="H4" s="2"/>
      <c r="I4" s="2" t="s">
        <v>40</v>
      </c>
      <c r="J4" s="2" t="s">
        <v>30</v>
      </c>
      <c r="K4" s="2" t="s">
        <v>31</v>
      </c>
      <c r="L4" s="2" t="s">
        <v>41</v>
      </c>
      <c r="M4" s="2" t="s">
        <v>42</v>
      </c>
      <c r="N4" s="3">
        <v>22021</v>
      </c>
      <c r="O4" s="3">
        <v>27103</v>
      </c>
      <c r="P4" s="2">
        <v>1099968.48985</v>
      </c>
      <c r="Q4" s="2">
        <v>943948.59801700001</v>
      </c>
      <c r="R4" s="2">
        <v>291</v>
      </c>
      <c r="S4" s="2">
        <v>5.5</v>
      </c>
      <c r="T4" s="2">
        <v>-74.583332999999996</v>
      </c>
      <c r="U4" s="2">
        <v>375</v>
      </c>
      <c r="V4" s="2" t="s">
        <v>34</v>
      </c>
      <c r="W4" s="2" t="s">
        <v>35</v>
      </c>
      <c r="X4" s="2" t="s">
        <v>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F98EA-2567-4F71-99FA-C333BD6B7744}">
  <dimension ref="B2:E4"/>
  <sheetViews>
    <sheetView zoomScale="160" zoomScaleNormal="160" workbookViewId="0">
      <selection activeCell="C5" sqref="C5"/>
    </sheetView>
  </sheetViews>
  <sheetFormatPr defaultColWidth="13.53125" defaultRowHeight="16.5" x14ac:dyDescent="0.6"/>
  <cols>
    <col min="1" max="1" width="2.6640625" style="1" customWidth="1"/>
    <col min="2" max="16384" width="13.53125" style="1"/>
  </cols>
  <sheetData>
    <row r="2" spans="2:5" x14ac:dyDescent="0.6">
      <c r="B2" s="1" t="s">
        <v>5</v>
      </c>
      <c r="C2" s="1" t="s">
        <v>1</v>
      </c>
      <c r="D2" s="1" t="s">
        <v>2</v>
      </c>
      <c r="E2" s="1" t="s">
        <v>4</v>
      </c>
    </row>
    <row r="3" spans="2:5" x14ac:dyDescent="0.6">
      <c r="B3" s="1">
        <v>23060160</v>
      </c>
      <c r="C3" s="1">
        <v>1098308.88197</v>
      </c>
      <c r="D3" s="1">
        <v>957346.69072399999</v>
      </c>
      <c r="E3" s="1">
        <v>1200</v>
      </c>
    </row>
    <row r="4" spans="2:5" x14ac:dyDescent="0.6">
      <c r="B4" s="1">
        <v>23067010</v>
      </c>
      <c r="C4" s="1">
        <v>1099968.48985</v>
      </c>
      <c r="D4" s="1">
        <v>943948.59801700001</v>
      </c>
      <c r="E4" s="1">
        <v>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DistanciaEstaciones</vt:lpstr>
      <vt:lpstr>DistanciaMultipleEstaciones</vt:lpstr>
      <vt:lpstr>Sheet2</vt:lpstr>
      <vt:lpstr>Sheet1</vt:lpstr>
      <vt:lpstr>DeltaX</vt:lpstr>
      <vt:lpstr>DeltaY</vt:lpstr>
      <vt:lpstr>DeltaZ</vt:lpstr>
      <vt:lpstr>Distancia2D</vt:lpstr>
      <vt:lpstr>Distancia3D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WILLIAM RICARDO AGUILAR PIÑA</cp:lastModifiedBy>
  <dcterms:created xsi:type="dcterms:W3CDTF">2023-01-29T16:42:48Z</dcterms:created>
  <dcterms:modified xsi:type="dcterms:W3CDTF">2026-09-01T13:05:13Z</dcterms:modified>
</cp:coreProperties>
</file>