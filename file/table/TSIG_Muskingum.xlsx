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R.TSIG\file\table\"/>
    </mc:Choice>
  </mc:AlternateContent>
  <xr:revisionPtr revIDLastSave="0" documentId="13_ncr:1_{F6851D60-31AE-4AFA-8029-7B0C3AA300B5}" xr6:coauthVersionLast="47" xr6:coauthVersionMax="47" xr10:uidLastSave="{00000000-0000-0000-0000-000000000000}"/>
  <bookViews>
    <workbookView xWindow="-93" yWindow="-93" windowWidth="20666" windowHeight="12266" activeTab="3" xr2:uid="{293BEA77-BE37-42CC-81CC-CF669E9BF0C2}"/>
  </bookViews>
  <sheets>
    <sheet name="Readme" sheetId="5" r:id="rId1"/>
    <sheet name="Text" sheetId="6" r:id="rId2"/>
    <sheet name="ByElevationRange" sheetId="1" r:id="rId3"/>
    <sheet name="BySlopeRange" sheetId="7" r:id="rId4"/>
    <sheet name="{R}" sheetId="3" r:id="rId5"/>
  </sheets>
  <definedNames>
    <definedName name="_xlnm.Database" localSheetId="0">#REF!</definedName>
    <definedName name="_xlnm.Database" localSheetId="1">#REF!</definedName>
    <definedName name="_xlnm.Databas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7" l="1"/>
  <c r="M28" i="7"/>
  <c r="M27" i="7"/>
  <c r="M26" i="7"/>
  <c r="M25" i="7"/>
  <c r="M24" i="7"/>
  <c r="M29" i="7"/>
  <c r="M30" i="7"/>
  <c r="M31" i="7"/>
  <c r="M32" i="7"/>
  <c r="M33" i="7"/>
  <c r="M34" i="7"/>
  <c r="M35" i="7"/>
  <c r="M36" i="7"/>
  <c r="M37" i="7"/>
  <c r="M38" i="7"/>
  <c r="M39" i="7"/>
  <c r="M40" i="7"/>
  <c r="M41" i="7"/>
  <c r="M42" i="7"/>
  <c r="L25" i="7"/>
  <c r="L26" i="7"/>
  <c r="L27" i="7"/>
  <c r="L28" i="7"/>
  <c r="L29" i="7"/>
  <c r="L30" i="7"/>
  <c r="L31" i="7"/>
  <c r="L32" i="7"/>
  <c r="L33" i="7"/>
  <c r="L34" i="7"/>
  <c r="L35" i="7"/>
  <c r="L36" i="7"/>
  <c r="L37" i="7"/>
  <c r="L38" i="7"/>
  <c r="L39" i="7"/>
  <c r="L40" i="7"/>
  <c r="L41" i="7"/>
  <c r="L42" i="7"/>
  <c r="L24" i="7"/>
  <c r="K25" i="7"/>
  <c r="N25" i="7" s="1"/>
  <c r="K26" i="7"/>
  <c r="N26" i="7" s="1"/>
  <c r="K27" i="7"/>
  <c r="N27" i="7" s="1"/>
  <c r="K28" i="7"/>
  <c r="K29" i="7"/>
  <c r="K30" i="7"/>
  <c r="K31" i="7"/>
  <c r="K32" i="7"/>
  <c r="K33" i="7"/>
  <c r="K34" i="7"/>
  <c r="K35" i="7"/>
  <c r="K36" i="7"/>
  <c r="K37" i="7"/>
  <c r="K38" i="7"/>
  <c r="K39" i="7"/>
  <c r="K40" i="7"/>
  <c r="K41" i="7"/>
  <c r="K42" i="7"/>
  <c r="K24" i="7"/>
  <c r="N24" i="7" s="1"/>
  <c r="J25" i="7"/>
  <c r="J26" i="7"/>
  <c r="J27" i="7"/>
  <c r="J28" i="7"/>
  <c r="J29" i="7"/>
  <c r="J30" i="7"/>
  <c r="J31" i="7"/>
  <c r="J32" i="7"/>
  <c r="J33" i="7"/>
  <c r="J34" i="7"/>
  <c r="J35" i="7"/>
  <c r="J36" i="7"/>
  <c r="J37" i="7"/>
  <c r="J38" i="7"/>
  <c r="J39" i="7"/>
  <c r="J40" i="7"/>
  <c r="J41" i="7"/>
  <c r="J42" i="7"/>
  <c r="J24" i="7"/>
  <c r="C18" i="7"/>
  <c r="C17" i="7"/>
  <c r="C16" i="7"/>
  <c r="M25" i="1"/>
  <c r="M24" i="1"/>
  <c r="M30" i="1"/>
  <c r="M29" i="1"/>
  <c r="M28" i="1"/>
  <c r="M27" i="1"/>
  <c r="M26" i="1"/>
  <c r="M31" i="1"/>
  <c r="M32" i="1"/>
  <c r="M33" i="1"/>
  <c r="M34" i="1"/>
  <c r="M35" i="1"/>
  <c r="M36" i="1"/>
  <c r="M37" i="1"/>
  <c r="M38" i="1"/>
  <c r="M39" i="1"/>
  <c r="M40" i="1"/>
  <c r="M41" i="1"/>
  <c r="M42" i="1"/>
  <c r="L30" i="1"/>
  <c r="L29" i="1"/>
  <c r="L28" i="1"/>
  <c r="L27" i="1"/>
  <c r="L26" i="1"/>
  <c r="L25" i="1"/>
  <c r="L24" i="1"/>
  <c r="L31" i="1"/>
  <c r="L32" i="1"/>
  <c r="L33" i="1"/>
  <c r="L34" i="1"/>
  <c r="L35" i="1"/>
  <c r="L36" i="1"/>
  <c r="L37" i="1"/>
  <c r="L38" i="1"/>
  <c r="L39" i="1"/>
  <c r="L40" i="1"/>
  <c r="L41" i="1"/>
  <c r="L42" i="1"/>
  <c r="C17" i="1"/>
  <c r="J28" i="1"/>
  <c r="J27" i="1"/>
  <c r="J26" i="1"/>
  <c r="J25" i="1"/>
  <c r="J24" i="1"/>
  <c r="J29" i="1"/>
  <c r="J30" i="1"/>
  <c r="J31" i="1"/>
  <c r="J32" i="1"/>
  <c r="J33" i="1"/>
  <c r="J34" i="1"/>
  <c r="J35" i="1"/>
  <c r="J36" i="1"/>
  <c r="J37" i="1"/>
  <c r="J38" i="1"/>
  <c r="J39" i="1"/>
  <c r="J40" i="1"/>
  <c r="J41" i="1"/>
  <c r="J42" i="1"/>
  <c r="C18" i="1"/>
  <c r="C16" i="1"/>
  <c r="C13" i="1"/>
  <c r="N40" i="7" l="1"/>
  <c r="N37" i="7"/>
  <c r="N34" i="7"/>
  <c r="N33" i="7"/>
  <c r="N32" i="7"/>
  <c r="N31" i="7"/>
  <c r="N30" i="7"/>
  <c r="N29" i="7"/>
  <c r="N42" i="7"/>
  <c r="N41" i="7"/>
  <c r="N39" i="7"/>
  <c r="N38" i="7"/>
  <c r="N36" i="7"/>
  <c r="N28" i="7"/>
  <c r="N35" i="7"/>
  <c r="C19" i="7"/>
  <c r="C20" i="7" s="1"/>
  <c r="K28" i="1"/>
  <c r="N28" i="1" s="1"/>
  <c r="K27" i="1"/>
  <c r="N27" i="1" s="1"/>
  <c r="K26" i="1"/>
  <c r="N26" i="1" s="1"/>
  <c r="K25" i="1"/>
  <c r="N25" i="1" s="1"/>
  <c r="K24" i="1"/>
  <c r="N24" i="1" s="1"/>
  <c r="K29" i="1"/>
  <c r="N29" i="1" s="1"/>
  <c r="K30" i="1"/>
  <c r="N30" i="1" s="1"/>
  <c r="K31" i="1"/>
  <c r="N31" i="1" s="1"/>
  <c r="K32" i="1"/>
  <c r="N32" i="1" s="1"/>
  <c r="K33" i="1"/>
  <c r="N33" i="1" s="1"/>
  <c r="K34" i="1"/>
  <c r="N34" i="1" s="1"/>
  <c r="K35" i="1"/>
  <c r="N35" i="1" s="1"/>
  <c r="K36" i="1"/>
  <c r="N36" i="1" s="1"/>
  <c r="K37" i="1"/>
  <c r="N37" i="1" s="1"/>
  <c r="K38" i="1"/>
  <c r="N38" i="1" s="1"/>
  <c r="K39" i="1"/>
  <c r="N39" i="1" s="1"/>
  <c r="K40" i="1"/>
  <c r="N40" i="1" s="1"/>
  <c r="K41" i="1"/>
  <c r="N41" i="1" s="1"/>
  <c r="K42" i="1"/>
  <c r="N42" i="1" s="1"/>
  <c r="C19" i="1"/>
  <c r="C2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B12" authorId="0" shapeId="0" xr:uid="{40444180-5377-4A71-82D5-492169CA2A43}">
      <text>
        <r>
          <rPr>
            <sz val="9"/>
            <color indexed="81"/>
            <rFont val="Tahoma"/>
            <family val="2"/>
          </rPr>
          <t>Salto de tiempo de modelación en HEC-HMS</t>
        </r>
      </text>
    </comment>
    <comment ref="B17" authorId="0" shapeId="0" xr:uid="{BAD9FC86-2973-44E2-A13D-C8C3D8723E7C}">
      <text>
        <r>
          <rPr>
            <sz val="9"/>
            <color indexed="81"/>
            <rFont val="Tahoma"/>
            <family val="2"/>
          </rPr>
          <t>Tiempo de viaje</t>
        </r>
      </text>
    </comment>
    <comment ref="B18" authorId="0" shapeId="0" xr:uid="{0E204287-C6F3-4D87-8554-D787DAADC3A6}">
      <text>
        <r>
          <rPr>
            <sz val="9"/>
            <color indexed="81"/>
            <rFont val="Tahoma"/>
            <family val="2"/>
          </rPr>
          <t>Factor de ponderación</t>
        </r>
      </text>
    </comment>
    <comment ref="B19" authorId="0" shapeId="0" xr:uid="{EF10BFC8-96BF-4275-8493-9117E042233A}">
      <text>
        <r>
          <rPr>
            <sz val="9"/>
            <color indexed="81"/>
            <rFont val="Tahoma"/>
            <family val="2"/>
          </rPr>
          <t>Número de tramos para tránsito hidrológico</t>
        </r>
      </text>
    </comment>
    <comment ref="B20" authorId="0" shapeId="0" xr:uid="{DB567B82-55A6-447C-AD7D-58F235138CDE}">
      <text>
        <r>
          <rPr>
            <sz val="9"/>
            <color indexed="81"/>
            <rFont val="Tahoma"/>
            <family val="2"/>
          </rPr>
          <t>Validación de n &lt;= 99 tramos</t>
        </r>
      </text>
    </comment>
    <comment ref="I23" authorId="0" shapeId="0" xr:uid="{82BC6F67-165F-4E95-9254-AD5FF2C532C5}">
      <text>
        <r>
          <rPr>
            <sz val="9"/>
            <color indexed="81"/>
            <rFont val="Tahoma"/>
            <family val="2"/>
          </rPr>
          <t>Elevación o cota del centroide del río. 
QGIS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B12" authorId="0" shapeId="0" xr:uid="{1EC9D16D-0ECD-4F28-AB90-A7882B555676}">
      <text>
        <r>
          <rPr>
            <sz val="9"/>
            <color indexed="81"/>
            <rFont val="Tahoma"/>
            <family val="2"/>
          </rPr>
          <t>Salto de tiempo de modelación en HEC-HMS</t>
        </r>
      </text>
    </comment>
    <comment ref="B17" authorId="0" shapeId="0" xr:uid="{0C1084D6-D8E8-4F43-8B30-FAF80F724CCE}">
      <text>
        <r>
          <rPr>
            <sz val="9"/>
            <color indexed="81"/>
            <rFont val="Tahoma"/>
            <family val="2"/>
          </rPr>
          <t>Tiempo de viaje</t>
        </r>
      </text>
    </comment>
    <comment ref="B18" authorId="0" shapeId="0" xr:uid="{6A01C541-3BA5-43E2-93FC-BAC4A9CA14F3}">
      <text>
        <r>
          <rPr>
            <sz val="9"/>
            <color indexed="81"/>
            <rFont val="Tahoma"/>
            <family val="2"/>
          </rPr>
          <t>Factor de ponderación</t>
        </r>
      </text>
    </comment>
    <comment ref="B19" authorId="0" shapeId="0" xr:uid="{1C7361BE-A80D-40C5-A1DB-609BD5A454C2}">
      <text>
        <r>
          <rPr>
            <sz val="9"/>
            <color indexed="81"/>
            <rFont val="Tahoma"/>
            <family val="2"/>
          </rPr>
          <t>Número de tramos para tránsito hidrológico</t>
        </r>
      </text>
    </comment>
    <comment ref="B20" authorId="0" shapeId="0" xr:uid="{8E7A5DFE-D730-4546-9117-8E413564F6C4}">
      <text>
        <r>
          <rPr>
            <sz val="9"/>
            <color indexed="81"/>
            <rFont val="Tahoma"/>
            <family val="2"/>
          </rPr>
          <t>Validación de n &lt;= 99 tramos</t>
        </r>
      </text>
    </comment>
    <comment ref="I23" authorId="0" shapeId="0" xr:uid="{151A73C9-13A9-4429-89A0-E1297F9BDF47}">
      <text>
        <r>
          <rPr>
            <sz val="9"/>
            <color indexed="81"/>
            <rFont val="Tahoma"/>
            <family val="2"/>
          </rPr>
          <t>Elevación o cota del centroide del río. 
QGIS</t>
        </r>
      </text>
    </comment>
  </commentList>
</comments>
</file>

<file path=xl/sharedStrings.xml><?xml version="1.0" encoding="utf-8"?>
<sst xmlns="http://schemas.openxmlformats.org/spreadsheetml/2006/main" count="229" uniqueCount="92">
  <si>
    <t>≥ 300</t>
  </si>
  <si>
    <t>Alta - Montaña</t>
  </si>
  <si>
    <t>60 ≤ cota &lt;300</t>
  </si>
  <si>
    <t>Media - Pie de Monte</t>
  </si>
  <si>
    <t>Cota &lt; 60</t>
  </si>
  <si>
    <t>Baja - Llanura</t>
  </si>
  <si>
    <t>Zona</t>
  </si>
  <si>
    <t>Código</t>
  </si>
  <si>
    <t>r.cfdtools@gmail.com</t>
  </si>
  <si>
    <t>Contenido creado por:</t>
  </si>
  <si>
    <t>https://github.com/rcfdtools</t>
  </si>
  <si>
    <t>Licencia, cláusulas y condiciones de uso en:</t>
  </si>
  <si>
    <t>https://github.com/rcfdtools/R.HydroTools/wiki/License</t>
  </si>
  <si>
    <t>Password: 1234</t>
  </si>
  <si>
    <t>Nota: Aplica solo para este caso de estudio, correspondiente a las cuencas hidrográficas del Departamento del Cesar en Colombia - Suramérica. Cada zona geográfica debe ser evaluada en función del rango de elevaciones del terreno.</t>
  </si>
  <si>
    <t>Factor de ponderación X</t>
  </si>
  <si>
    <t>Subtramos</t>
  </si>
  <si>
    <t>L / (4 * c * Δt)</t>
  </si>
  <si>
    <t>L / (c * Δt)</t>
  </si>
  <si>
    <t>Ejemplo para un río</t>
  </si>
  <si>
    <t>Longitud (m)</t>
  </si>
  <si>
    <t>Elevación</t>
  </si>
  <si>
    <t>X</t>
  </si>
  <si>
    <t>n</t>
  </si>
  <si>
    <t>Parámetro</t>
  </si>
  <si>
    <t>Valor</t>
  </si>
  <si>
    <t>Cota centroide (m)</t>
  </si>
  <si>
    <t>Δt (min)</t>
  </si>
  <si>
    <t>Δt (seg)</t>
  </si>
  <si>
    <t>El método de Muskingum se basa en la ecuación de continuidad, que ignorando el flujo lateral, se expresa asi:</t>
  </si>
  <si>
    <t>Al realizar la aproximación de diferencias finitas, se obtiene que</t>
  </si>
  <si>
    <t>Para el periodo Δt, el cambio en el caudal ΔQ se toma como la diferencia entre el caudal de entrada promedio  (I)  y el de salida (Q). El cambio en almacenamiento ΔS se toma como la diferencia de áreas (A) multiplicada por el paso espacial Δx:</t>
  </si>
  <si>
    <t>En el método de Muskingum, al almacenamiento lo modela como la suma del almacenamiento por prisma y en almacenamiento por cuña</t>
  </si>
  <si>
    <t>El almacenamiento por prisma consiste en el volumen del perfil de flujo permanente gradualmente variado y el de cuña se debe a la onda de inundación. Se considera que el volumen es proporcional al caudal. Por tanto en el método de Muskingum el almacenamiento total está dado por:</t>
  </si>
  <si>
    <t xml:space="preserve">Donde: 
K= constante de proporcionalidad, e igual al tiempo de viaje.
 X= factor de ponderación (0≤X≤0.5). </t>
  </si>
  <si>
    <t>Finalmente, se llega a:</t>
  </si>
  <si>
    <t>Se puede demostrar que esta ecuación puede hacerse equivalente a la aproximación en diferencias finitas de la onda difusiva (para detalles ver por ejemplo Sturm, T., 2001. Open Channel Hydraulics, 1st Edition, McGraw-Hill Water Resources and Environmental Engineering Textboook Series, New York, 512 pages.). Esta es la base para el método de Muskungum-Cunge.  Los coeficientes C1, C2 y C3 resultantes de la aproximación numérica de la onda difusiva se hacen coincidir con los obtenidos para el método de Muskingum. De manera que los coeficientes que se presentan a continuación sean iguales:</t>
  </si>
  <si>
    <t>Donde cr= Número de Courant
 C= Celeridad de la onda
 α = factor del esquema numérico.</t>
  </si>
  <si>
    <t>Para estabilidad numérica se requiere que el número de Courant cr sea menor que 1 (cr ≤ 1). Adicionalmente, es deseable que el valor de C1 sea positivo, de manera que para la modelación, en HEC-HMS, se recomienda que</t>
  </si>
  <si>
    <t xml:space="preserve">En el método de Muskingum implementado en HEC-HMS, en el paso computacional, en el espacio (Δx) está implícito el número de tramos que se emplean en el tránsito. </t>
  </si>
  <si>
    <t>Tránsito de crecientes. Método de Muskingum</t>
  </si>
  <si>
    <t>Teniendo en cuenta la información topográfica e hidrológica recolectada y luego de correr el programa con diferentes valores de los parámetros obtenidos para la cuenca, se adoptaron unos criterios que se presentan a continuación. Los valores adoptados se podrán afinar posteriormente con información más detallada de diferentes parámetros físicos de la cuenca y los cauces. En general y de acuerdo con la topografía de la zona de estudio, las cuencas se dividieron en 3 partes, según la cota del centroide del cauce: alta, media y baja. Los límites de esta clasificación son elevaciones entre 60 m y 300 m.</t>
  </si>
  <si>
    <t>Este valor se aproxima al entero superior. Para la cuenca media, se tomó la cuarta parte de este valor, lo que corresponde a un número de Courant cr = 0.25 y que está dentro del intervalo recomendado para estabilidad numérica y garantizar que C1 ≥ 0.</t>
  </si>
  <si>
    <t>n eval</t>
  </si>
  <si>
    <t>Estimación de parámetros Muskingum para la cuenca en estudio</t>
  </si>
  <si>
    <t>Celeridad, c (m/s)</t>
  </si>
  <si>
    <t>K (hr)</t>
  </si>
  <si>
    <t>Elevación (m.s.n.m)</t>
  </si>
  <si>
    <t>&lt;&lt;&lt;</t>
  </si>
  <si>
    <t>1. Tiempo de viaje K: el tiempo de viaje se estimó utilizando la ley de Seddon:</t>
  </si>
  <si>
    <t>Los datos de la longitud del cauce (L) se tomaron directamente del modelo geográfico desarrollado en GEO-HMS. Teniendo en cuenta las dificultades en el cálculo de las pendientes y en la determinación de la extensión en las planicies, se establecieron, con base en las pendientes medias de cada sector las siguientes velocidades de la onda de propagación: en la cuenca alta c=2 m/s, en la media c=0.6m/s y en la baja c=0.25m/s. Para estas estimaciones también se tuvieron en cuenta los tiempos observados entre los picos de los hidrogramas medidos y las observaciones cualitativas disponibles. 
2. Factor de ponderación X: Este parámetro oscila entre X=0 para el embalse lineal, donde el mecanismo principal es el de almacenamiento, y por tanto una mayor atenuación de la creciente y X=0.5 para ondas puramente cinemáticas, donde no hay atenuación del hidrograma sino puramente translación. Teniendo en cuenta, que en la cuenca baja las pendientes son muy suaves y se presentan desbordamientos y flujos laterales en las planicies, se tomó X=0. Siguiendo recomendaciones generales, para cauces naturales, en la cuenca alta se fijó X=0.2 y un valor intermedio en la cuenca media, con X=0.1.
3. Número de subtramos nx: El número de subtramos tiene una gran incidencia en la atenuación de los hidrogramas. A mayor número de subtramos, menor es la atenuación. Se puede demostrar que es proporcional al número de Courant cr. Para números de Courant menores que 1, las ecuaciones de la onda cinemática presentan atenuación numérica. En las mediciones hidrológicas disponibles, se puede apreciar una fuerte atenuación de los hidrogramas en la cuenca baja. Por consiguiente, la modelación en la parte baja debe reflejarlo y esto se logra con el menor número de pasos. Consecuentemente con lo anteriormente explicado y para obtener atenuaciones numéricas, en la cuenca baja se tomaron 2 subtramos, que corresponde a un número de Courant bajo. En la cuenca alta se calculó el número de tramos correspondiente al límite superior de las recomendaciones para el cr = 1:</t>
  </si>
  <si>
    <t>name</t>
  </si>
  <si>
    <t>reach_len</t>
  </si>
  <si>
    <t>reach_rel</t>
  </si>
  <si>
    <t>reach_sin</t>
  </si>
  <si>
    <t>reach_slo</t>
  </si>
  <si>
    <t>len_units</t>
  </si>
  <si>
    <t>R1</t>
  </si>
  <si>
    <t>Metre</t>
  </si>
  <si>
    <t>R10</t>
  </si>
  <si>
    <t>R11</t>
  </si>
  <si>
    <t>R12</t>
  </si>
  <si>
    <t>R13</t>
  </si>
  <si>
    <t>R14</t>
  </si>
  <si>
    <t>R15</t>
  </si>
  <si>
    <t>R16</t>
  </si>
  <si>
    <t>R17</t>
  </si>
  <si>
    <t>R18</t>
  </si>
  <si>
    <t>R19</t>
  </si>
  <si>
    <t>R2</t>
  </si>
  <si>
    <t>R3</t>
  </si>
  <si>
    <t>R4</t>
  </si>
  <si>
    <t>R5</t>
  </si>
  <si>
    <t>R6</t>
  </si>
  <si>
    <t>R7</t>
  </si>
  <si>
    <t>R8</t>
  </si>
  <si>
    <t>R9</t>
  </si>
  <si>
    <t>cel_ms</t>
  </si>
  <si>
    <t>COP30_1</t>
  </si>
  <si>
    <t>K</t>
  </si>
  <si>
    <t>n_eval</t>
  </si>
  <si>
    <t>Arroyo El Zorro</t>
  </si>
  <si>
    <t>Drenaje</t>
  </si>
  <si>
    <t>Ejemplo para ríos HEC-HMS</t>
  </si>
  <si>
    <t>Pendiente (m/m)</t>
  </si>
  <si>
    <t>Rango de pendiente (m/m)</t>
  </si>
  <si>
    <t>Pendiente</t>
  </si>
  <si>
    <t>s &lt; 0.001</t>
  </si>
  <si>
    <t>0.001 ≤ cota &lt; 0.02</t>
  </si>
  <si>
    <t>≥ 0.02</t>
  </si>
  <si>
    <t>Parámetros Muskingum a partir de la pendiente del cauce</t>
  </si>
  <si>
    <t>Parámetros Muskingum a partir de la reclasificación de zonas topográficas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</si>
</sst>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0"/>
      <color theme="1"/>
      <name val="Segoe UI Light"/>
      <family val="2"/>
    </font>
    <font>
      <sz val="11"/>
      <color theme="1"/>
      <name val="Segoe UI Light"/>
      <family val="2"/>
    </font>
    <font>
      <u/>
      <sz val="11"/>
      <color theme="10"/>
      <name val="Calibri"/>
      <family val="2"/>
      <scheme val="minor"/>
    </font>
    <font>
      <sz val="11"/>
      <color rgb="FF0070C0"/>
      <name val="Segoe UI Light"/>
      <family val="2"/>
    </font>
    <font>
      <sz val="8"/>
      <color theme="1"/>
      <name val="Segoe UI Light"/>
      <family val="2"/>
    </font>
    <font>
      <sz val="10"/>
      <color theme="1" tint="0.499984740745262"/>
      <name val="Segoe UI Light"/>
      <family val="2"/>
    </font>
    <font>
      <sz val="10"/>
      <color rgb="FF0070C0"/>
      <name val="Segoe UI Light"/>
      <family val="2"/>
    </font>
    <font>
      <sz val="9"/>
      <color indexed="81"/>
      <name val="Tahoma"/>
      <family val="2"/>
    </font>
    <font>
      <sz val="10"/>
      <name val="Segoe UI Light"/>
      <family val="2"/>
    </font>
  </fonts>
  <fills count="3">
    <fill>
      <patternFill patternType="none"/>
    </fill>
    <fill>
      <patternFill patternType="gray125"/>
    </fill>
    <fill>
      <patternFill patternType="solid">
        <fgColor theme="0" tint="-4.9989318521683403E-2"/>
        <bgColor indexed="64"/>
      </patternFill>
    </fill>
  </fills>
  <borders count="12">
    <border>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int="-4.9989318521683403E-2"/>
      </top>
      <bottom style="thin">
        <color indexed="64"/>
      </bottom>
      <diagonal/>
    </border>
    <border>
      <left style="thin">
        <color indexed="64"/>
      </left>
      <right style="thin">
        <color theme="0" tint="-4.9989318521683403E-2"/>
      </right>
      <top style="thin">
        <color indexed="64"/>
      </top>
      <bottom style="thin">
        <color theme="0" tint="-4.9989318521683403E-2"/>
      </bottom>
      <diagonal/>
    </border>
    <border>
      <left style="thin">
        <color theme="0" tint="-4.9989318521683403E-2"/>
      </left>
      <right style="thin">
        <color theme="0" tint="-4.9989318521683403E-2"/>
      </right>
      <top style="thin">
        <color indexed="64"/>
      </top>
      <bottom style="thin">
        <color theme="0" tint="-4.9989318521683403E-2"/>
      </bottom>
      <diagonal/>
    </border>
    <border>
      <left style="thin">
        <color theme="0" tint="-4.9989318521683403E-2"/>
      </left>
      <right style="thin">
        <color indexed="64"/>
      </right>
      <top style="thin">
        <color indexed="64"/>
      </top>
      <bottom style="thin">
        <color theme="0" tint="-4.9989318521683403E-2"/>
      </bottom>
      <diagonal/>
    </border>
    <border>
      <left style="thin">
        <color indexed="64"/>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indexed="64"/>
      </right>
      <top style="thin">
        <color theme="0" tint="-4.9989318521683403E-2"/>
      </top>
      <bottom style="thin">
        <color theme="0" tint="-4.9989318521683403E-2"/>
      </bottom>
      <diagonal/>
    </border>
    <border>
      <left style="thin">
        <color indexed="64"/>
      </left>
      <right style="thin">
        <color theme="0" tint="-4.9989318521683403E-2"/>
      </right>
      <top style="thin">
        <color theme="0" tint="-4.9989318521683403E-2"/>
      </top>
      <bottom style="thin">
        <color indexed="64"/>
      </bottom>
      <diagonal/>
    </border>
    <border>
      <left style="thin">
        <color theme="0" tint="-4.9989318521683403E-2"/>
      </left>
      <right style="thin">
        <color indexed="64"/>
      </right>
      <top style="thin">
        <color theme="0" tint="-4.9989318521683403E-2"/>
      </top>
      <bottom style="thin">
        <color indexed="64"/>
      </bottom>
      <diagonal/>
    </border>
    <border>
      <left style="thin">
        <color indexed="64"/>
      </left>
      <right style="thin">
        <color theme="0" tint="-4.9989318521683403E-2"/>
      </right>
      <top style="thin">
        <color theme="0" tint="-4.9989318521683403E-2"/>
      </top>
      <bottom/>
      <diagonal/>
    </border>
    <border>
      <left style="thin">
        <color theme="0" tint="-4.9989318521683403E-2"/>
      </left>
      <right style="thin">
        <color indexed="64"/>
      </right>
      <top style="thin">
        <color theme="0" tint="-4.9989318521683403E-2"/>
      </top>
      <bottom/>
      <diagonal/>
    </border>
  </borders>
  <cellStyleXfs count="2">
    <xf numFmtId="0" fontId="0" fillId="0" borderId="0"/>
    <xf numFmtId="0" fontId="3" fillId="0" borderId="0" applyNumberFormat="0" applyFill="0" applyBorder="0" applyAlignment="0" applyProtection="0"/>
  </cellStyleXfs>
  <cellXfs count="47">
    <xf numFmtId="0" fontId="0" fillId="0" borderId="0" xfId="0"/>
    <xf numFmtId="0" fontId="2" fillId="0" borderId="0" xfId="0" applyFont="1" applyAlignment="1">
      <alignment horizontal="center" vertical="top" wrapText="1"/>
    </xf>
    <xf numFmtId="0" fontId="2" fillId="0" borderId="0" xfId="0" applyFont="1" applyAlignment="1">
      <alignment vertical="top"/>
    </xf>
    <xf numFmtId="0" fontId="4" fillId="0" borderId="0" xfId="1" applyFont="1" applyAlignment="1" applyProtection="1">
      <alignment horizontal="center" vertical="top" wrapText="1"/>
    </xf>
    <xf numFmtId="0" fontId="4" fillId="0" borderId="0" xfId="1" applyFont="1" applyAlignment="1" applyProtection="1">
      <alignment horizontal="center" vertical="top"/>
      <protection locked="0"/>
    </xf>
    <xf numFmtId="0" fontId="5" fillId="0" borderId="0" xfId="0" applyFont="1" applyAlignment="1">
      <alignment horizontal="center" vertical="top" wrapText="1"/>
    </xf>
    <xf numFmtId="0" fontId="6" fillId="0" borderId="0" xfId="0" applyFont="1" applyAlignment="1">
      <alignment horizontal="center" vertical="top"/>
    </xf>
    <xf numFmtId="0" fontId="6" fillId="0" borderId="0" xfId="0" applyFont="1" applyAlignment="1">
      <alignment horizontal="right" vertical="top"/>
    </xf>
    <xf numFmtId="0" fontId="6" fillId="0" borderId="0" xfId="0" applyFont="1" applyAlignment="1">
      <alignment vertical="top"/>
    </xf>
    <xf numFmtId="0" fontId="1" fillId="0" borderId="0" xfId="0" applyFont="1" applyAlignment="1">
      <alignment vertical="top"/>
    </xf>
    <xf numFmtId="0" fontId="1" fillId="0" borderId="0" xfId="0" applyFont="1" applyAlignment="1">
      <alignment horizontal="center" vertical="top"/>
    </xf>
    <xf numFmtId="0" fontId="1" fillId="0" borderId="7" xfId="0" applyFont="1" applyBorder="1" applyAlignment="1">
      <alignment horizontal="center" vertical="top"/>
    </xf>
    <xf numFmtId="0" fontId="1" fillId="0" borderId="9" xfId="0" applyFont="1" applyBorder="1" applyAlignment="1">
      <alignment horizontal="center" vertical="top"/>
    </xf>
    <xf numFmtId="0" fontId="1" fillId="0" borderId="0" xfId="0" applyFont="1" applyAlignment="1">
      <alignment vertical="top" wrapText="1"/>
    </xf>
    <xf numFmtId="0" fontId="1" fillId="0" borderId="0" xfId="0" applyFont="1" applyAlignment="1">
      <alignment horizontal="left" vertical="top"/>
    </xf>
    <xf numFmtId="0" fontId="1" fillId="2" borderId="4" xfId="0" applyFont="1" applyFill="1" applyBorder="1" applyAlignment="1">
      <alignment horizontal="center" vertical="top" wrapText="1"/>
    </xf>
    <xf numFmtId="0" fontId="1" fillId="2" borderId="3" xfId="0" applyFont="1" applyFill="1" applyBorder="1" applyAlignment="1">
      <alignment horizontal="center" vertical="top" wrapText="1"/>
    </xf>
    <xf numFmtId="0" fontId="1" fillId="2" borderId="5" xfId="0" applyFont="1" applyFill="1" applyBorder="1" applyAlignment="1">
      <alignment horizontal="center" vertical="top" wrapText="1"/>
    </xf>
    <xf numFmtId="0" fontId="1" fillId="0" borderId="6" xfId="0" applyFont="1" applyBorder="1" applyAlignment="1">
      <alignment horizontal="center" vertical="top" wrapText="1"/>
    </xf>
    <xf numFmtId="0" fontId="1" fillId="0" borderId="1" xfId="0" applyFont="1" applyBorder="1" applyAlignment="1">
      <alignment horizontal="center" vertical="top" wrapText="1"/>
    </xf>
    <xf numFmtId="0" fontId="1" fillId="0" borderId="7" xfId="0" applyFont="1" applyBorder="1" applyAlignment="1">
      <alignment horizontal="center" vertical="top" wrapText="1"/>
    </xf>
    <xf numFmtId="0" fontId="1" fillId="0" borderId="8" xfId="0" applyFont="1" applyBorder="1" applyAlignment="1">
      <alignment horizontal="center" vertical="top" wrapText="1"/>
    </xf>
    <xf numFmtId="0" fontId="1" fillId="0" borderId="2" xfId="0" applyFont="1" applyBorder="1" applyAlignment="1">
      <alignment horizontal="center" vertical="top" wrapText="1"/>
    </xf>
    <xf numFmtId="0" fontId="1" fillId="0" borderId="9" xfId="0" applyFont="1" applyBorder="1" applyAlignment="1">
      <alignment horizontal="center" vertical="top" wrapText="1"/>
    </xf>
    <xf numFmtId="0" fontId="1" fillId="0" borderId="6" xfId="0" applyFont="1" applyBorder="1" applyAlignment="1">
      <alignment horizontal="left" vertical="top"/>
    </xf>
    <xf numFmtId="0" fontId="7" fillId="0" borderId="7" xfId="0" applyFont="1" applyBorder="1" applyAlignment="1">
      <alignment horizontal="center" vertical="top" wrapText="1"/>
    </xf>
    <xf numFmtId="0" fontId="1" fillId="0" borderId="6" xfId="0" applyFont="1" applyBorder="1" applyAlignment="1">
      <alignment horizontal="left" vertical="top" wrapText="1"/>
    </xf>
    <xf numFmtId="0" fontId="1" fillId="0" borderId="8" xfId="0" applyFont="1" applyBorder="1" applyAlignment="1">
      <alignment horizontal="left" vertical="top"/>
    </xf>
    <xf numFmtId="0" fontId="1" fillId="2" borderId="3" xfId="0" applyFont="1" applyFill="1" applyBorder="1" applyAlignment="1">
      <alignment vertical="top"/>
    </xf>
    <xf numFmtId="0" fontId="1" fillId="0" borderId="10" xfId="0" applyFont="1" applyBorder="1" applyAlignment="1">
      <alignment horizontal="left" vertical="top"/>
    </xf>
    <xf numFmtId="1" fontId="1" fillId="0" borderId="11" xfId="0" applyNumberFormat="1" applyFont="1" applyBorder="1" applyAlignment="1">
      <alignment horizontal="center" vertical="top"/>
    </xf>
    <xf numFmtId="0" fontId="2" fillId="0" borderId="0" xfId="0" applyFont="1"/>
    <xf numFmtId="0" fontId="2" fillId="0" borderId="0" xfId="0" applyFont="1" applyAlignment="1">
      <alignment vertical="top" wrapText="1"/>
    </xf>
    <xf numFmtId="0" fontId="9" fillId="0" borderId="7" xfId="0" applyFont="1" applyBorder="1" applyAlignment="1">
      <alignment horizontal="center" vertical="top" wrapText="1"/>
    </xf>
    <xf numFmtId="0" fontId="1" fillId="0" borderId="1" xfId="0" applyFont="1" applyBorder="1" applyAlignment="1">
      <alignment horizontal="center" vertical="top"/>
    </xf>
    <xf numFmtId="0" fontId="7" fillId="0" borderId="1" xfId="0" applyFont="1" applyBorder="1" applyAlignment="1">
      <alignment horizontal="center" vertical="top"/>
    </xf>
    <xf numFmtId="0" fontId="7" fillId="0" borderId="6" xfId="0" applyFont="1" applyBorder="1" applyAlignment="1">
      <alignment horizontal="center" vertical="top"/>
    </xf>
    <xf numFmtId="0" fontId="7" fillId="0" borderId="8" xfId="0" applyFont="1" applyBorder="1" applyAlignment="1">
      <alignment horizontal="center" vertical="top"/>
    </xf>
    <xf numFmtId="0" fontId="7" fillId="0" borderId="2" xfId="0" applyFont="1" applyBorder="1" applyAlignment="1">
      <alignment horizontal="center" vertical="top"/>
    </xf>
    <xf numFmtId="0" fontId="1" fillId="2" borderId="3" xfId="0" applyFont="1" applyFill="1" applyBorder="1" applyAlignment="1">
      <alignment horizontal="center" vertical="top"/>
    </xf>
    <xf numFmtId="0" fontId="1" fillId="2" borderId="4" xfId="0" applyFont="1" applyFill="1" applyBorder="1" applyAlignment="1">
      <alignment horizontal="center" vertical="top"/>
    </xf>
    <xf numFmtId="0" fontId="1" fillId="2" borderId="5" xfId="0" applyFont="1" applyFill="1" applyBorder="1" applyAlignment="1">
      <alignment horizontal="center" vertical="top"/>
    </xf>
    <xf numFmtId="11" fontId="7" fillId="0" borderId="1" xfId="0" applyNumberFormat="1" applyFont="1" applyBorder="1" applyAlignment="1">
      <alignment horizontal="center" vertical="top"/>
    </xf>
    <xf numFmtId="0" fontId="1" fillId="0" borderId="2" xfId="0" applyFont="1" applyBorder="1" applyAlignment="1">
      <alignment horizontal="center" vertical="top"/>
    </xf>
    <xf numFmtId="0" fontId="7" fillId="0" borderId="1" xfId="0" applyFont="1" applyBorder="1" applyAlignment="1">
      <alignment horizontal="center" vertical="top" wrapText="1"/>
    </xf>
    <xf numFmtId="0" fontId="7" fillId="0" borderId="2" xfId="0" applyFont="1" applyBorder="1" applyAlignment="1">
      <alignment horizontal="center" vertical="top" wrapText="1"/>
    </xf>
    <xf numFmtId="0" fontId="1"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emf"/><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3.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1</xdr:col>
      <xdr:colOff>205154</xdr:colOff>
      <xdr:row>4</xdr:row>
      <xdr:rowOff>87923</xdr:rowOff>
    </xdr:from>
    <xdr:to>
      <xdr:col>1</xdr:col>
      <xdr:colOff>976679</xdr:colOff>
      <xdr:row>4</xdr:row>
      <xdr:rowOff>402248</xdr:rowOff>
    </xdr:to>
    <xdr:pic>
      <xdr:nvPicPr>
        <xdr:cNvPr id="2" name="Picture 1">
          <a:extLst>
            <a:ext uri="{FF2B5EF4-FFF2-40B4-BE49-F238E27FC236}">
              <a16:creationId xmlns:a16="http://schemas.microsoft.com/office/drawing/2014/main" id="{3EBF628A-D3E7-4CE7-8033-33B6D0434415}"/>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00429" y="811823"/>
          <a:ext cx="771525" cy="314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131884</xdr:colOff>
      <xdr:row>6</xdr:row>
      <xdr:rowOff>87923</xdr:rowOff>
    </xdr:from>
    <xdr:to>
      <xdr:col>1</xdr:col>
      <xdr:colOff>2371118</xdr:colOff>
      <xdr:row>6</xdr:row>
      <xdr:rowOff>498231</xdr:rowOff>
    </xdr:to>
    <xdr:pic>
      <xdr:nvPicPr>
        <xdr:cNvPr id="3" name="Picture 2">
          <a:extLst>
            <a:ext uri="{FF2B5EF4-FFF2-40B4-BE49-F238E27FC236}">
              <a16:creationId xmlns:a16="http://schemas.microsoft.com/office/drawing/2014/main" id="{3E03F5D9-8D56-4031-8B59-FE090A538360}"/>
            </a:ext>
          </a:extLst>
        </xdr:cNvPr>
        <xdr:cNvPicPr>
          <a:picLocks noChangeAspect="1"/>
        </xdr:cNvPicPr>
      </xdr:nvPicPr>
      <xdr:blipFill>
        <a:blip xmlns:r="http://schemas.openxmlformats.org/officeDocument/2006/relationships" r:embed="rId2"/>
        <a:stretch>
          <a:fillRect/>
        </a:stretch>
      </xdr:blipFill>
      <xdr:spPr>
        <a:xfrm>
          <a:off x="427159" y="1478573"/>
          <a:ext cx="2239234" cy="410308"/>
        </a:xfrm>
        <a:prstGeom prst="rect">
          <a:avLst/>
        </a:prstGeom>
      </xdr:spPr>
    </xdr:pic>
    <xdr:clientData/>
  </xdr:twoCellAnchor>
  <xdr:twoCellAnchor editAs="oneCell">
    <xdr:from>
      <xdr:col>1</xdr:col>
      <xdr:colOff>124556</xdr:colOff>
      <xdr:row>8</xdr:row>
      <xdr:rowOff>161192</xdr:rowOff>
    </xdr:from>
    <xdr:to>
      <xdr:col>1</xdr:col>
      <xdr:colOff>2967403</xdr:colOff>
      <xdr:row>8</xdr:row>
      <xdr:rowOff>442409</xdr:rowOff>
    </xdr:to>
    <xdr:pic>
      <xdr:nvPicPr>
        <xdr:cNvPr id="4" name="Picture 3">
          <a:extLst>
            <a:ext uri="{FF2B5EF4-FFF2-40B4-BE49-F238E27FC236}">
              <a16:creationId xmlns:a16="http://schemas.microsoft.com/office/drawing/2014/main" id="{3951CAAA-0944-4BFD-96E6-EB5576A42844}"/>
            </a:ext>
          </a:extLst>
        </xdr:cNvPr>
        <xdr:cNvPicPr>
          <a:picLocks noChangeAspect="1"/>
        </xdr:cNvPicPr>
      </xdr:nvPicPr>
      <xdr:blipFill>
        <a:blip xmlns:r="http://schemas.openxmlformats.org/officeDocument/2006/relationships" r:embed="rId3"/>
        <a:stretch>
          <a:fillRect/>
        </a:stretch>
      </xdr:blipFill>
      <xdr:spPr>
        <a:xfrm>
          <a:off x="419831" y="2513867"/>
          <a:ext cx="2842847" cy="281217"/>
        </a:xfrm>
        <a:prstGeom prst="rect">
          <a:avLst/>
        </a:prstGeom>
      </xdr:spPr>
    </xdr:pic>
    <xdr:clientData/>
  </xdr:twoCellAnchor>
  <xdr:twoCellAnchor editAs="oneCell">
    <xdr:from>
      <xdr:col>1</xdr:col>
      <xdr:colOff>153865</xdr:colOff>
      <xdr:row>10</xdr:row>
      <xdr:rowOff>183173</xdr:rowOff>
    </xdr:from>
    <xdr:to>
      <xdr:col>1</xdr:col>
      <xdr:colOff>2792290</xdr:colOff>
      <xdr:row>10</xdr:row>
      <xdr:rowOff>1922438</xdr:rowOff>
    </xdr:to>
    <xdr:pic>
      <xdr:nvPicPr>
        <xdr:cNvPr id="5" name="Imagen 24">
          <a:extLst>
            <a:ext uri="{FF2B5EF4-FFF2-40B4-BE49-F238E27FC236}">
              <a16:creationId xmlns:a16="http://schemas.microsoft.com/office/drawing/2014/main" id="{5CCCF352-44D8-4A17-ACA8-752A06C74141}"/>
            </a:ext>
          </a:extLst>
        </xdr:cNvPr>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49140" y="3507398"/>
          <a:ext cx="2638425" cy="1739265"/>
        </a:xfrm>
        <a:prstGeom prst="rect">
          <a:avLst/>
        </a:prstGeom>
        <a:noFill/>
        <a:ln>
          <a:noFill/>
        </a:ln>
      </xdr:spPr>
    </xdr:pic>
    <xdr:clientData/>
  </xdr:twoCellAnchor>
  <xdr:twoCellAnchor editAs="oneCell">
    <xdr:from>
      <xdr:col>1</xdr:col>
      <xdr:colOff>161192</xdr:colOff>
      <xdr:row>12</xdr:row>
      <xdr:rowOff>109905</xdr:rowOff>
    </xdr:from>
    <xdr:to>
      <xdr:col>1</xdr:col>
      <xdr:colOff>3269868</xdr:colOff>
      <xdr:row>12</xdr:row>
      <xdr:rowOff>322385</xdr:rowOff>
    </xdr:to>
    <xdr:pic>
      <xdr:nvPicPr>
        <xdr:cNvPr id="6" name="Picture 5">
          <a:extLst>
            <a:ext uri="{FF2B5EF4-FFF2-40B4-BE49-F238E27FC236}">
              <a16:creationId xmlns:a16="http://schemas.microsoft.com/office/drawing/2014/main" id="{FF406460-1922-4888-B091-6C2B50C7EF1C}"/>
            </a:ext>
          </a:extLst>
        </xdr:cNvPr>
        <xdr:cNvPicPr>
          <a:picLocks noChangeAspect="1"/>
        </xdr:cNvPicPr>
      </xdr:nvPicPr>
      <xdr:blipFill>
        <a:blip xmlns:r="http://schemas.openxmlformats.org/officeDocument/2006/relationships" r:embed="rId5"/>
        <a:stretch>
          <a:fillRect/>
        </a:stretch>
      </xdr:blipFill>
      <xdr:spPr>
        <a:xfrm>
          <a:off x="456467" y="5996355"/>
          <a:ext cx="3108676" cy="212480"/>
        </a:xfrm>
        <a:prstGeom prst="rect">
          <a:avLst/>
        </a:prstGeom>
      </xdr:spPr>
    </xdr:pic>
    <xdr:clientData/>
  </xdr:twoCellAnchor>
  <xdr:twoCellAnchor editAs="oneCell">
    <xdr:from>
      <xdr:col>1</xdr:col>
      <xdr:colOff>146538</xdr:colOff>
      <xdr:row>15</xdr:row>
      <xdr:rowOff>95250</xdr:rowOff>
    </xdr:from>
    <xdr:to>
      <xdr:col>1</xdr:col>
      <xdr:colOff>2483827</xdr:colOff>
      <xdr:row>15</xdr:row>
      <xdr:rowOff>419283</xdr:rowOff>
    </xdr:to>
    <xdr:pic>
      <xdr:nvPicPr>
        <xdr:cNvPr id="7" name="Picture 6">
          <a:extLst>
            <a:ext uri="{FF2B5EF4-FFF2-40B4-BE49-F238E27FC236}">
              <a16:creationId xmlns:a16="http://schemas.microsoft.com/office/drawing/2014/main" id="{2E194C02-A3CE-4AF7-88A1-F6EB56ABCA07}"/>
            </a:ext>
          </a:extLst>
        </xdr:cNvPr>
        <xdr:cNvPicPr>
          <a:picLocks noChangeAspect="1"/>
        </xdr:cNvPicPr>
      </xdr:nvPicPr>
      <xdr:blipFill>
        <a:blip xmlns:r="http://schemas.openxmlformats.org/officeDocument/2006/relationships" r:embed="rId6"/>
        <a:stretch>
          <a:fillRect/>
        </a:stretch>
      </xdr:blipFill>
      <xdr:spPr>
        <a:xfrm>
          <a:off x="441813" y="7096125"/>
          <a:ext cx="2337289" cy="324033"/>
        </a:xfrm>
        <a:prstGeom prst="rect">
          <a:avLst/>
        </a:prstGeom>
      </xdr:spPr>
    </xdr:pic>
    <xdr:clientData/>
  </xdr:twoCellAnchor>
  <xdr:twoCellAnchor editAs="oneCell">
    <xdr:from>
      <xdr:col>1</xdr:col>
      <xdr:colOff>234462</xdr:colOff>
      <xdr:row>17</xdr:row>
      <xdr:rowOff>175847</xdr:rowOff>
    </xdr:from>
    <xdr:to>
      <xdr:col>1</xdr:col>
      <xdr:colOff>2132247</xdr:colOff>
      <xdr:row>17</xdr:row>
      <xdr:rowOff>1524000</xdr:rowOff>
    </xdr:to>
    <xdr:pic>
      <xdr:nvPicPr>
        <xdr:cNvPr id="8" name="Picture 7">
          <a:extLst>
            <a:ext uri="{FF2B5EF4-FFF2-40B4-BE49-F238E27FC236}">
              <a16:creationId xmlns:a16="http://schemas.microsoft.com/office/drawing/2014/main" id="{AA7EE5CB-D7C4-43FA-A20B-B0F1B44C5AF2}"/>
            </a:ext>
          </a:extLst>
        </xdr:cNvPr>
        <xdr:cNvPicPr>
          <a:picLocks noChangeAspect="1"/>
        </xdr:cNvPicPr>
      </xdr:nvPicPr>
      <xdr:blipFill>
        <a:blip xmlns:r="http://schemas.openxmlformats.org/officeDocument/2006/relationships" r:embed="rId7"/>
        <a:stretch>
          <a:fillRect/>
        </a:stretch>
      </xdr:blipFill>
      <xdr:spPr>
        <a:xfrm>
          <a:off x="529737" y="8576897"/>
          <a:ext cx="1897785" cy="1348153"/>
        </a:xfrm>
        <a:prstGeom prst="rect">
          <a:avLst/>
        </a:prstGeom>
      </xdr:spPr>
    </xdr:pic>
    <xdr:clientData/>
  </xdr:twoCellAnchor>
  <xdr:twoCellAnchor editAs="oneCell">
    <xdr:from>
      <xdr:col>1</xdr:col>
      <xdr:colOff>2535116</xdr:colOff>
      <xdr:row>17</xdr:row>
      <xdr:rowOff>652097</xdr:rowOff>
    </xdr:from>
    <xdr:to>
      <xdr:col>1</xdr:col>
      <xdr:colOff>3449793</xdr:colOff>
      <xdr:row>17</xdr:row>
      <xdr:rowOff>1106366</xdr:rowOff>
    </xdr:to>
    <xdr:pic>
      <xdr:nvPicPr>
        <xdr:cNvPr id="9" name="Picture 8">
          <a:extLst>
            <a:ext uri="{FF2B5EF4-FFF2-40B4-BE49-F238E27FC236}">
              <a16:creationId xmlns:a16="http://schemas.microsoft.com/office/drawing/2014/main" id="{EBDDB21A-B617-4CE0-988B-5F2074E6BF4A}"/>
            </a:ext>
          </a:extLst>
        </xdr:cNvPr>
        <xdr:cNvPicPr>
          <a:picLocks noChangeAspect="1"/>
        </xdr:cNvPicPr>
      </xdr:nvPicPr>
      <xdr:blipFill>
        <a:blip xmlns:r="http://schemas.openxmlformats.org/officeDocument/2006/relationships" r:embed="rId8"/>
        <a:stretch>
          <a:fillRect/>
        </a:stretch>
      </xdr:blipFill>
      <xdr:spPr>
        <a:xfrm>
          <a:off x="2830391" y="9053147"/>
          <a:ext cx="914677" cy="454269"/>
        </a:xfrm>
        <a:prstGeom prst="rect">
          <a:avLst/>
        </a:prstGeom>
      </xdr:spPr>
    </xdr:pic>
    <xdr:clientData/>
  </xdr:twoCellAnchor>
  <xdr:twoCellAnchor editAs="oneCell">
    <xdr:from>
      <xdr:col>1</xdr:col>
      <xdr:colOff>278422</xdr:colOff>
      <xdr:row>20</xdr:row>
      <xdr:rowOff>102576</xdr:rowOff>
    </xdr:from>
    <xdr:to>
      <xdr:col>1</xdr:col>
      <xdr:colOff>1502019</xdr:colOff>
      <xdr:row>20</xdr:row>
      <xdr:rowOff>334833</xdr:rowOff>
    </xdr:to>
    <xdr:pic>
      <xdr:nvPicPr>
        <xdr:cNvPr id="10" name="Picture 9">
          <a:extLst>
            <a:ext uri="{FF2B5EF4-FFF2-40B4-BE49-F238E27FC236}">
              <a16:creationId xmlns:a16="http://schemas.microsoft.com/office/drawing/2014/main" id="{322D4163-1B5F-45A0-8E6B-2DCCF7EFC8C5}"/>
            </a:ext>
          </a:extLst>
        </xdr:cNvPr>
        <xdr:cNvPicPr>
          <a:picLocks noChangeAspect="1"/>
        </xdr:cNvPicPr>
      </xdr:nvPicPr>
      <xdr:blipFill>
        <a:blip xmlns:r="http://schemas.openxmlformats.org/officeDocument/2006/relationships" r:embed="rId9"/>
        <a:stretch>
          <a:fillRect/>
        </a:stretch>
      </xdr:blipFill>
      <xdr:spPr>
        <a:xfrm>
          <a:off x="573697" y="11170626"/>
          <a:ext cx="1223597" cy="2322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146538</xdr:colOff>
      <xdr:row>6</xdr:row>
      <xdr:rowOff>51290</xdr:rowOff>
    </xdr:from>
    <xdr:to>
      <xdr:col>1</xdr:col>
      <xdr:colOff>652096</xdr:colOff>
      <xdr:row>6</xdr:row>
      <xdr:rowOff>466570</xdr:rowOff>
    </xdr:to>
    <xdr:pic>
      <xdr:nvPicPr>
        <xdr:cNvPr id="2" name="Picture 1">
          <a:extLst>
            <a:ext uri="{FF2B5EF4-FFF2-40B4-BE49-F238E27FC236}">
              <a16:creationId xmlns:a16="http://schemas.microsoft.com/office/drawing/2014/main" id="{4A3E877B-89A8-4D44-90A1-7A6A0E73F687}"/>
            </a:ext>
          </a:extLst>
        </xdr:cNvPr>
        <xdr:cNvPicPr>
          <a:picLocks noChangeAspect="1"/>
        </xdr:cNvPicPr>
      </xdr:nvPicPr>
      <xdr:blipFill>
        <a:blip xmlns:r="http://schemas.openxmlformats.org/officeDocument/2006/relationships" r:embed="rId1"/>
        <a:stretch>
          <a:fillRect/>
        </a:stretch>
      </xdr:blipFill>
      <xdr:spPr>
        <a:xfrm>
          <a:off x="441813" y="1680065"/>
          <a:ext cx="505558" cy="415280"/>
        </a:xfrm>
        <a:prstGeom prst="rect">
          <a:avLst/>
        </a:prstGeom>
      </xdr:spPr>
    </xdr:pic>
    <xdr:clientData/>
  </xdr:twoCellAnchor>
  <xdr:twoCellAnchor editAs="oneCell">
    <xdr:from>
      <xdr:col>1</xdr:col>
      <xdr:colOff>65942</xdr:colOff>
      <xdr:row>8</xdr:row>
      <xdr:rowOff>29307</xdr:rowOff>
    </xdr:from>
    <xdr:to>
      <xdr:col>1</xdr:col>
      <xdr:colOff>824673</xdr:colOff>
      <xdr:row>8</xdr:row>
      <xdr:rowOff>417634</xdr:rowOff>
    </xdr:to>
    <xdr:pic>
      <xdr:nvPicPr>
        <xdr:cNvPr id="3" name="Picture 2">
          <a:extLst>
            <a:ext uri="{FF2B5EF4-FFF2-40B4-BE49-F238E27FC236}">
              <a16:creationId xmlns:a16="http://schemas.microsoft.com/office/drawing/2014/main" id="{FE767B45-EE7E-4955-8015-03BC13614300}"/>
            </a:ext>
          </a:extLst>
        </xdr:cNvPr>
        <xdr:cNvPicPr>
          <a:picLocks noChangeAspect="1"/>
        </xdr:cNvPicPr>
      </xdr:nvPicPr>
      <xdr:blipFill>
        <a:blip xmlns:r="http://schemas.openxmlformats.org/officeDocument/2006/relationships" r:embed="rId2"/>
        <a:stretch>
          <a:fillRect/>
        </a:stretch>
      </xdr:blipFill>
      <xdr:spPr>
        <a:xfrm>
          <a:off x="361217" y="5610957"/>
          <a:ext cx="758731" cy="38832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790128</xdr:colOff>
      <xdr:row>7</xdr:row>
      <xdr:rowOff>130387</xdr:rowOff>
    </xdr:from>
    <xdr:ext cx="2661006" cy="2635012"/>
    <xdr:pic>
      <xdr:nvPicPr>
        <xdr:cNvPr id="2" name="Picture 1">
          <a:extLst>
            <a:ext uri="{FF2B5EF4-FFF2-40B4-BE49-F238E27FC236}">
              <a16:creationId xmlns:a16="http://schemas.microsoft.com/office/drawing/2014/main" id="{AC4E8852-4648-4A48-A95A-B796DC72DF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1103" y="1597237"/>
          <a:ext cx="2661006" cy="2635012"/>
        </a:xfrm>
        <a:prstGeom prst="rect">
          <a:avLst/>
        </a:prstGeom>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github.com/rcfdtools/R.HydroTools/wiki/License" TargetMode="External"/><Relationship Id="rId2" Type="http://schemas.openxmlformats.org/officeDocument/2006/relationships/hyperlink" Target="https://github.com/rcfdtools" TargetMode="External"/><Relationship Id="rId1" Type="http://schemas.openxmlformats.org/officeDocument/2006/relationships/hyperlink" Target="mailto:r.cfdtools@gmail.com" TargetMode="External"/><Relationship Id="rId5" Type="http://schemas.openxmlformats.org/officeDocument/2006/relationships/drawing" Target="../drawings/drawing3.xml"/><Relationship Id="rId4"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C4D5E-A305-4BD9-9483-CE4857D35E84}">
  <dimension ref="B2:B274"/>
  <sheetViews>
    <sheetView showGridLines="0" zoomScale="130" zoomScaleNormal="130" workbookViewId="0"/>
  </sheetViews>
  <sheetFormatPr defaultColWidth="9.1171875" defaultRowHeight="16.350000000000001" x14ac:dyDescent="0.65"/>
  <cols>
    <col min="1" max="1" width="4.1171875" style="31" customWidth="1"/>
    <col min="2" max="2" width="107.46875" style="2" customWidth="1"/>
    <col min="3" max="16384" width="9.1171875" style="31"/>
  </cols>
  <sheetData>
    <row r="2" spans="2:2" x14ac:dyDescent="0.65">
      <c r="B2" s="2" t="s">
        <v>40</v>
      </c>
    </row>
    <row r="4" spans="2:2" x14ac:dyDescent="0.65">
      <c r="B4" s="32" t="s">
        <v>29</v>
      </c>
    </row>
    <row r="5" spans="2:2" ht="38.25" customHeight="1" x14ac:dyDescent="0.65">
      <c r="B5" s="31"/>
    </row>
    <row r="6" spans="2:2" x14ac:dyDescent="0.65">
      <c r="B6" s="32" t="s">
        <v>30</v>
      </c>
    </row>
    <row r="7" spans="2:2" ht="47.25" customHeight="1" x14ac:dyDescent="0.65">
      <c r="B7" s="31"/>
    </row>
    <row r="8" spans="2:2" ht="32.700000000000003" x14ac:dyDescent="0.65">
      <c r="B8" s="32" t="s">
        <v>31</v>
      </c>
    </row>
    <row r="9" spans="2:2" ht="48" customHeight="1" x14ac:dyDescent="0.65">
      <c r="B9" s="31"/>
    </row>
    <row r="10" spans="2:2" ht="32.700000000000003" x14ac:dyDescent="0.65">
      <c r="B10" s="32" t="s">
        <v>32</v>
      </c>
    </row>
    <row r="11" spans="2:2" ht="159" customHeight="1" x14ac:dyDescent="0.65">
      <c r="B11" s="32"/>
    </row>
    <row r="12" spans="2:2" ht="49" x14ac:dyDescent="0.65">
      <c r="B12" s="32" t="s">
        <v>33</v>
      </c>
    </row>
    <row r="13" spans="2:2" ht="30.75" customHeight="1" x14ac:dyDescent="0.65">
      <c r="B13" s="32"/>
    </row>
    <row r="14" spans="2:2" ht="49" x14ac:dyDescent="0.65">
      <c r="B14" s="32" t="s">
        <v>34</v>
      </c>
    </row>
    <row r="15" spans="2:2" x14ac:dyDescent="0.65">
      <c r="B15" s="32" t="s">
        <v>35</v>
      </c>
    </row>
    <row r="16" spans="2:2" ht="39" customHeight="1" x14ac:dyDescent="0.65">
      <c r="B16" s="32"/>
    </row>
    <row r="17" spans="2:2" ht="81.7" x14ac:dyDescent="0.65">
      <c r="B17" s="32" t="s">
        <v>36</v>
      </c>
    </row>
    <row r="18" spans="2:2" ht="138.75" customHeight="1" x14ac:dyDescent="0.65">
      <c r="B18" s="32"/>
    </row>
    <row r="19" spans="2:2" ht="49" x14ac:dyDescent="0.65">
      <c r="B19" s="32" t="s">
        <v>37</v>
      </c>
    </row>
    <row r="20" spans="2:2" ht="32.700000000000003" x14ac:dyDescent="0.65">
      <c r="B20" s="32" t="s">
        <v>38</v>
      </c>
    </row>
    <row r="21" spans="2:2" ht="38.25" customHeight="1" x14ac:dyDescent="0.65">
      <c r="B21" s="32"/>
    </row>
    <row r="22" spans="2:2" ht="32.700000000000003" x14ac:dyDescent="0.65">
      <c r="B22" s="32" t="s">
        <v>39</v>
      </c>
    </row>
    <row r="23" spans="2:2" x14ac:dyDescent="0.65">
      <c r="B23" s="32"/>
    </row>
    <row r="24" spans="2:2" x14ac:dyDescent="0.65">
      <c r="B24" s="32"/>
    </row>
    <row r="25" spans="2:2" x14ac:dyDescent="0.65">
      <c r="B25" s="32"/>
    </row>
    <row r="26" spans="2:2" x14ac:dyDescent="0.65">
      <c r="B26" s="32"/>
    </row>
    <row r="27" spans="2:2" x14ac:dyDescent="0.65">
      <c r="B27" s="32"/>
    </row>
    <row r="28" spans="2:2" x14ac:dyDescent="0.65">
      <c r="B28" s="32"/>
    </row>
    <row r="29" spans="2:2" x14ac:dyDescent="0.65">
      <c r="B29" s="32"/>
    </row>
    <row r="30" spans="2:2" x14ac:dyDescent="0.65">
      <c r="B30" s="32"/>
    </row>
    <row r="31" spans="2:2" x14ac:dyDescent="0.65">
      <c r="B31" s="32"/>
    </row>
    <row r="32" spans="2:2" x14ac:dyDescent="0.65">
      <c r="B32" s="32"/>
    </row>
    <row r="33" spans="2:2" x14ac:dyDescent="0.65">
      <c r="B33" s="32"/>
    </row>
    <row r="34" spans="2:2" x14ac:dyDescent="0.65">
      <c r="B34" s="32"/>
    </row>
    <row r="35" spans="2:2" x14ac:dyDescent="0.65">
      <c r="B35" s="32"/>
    </row>
    <row r="36" spans="2:2" x14ac:dyDescent="0.65">
      <c r="B36" s="32"/>
    </row>
    <row r="37" spans="2:2" x14ac:dyDescent="0.65">
      <c r="B37" s="32"/>
    </row>
    <row r="38" spans="2:2" x14ac:dyDescent="0.65">
      <c r="B38" s="32"/>
    </row>
    <row r="39" spans="2:2" x14ac:dyDescent="0.65">
      <c r="B39" s="32"/>
    </row>
    <row r="40" spans="2:2" x14ac:dyDescent="0.65">
      <c r="B40" s="32"/>
    </row>
    <row r="41" spans="2:2" x14ac:dyDescent="0.65">
      <c r="B41" s="32"/>
    </row>
    <row r="42" spans="2:2" x14ac:dyDescent="0.65">
      <c r="B42" s="32"/>
    </row>
    <row r="43" spans="2:2" x14ac:dyDescent="0.65">
      <c r="B43" s="32"/>
    </row>
    <row r="44" spans="2:2" x14ac:dyDescent="0.65">
      <c r="B44" s="32"/>
    </row>
    <row r="45" spans="2:2" x14ac:dyDescent="0.65">
      <c r="B45" s="32"/>
    </row>
    <row r="46" spans="2:2" x14ac:dyDescent="0.65">
      <c r="B46" s="32"/>
    </row>
    <row r="47" spans="2:2" x14ac:dyDescent="0.65">
      <c r="B47" s="32"/>
    </row>
    <row r="48" spans="2:2" x14ac:dyDescent="0.65">
      <c r="B48" s="32"/>
    </row>
    <row r="49" spans="2:2" x14ac:dyDescent="0.65">
      <c r="B49" s="32"/>
    </row>
    <row r="50" spans="2:2" x14ac:dyDescent="0.65">
      <c r="B50" s="32"/>
    </row>
    <row r="51" spans="2:2" x14ac:dyDescent="0.65">
      <c r="B51" s="32"/>
    </row>
    <row r="52" spans="2:2" x14ac:dyDescent="0.65">
      <c r="B52" s="32"/>
    </row>
    <row r="53" spans="2:2" x14ac:dyDescent="0.65">
      <c r="B53" s="32"/>
    </row>
    <row r="54" spans="2:2" x14ac:dyDescent="0.65">
      <c r="B54" s="32"/>
    </row>
    <row r="55" spans="2:2" x14ac:dyDescent="0.65">
      <c r="B55" s="32"/>
    </row>
    <row r="56" spans="2:2" x14ac:dyDescent="0.65">
      <c r="B56" s="32"/>
    </row>
    <row r="57" spans="2:2" x14ac:dyDescent="0.65">
      <c r="B57" s="32"/>
    </row>
    <row r="58" spans="2:2" x14ac:dyDescent="0.65">
      <c r="B58" s="32"/>
    </row>
    <row r="59" spans="2:2" x14ac:dyDescent="0.65">
      <c r="B59" s="32"/>
    </row>
    <row r="60" spans="2:2" x14ac:dyDescent="0.65">
      <c r="B60" s="32"/>
    </row>
    <row r="61" spans="2:2" x14ac:dyDescent="0.65">
      <c r="B61" s="32"/>
    </row>
    <row r="62" spans="2:2" x14ac:dyDescent="0.65">
      <c r="B62" s="32"/>
    </row>
    <row r="63" spans="2:2" x14ac:dyDescent="0.65">
      <c r="B63" s="32"/>
    </row>
    <row r="64" spans="2:2" x14ac:dyDescent="0.65">
      <c r="B64" s="32"/>
    </row>
    <row r="65" spans="2:2" x14ac:dyDescent="0.65">
      <c r="B65" s="32"/>
    </row>
    <row r="66" spans="2:2" x14ac:dyDescent="0.65">
      <c r="B66" s="32"/>
    </row>
    <row r="67" spans="2:2" x14ac:dyDescent="0.65">
      <c r="B67" s="32"/>
    </row>
    <row r="68" spans="2:2" x14ac:dyDescent="0.65">
      <c r="B68" s="32"/>
    </row>
    <row r="69" spans="2:2" x14ac:dyDescent="0.65">
      <c r="B69" s="32"/>
    </row>
    <row r="70" spans="2:2" x14ac:dyDescent="0.65">
      <c r="B70" s="32"/>
    </row>
    <row r="71" spans="2:2" x14ac:dyDescent="0.65">
      <c r="B71" s="32"/>
    </row>
    <row r="72" spans="2:2" x14ac:dyDescent="0.65">
      <c r="B72" s="32"/>
    </row>
    <row r="73" spans="2:2" x14ac:dyDescent="0.65">
      <c r="B73" s="32"/>
    </row>
    <row r="74" spans="2:2" x14ac:dyDescent="0.65">
      <c r="B74" s="32"/>
    </row>
    <row r="75" spans="2:2" x14ac:dyDescent="0.65">
      <c r="B75" s="32"/>
    </row>
    <row r="76" spans="2:2" x14ac:dyDescent="0.65">
      <c r="B76" s="32"/>
    </row>
    <row r="77" spans="2:2" x14ac:dyDescent="0.65">
      <c r="B77" s="32"/>
    </row>
    <row r="78" spans="2:2" x14ac:dyDescent="0.65">
      <c r="B78" s="32"/>
    </row>
    <row r="79" spans="2:2" x14ac:dyDescent="0.65">
      <c r="B79" s="32"/>
    </row>
    <row r="80" spans="2:2" x14ac:dyDescent="0.65">
      <c r="B80" s="32"/>
    </row>
    <row r="81" spans="2:2" x14ac:dyDescent="0.65">
      <c r="B81" s="32"/>
    </row>
    <row r="82" spans="2:2" x14ac:dyDescent="0.65">
      <c r="B82" s="32"/>
    </row>
    <row r="83" spans="2:2" x14ac:dyDescent="0.65">
      <c r="B83" s="32"/>
    </row>
    <row r="84" spans="2:2" x14ac:dyDescent="0.65">
      <c r="B84" s="32"/>
    </row>
    <row r="85" spans="2:2" x14ac:dyDescent="0.65">
      <c r="B85" s="32"/>
    </row>
    <row r="86" spans="2:2" x14ac:dyDescent="0.65">
      <c r="B86" s="32"/>
    </row>
    <row r="87" spans="2:2" x14ac:dyDescent="0.65">
      <c r="B87" s="32"/>
    </row>
    <row r="88" spans="2:2" x14ac:dyDescent="0.65">
      <c r="B88" s="32"/>
    </row>
    <row r="89" spans="2:2" x14ac:dyDescent="0.65">
      <c r="B89" s="32"/>
    </row>
    <row r="90" spans="2:2" x14ac:dyDescent="0.65">
      <c r="B90" s="32"/>
    </row>
    <row r="91" spans="2:2" x14ac:dyDescent="0.65">
      <c r="B91" s="32"/>
    </row>
    <row r="92" spans="2:2" x14ac:dyDescent="0.65">
      <c r="B92" s="32"/>
    </row>
    <row r="93" spans="2:2" x14ac:dyDescent="0.65">
      <c r="B93" s="32"/>
    </row>
    <row r="94" spans="2:2" x14ac:dyDescent="0.65">
      <c r="B94" s="32"/>
    </row>
    <row r="95" spans="2:2" x14ac:dyDescent="0.65">
      <c r="B95" s="32"/>
    </row>
    <row r="96" spans="2:2" x14ac:dyDescent="0.65">
      <c r="B96" s="32"/>
    </row>
    <row r="97" spans="2:2" x14ac:dyDescent="0.65">
      <c r="B97" s="32"/>
    </row>
    <row r="98" spans="2:2" x14ac:dyDescent="0.65">
      <c r="B98" s="32"/>
    </row>
    <row r="99" spans="2:2" x14ac:dyDescent="0.65">
      <c r="B99" s="32"/>
    </row>
    <row r="100" spans="2:2" x14ac:dyDescent="0.65">
      <c r="B100" s="32"/>
    </row>
    <row r="101" spans="2:2" x14ac:dyDescent="0.65">
      <c r="B101" s="32"/>
    </row>
    <row r="102" spans="2:2" x14ac:dyDescent="0.65">
      <c r="B102" s="32"/>
    </row>
    <row r="103" spans="2:2" x14ac:dyDescent="0.65">
      <c r="B103" s="32"/>
    </row>
    <row r="104" spans="2:2" x14ac:dyDescent="0.65">
      <c r="B104" s="32"/>
    </row>
    <row r="105" spans="2:2" x14ac:dyDescent="0.65">
      <c r="B105" s="32"/>
    </row>
    <row r="106" spans="2:2" x14ac:dyDescent="0.65">
      <c r="B106" s="32"/>
    </row>
    <row r="107" spans="2:2" x14ac:dyDescent="0.65">
      <c r="B107" s="32"/>
    </row>
    <row r="108" spans="2:2" x14ac:dyDescent="0.65">
      <c r="B108" s="32"/>
    </row>
    <row r="109" spans="2:2" x14ac:dyDescent="0.65">
      <c r="B109" s="32"/>
    </row>
    <row r="110" spans="2:2" x14ac:dyDescent="0.65">
      <c r="B110" s="32"/>
    </row>
    <row r="111" spans="2:2" x14ac:dyDescent="0.65">
      <c r="B111" s="32"/>
    </row>
    <row r="112" spans="2:2" x14ac:dyDescent="0.65">
      <c r="B112" s="32"/>
    </row>
    <row r="113" spans="2:2" x14ac:dyDescent="0.65">
      <c r="B113" s="32"/>
    </row>
    <row r="114" spans="2:2" x14ac:dyDescent="0.65">
      <c r="B114" s="32"/>
    </row>
    <row r="115" spans="2:2" x14ac:dyDescent="0.65">
      <c r="B115" s="32"/>
    </row>
    <row r="116" spans="2:2" x14ac:dyDescent="0.65">
      <c r="B116" s="32"/>
    </row>
    <row r="117" spans="2:2" x14ac:dyDescent="0.65">
      <c r="B117" s="32"/>
    </row>
    <row r="118" spans="2:2" x14ac:dyDescent="0.65">
      <c r="B118" s="32"/>
    </row>
    <row r="119" spans="2:2" x14ac:dyDescent="0.65">
      <c r="B119" s="32"/>
    </row>
    <row r="120" spans="2:2" x14ac:dyDescent="0.65">
      <c r="B120" s="32"/>
    </row>
    <row r="121" spans="2:2" x14ac:dyDescent="0.65">
      <c r="B121" s="32"/>
    </row>
    <row r="122" spans="2:2" x14ac:dyDescent="0.65">
      <c r="B122" s="32"/>
    </row>
    <row r="123" spans="2:2" x14ac:dyDescent="0.65">
      <c r="B123" s="32"/>
    </row>
    <row r="124" spans="2:2" x14ac:dyDescent="0.65">
      <c r="B124" s="32"/>
    </row>
    <row r="125" spans="2:2" x14ac:dyDescent="0.65">
      <c r="B125" s="32"/>
    </row>
    <row r="126" spans="2:2" x14ac:dyDescent="0.65">
      <c r="B126" s="32"/>
    </row>
    <row r="127" spans="2:2" x14ac:dyDescent="0.65">
      <c r="B127" s="32"/>
    </row>
    <row r="128" spans="2:2" x14ac:dyDescent="0.65">
      <c r="B128" s="32"/>
    </row>
    <row r="129" spans="2:2" x14ac:dyDescent="0.65">
      <c r="B129" s="32"/>
    </row>
    <row r="130" spans="2:2" x14ac:dyDescent="0.65">
      <c r="B130" s="32"/>
    </row>
    <row r="131" spans="2:2" x14ac:dyDescent="0.65">
      <c r="B131" s="32"/>
    </row>
    <row r="132" spans="2:2" x14ac:dyDescent="0.65">
      <c r="B132" s="32"/>
    </row>
    <row r="133" spans="2:2" x14ac:dyDescent="0.65">
      <c r="B133" s="32"/>
    </row>
    <row r="134" spans="2:2" x14ac:dyDescent="0.65">
      <c r="B134" s="32"/>
    </row>
    <row r="135" spans="2:2" x14ac:dyDescent="0.65">
      <c r="B135" s="32"/>
    </row>
    <row r="136" spans="2:2" x14ac:dyDescent="0.65">
      <c r="B136" s="32"/>
    </row>
    <row r="137" spans="2:2" x14ac:dyDescent="0.65">
      <c r="B137" s="32"/>
    </row>
    <row r="138" spans="2:2" x14ac:dyDescent="0.65">
      <c r="B138" s="32"/>
    </row>
    <row r="139" spans="2:2" x14ac:dyDescent="0.65">
      <c r="B139" s="32"/>
    </row>
    <row r="140" spans="2:2" x14ac:dyDescent="0.65">
      <c r="B140" s="32"/>
    </row>
    <row r="141" spans="2:2" x14ac:dyDescent="0.65">
      <c r="B141" s="32"/>
    </row>
    <row r="142" spans="2:2" x14ac:dyDescent="0.65">
      <c r="B142" s="32"/>
    </row>
    <row r="143" spans="2:2" x14ac:dyDescent="0.65">
      <c r="B143" s="32"/>
    </row>
    <row r="144" spans="2:2" x14ac:dyDescent="0.65">
      <c r="B144" s="32"/>
    </row>
    <row r="145" spans="2:2" x14ac:dyDescent="0.65">
      <c r="B145" s="32"/>
    </row>
    <row r="146" spans="2:2" x14ac:dyDescent="0.65">
      <c r="B146" s="32"/>
    </row>
    <row r="147" spans="2:2" x14ac:dyDescent="0.65">
      <c r="B147" s="32"/>
    </row>
    <row r="148" spans="2:2" x14ac:dyDescent="0.65">
      <c r="B148" s="32"/>
    </row>
    <row r="149" spans="2:2" x14ac:dyDescent="0.65">
      <c r="B149" s="32"/>
    </row>
    <row r="150" spans="2:2" x14ac:dyDescent="0.65">
      <c r="B150" s="32"/>
    </row>
    <row r="151" spans="2:2" x14ac:dyDescent="0.65">
      <c r="B151" s="32"/>
    </row>
    <row r="152" spans="2:2" x14ac:dyDescent="0.65">
      <c r="B152" s="32"/>
    </row>
    <row r="153" spans="2:2" x14ac:dyDescent="0.65">
      <c r="B153" s="32"/>
    </row>
    <row r="154" spans="2:2" x14ac:dyDescent="0.65">
      <c r="B154" s="32"/>
    </row>
    <row r="155" spans="2:2" x14ac:dyDescent="0.65">
      <c r="B155" s="32"/>
    </row>
    <row r="156" spans="2:2" x14ac:dyDescent="0.65">
      <c r="B156" s="32"/>
    </row>
    <row r="157" spans="2:2" x14ac:dyDescent="0.65">
      <c r="B157" s="32"/>
    </row>
    <row r="158" spans="2:2" x14ac:dyDescent="0.65">
      <c r="B158" s="32"/>
    </row>
    <row r="159" spans="2:2" x14ac:dyDescent="0.65">
      <c r="B159" s="32"/>
    </row>
    <row r="160" spans="2:2" x14ac:dyDescent="0.65">
      <c r="B160" s="32"/>
    </row>
    <row r="161" spans="2:2" x14ac:dyDescent="0.65">
      <c r="B161" s="32"/>
    </row>
    <row r="162" spans="2:2" x14ac:dyDescent="0.65">
      <c r="B162" s="32"/>
    </row>
    <row r="163" spans="2:2" x14ac:dyDescent="0.65">
      <c r="B163" s="32"/>
    </row>
    <row r="164" spans="2:2" x14ac:dyDescent="0.65">
      <c r="B164" s="32"/>
    </row>
    <row r="165" spans="2:2" x14ac:dyDescent="0.65">
      <c r="B165" s="32"/>
    </row>
    <row r="166" spans="2:2" x14ac:dyDescent="0.65">
      <c r="B166" s="32"/>
    </row>
    <row r="167" spans="2:2" x14ac:dyDescent="0.65">
      <c r="B167" s="32"/>
    </row>
    <row r="168" spans="2:2" x14ac:dyDescent="0.65">
      <c r="B168" s="32"/>
    </row>
    <row r="169" spans="2:2" x14ac:dyDescent="0.65">
      <c r="B169" s="32"/>
    </row>
    <row r="170" spans="2:2" x14ac:dyDescent="0.65">
      <c r="B170" s="32"/>
    </row>
    <row r="171" spans="2:2" x14ac:dyDescent="0.65">
      <c r="B171" s="32"/>
    </row>
    <row r="172" spans="2:2" x14ac:dyDescent="0.65">
      <c r="B172" s="32"/>
    </row>
    <row r="173" spans="2:2" x14ac:dyDescent="0.65">
      <c r="B173" s="32"/>
    </row>
    <row r="174" spans="2:2" x14ac:dyDescent="0.65">
      <c r="B174" s="32"/>
    </row>
    <row r="175" spans="2:2" x14ac:dyDescent="0.65">
      <c r="B175" s="32"/>
    </row>
    <row r="176" spans="2:2" x14ac:dyDescent="0.65">
      <c r="B176" s="32"/>
    </row>
    <row r="177" spans="2:2" x14ac:dyDescent="0.65">
      <c r="B177" s="32"/>
    </row>
    <row r="178" spans="2:2" x14ac:dyDescent="0.65">
      <c r="B178" s="32"/>
    </row>
    <row r="179" spans="2:2" x14ac:dyDescent="0.65">
      <c r="B179" s="32"/>
    </row>
    <row r="180" spans="2:2" x14ac:dyDescent="0.65">
      <c r="B180" s="32"/>
    </row>
    <row r="181" spans="2:2" x14ac:dyDescent="0.65">
      <c r="B181" s="32"/>
    </row>
    <row r="182" spans="2:2" x14ac:dyDescent="0.65">
      <c r="B182" s="32"/>
    </row>
    <row r="183" spans="2:2" x14ac:dyDescent="0.65">
      <c r="B183" s="32"/>
    </row>
    <row r="184" spans="2:2" x14ac:dyDescent="0.65">
      <c r="B184" s="32"/>
    </row>
    <row r="185" spans="2:2" x14ac:dyDescent="0.65">
      <c r="B185" s="32"/>
    </row>
    <row r="186" spans="2:2" x14ac:dyDescent="0.65">
      <c r="B186" s="32"/>
    </row>
    <row r="187" spans="2:2" x14ac:dyDescent="0.65">
      <c r="B187" s="32"/>
    </row>
    <row r="188" spans="2:2" x14ac:dyDescent="0.65">
      <c r="B188" s="32"/>
    </row>
    <row r="189" spans="2:2" x14ac:dyDescent="0.65">
      <c r="B189" s="32"/>
    </row>
    <row r="190" spans="2:2" x14ac:dyDescent="0.65">
      <c r="B190" s="32"/>
    </row>
    <row r="191" spans="2:2" x14ac:dyDescent="0.65">
      <c r="B191" s="32"/>
    </row>
    <row r="192" spans="2:2" x14ac:dyDescent="0.65">
      <c r="B192" s="32"/>
    </row>
    <row r="193" spans="2:2" x14ac:dyDescent="0.65">
      <c r="B193" s="32"/>
    </row>
    <row r="194" spans="2:2" x14ac:dyDescent="0.65">
      <c r="B194" s="32"/>
    </row>
    <row r="195" spans="2:2" x14ac:dyDescent="0.65">
      <c r="B195" s="32"/>
    </row>
    <row r="196" spans="2:2" x14ac:dyDescent="0.65">
      <c r="B196" s="32"/>
    </row>
    <row r="197" spans="2:2" x14ac:dyDescent="0.65">
      <c r="B197" s="32"/>
    </row>
    <row r="198" spans="2:2" x14ac:dyDescent="0.65">
      <c r="B198" s="32"/>
    </row>
    <row r="199" spans="2:2" x14ac:dyDescent="0.65">
      <c r="B199" s="32"/>
    </row>
    <row r="200" spans="2:2" x14ac:dyDescent="0.65">
      <c r="B200" s="32"/>
    </row>
    <row r="201" spans="2:2" x14ac:dyDescent="0.65">
      <c r="B201" s="32"/>
    </row>
    <row r="202" spans="2:2" x14ac:dyDescent="0.65">
      <c r="B202" s="32"/>
    </row>
    <row r="203" spans="2:2" x14ac:dyDescent="0.65">
      <c r="B203" s="32"/>
    </row>
    <row r="204" spans="2:2" x14ac:dyDescent="0.65">
      <c r="B204" s="32"/>
    </row>
    <row r="205" spans="2:2" x14ac:dyDescent="0.65">
      <c r="B205" s="32"/>
    </row>
    <row r="206" spans="2:2" x14ac:dyDescent="0.65">
      <c r="B206" s="32"/>
    </row>
    <row r="207" spans="2:2" x14ac:dyDescent="0.65">
      <c r="B207" s="32"/>
    </row>
    <row r="208" spans="2:2" x14ac:dyDescent="0.65">
      <c r="B208" s="32"/>
    </row>
    <row r="209" spans="2:2" x14ac:dyDescent="0.65">
      <c r="B209" s="32"/>
    </row>
    <row r="210" spans="2:2" x14ac:dyDescent="0.65">
      <c r="B210" s="32"/>
    </row>
    <row r="211" spans="2:2" x14ac:dyDescent="0.65">
      <c r="B211" s="32"/>
    </row>
    <row r="212" spans="2:2" x14ac:dyDescent="0.65">
      <c r="B212" s="32"/>
    </row>
    <row r="213" spans="2:2" x14ac:dyDescent="0.65">
      <c r="B213" s="32"/>
    </row>
    <row r="214" spans="2:2" x14ac:dyDescent="0.65">
      <c r="B214" s="32"/>
    </row>
    <row r="215" spans="2:2" x14ac:dyDescent="0.65">
      <c r="B215" s="32"/>
    </row>
    <row r="216" spans="2:2" x14ac:dyDescent="0.65">
      <c r="B216" s="32"/>
    </row>
    <row r="217" spans="2:2" x14ac:dyDescent="0.65">
      <c r="B217" s="32"/>
    </row>
    <row r="218" spans="2:2" x14ac:dyDescent="0.65">
      <c r="B218" s="32"/>
    </row>
    <row r="219" spans="2:2" x14ac:dyDescent="0.65">
      <c r="B219" s="32"/>
    </row>
    <row r="220" spans="2:2" x14ac:dyDescent="0.65">
      <c r="B220" s="32"/>
    </row>
    <row r="221" spans="2:2" x14ac:dyDescent="0.65">
      <c r="B221" s="32"/>
    </row>
    <row r="222" spans="2:2" x14ac:dyDescent="0.65">
      <c r="B222" s="32"/>
    </row>
    <row r="223" spans="2:2" x14ac:dyDescent="0.65">
      <c r="B223" s="32"/>
    </row>
    <row r="224" spans="2:2" x14ac:dyDescent="0.65">
      <c r="B224" s="32"/>
    </row>
    <row r="225" spans="2:2" x14ac:dyDescent="0.65">
      <c r="B225" s="32"/>
    </row>
    <row r="226" spans="2:2" x14ac:dyDescent="0.65">
      <c r="B226" s="32"/>
    </row>
    <row r="227" spans="2:2" x14ac:dyDescent="0.65">
      <c r="B227" s="32"/>
    </row>
    <row r="228" spans="2:2" x14ac:dyDescent="0.65">
      <c r="B228" s="32"/>
    </row>
    <row r="229" spans="2:2" x14ac:dyDescent="0.65">
      <c r="B229" s="32"/>
    </row>
    <row r="230" spans="2:2" x14ac:dyDescent="0.65">
      <c r="B230" s="32"/>
    </row>
    <row r="231" spans="2:2" x14ac:dyDescent="0.65">
      <c r="B231" s="32"/>
    </row>
    <row r="232" spans="2:2" x14ac:dyDescent="0.65">
      <c r="B232" s="32"/>
    </row>
    <row r="233" spans="2:2" x14ac:dyDescent="0.65">
      <c r="B233" s="32"/>
    </row>
    <row r="234" spans="2:2" x14ac:dyDescent="0.65">
      <c r="B234" s="32"/>
    </row>
    <row r="235" spans="2:2" x14ac:dyDescent="0.65">
      <c r="B235" s="32"/>
    </row>
    <row r="236" spans="2:2" x14ac:dyDescent="0.65">
      <c r="B236" s="32"/>
    </row>
    <row r="237" spans="2:2" x14ac:dyDescent="0.65">
      <c r="B237" s="32"/>
    </row>
    <row r="238" spans="2:2" x14ac:dyDescent="0.65">
      <c r="B238" s="32"/>
    </row>
    <row r="239" spans="2:2" x14ac:dyDescent="0.65">
      <c r="B239" s="32"/>
    </row>
    <row r="240" spans="2:2" x14ac:dyDescent="0.65">
      <c r="B240" s="32"/>
    </row>
    <row r="241" spans="2:2" x14ac:dyDescent="0.65">
      <c r="B241" s="32"/>
    </row>
    <row r="242" spans="2:2" x14ac:dyDescent="0.65">
      <c r="B242" s="32"/>
    </row>
    <row r="243" spans="2:2" x14ac:dyDescent="0.65">
      <c r="B243" s="32"/>
    </row>
    <row r="244" spans="2:2" x14ac:dyDescent="0.65">
      <c r="B244" s="32"/>
    </row>
    <row r="245" spans="2:2" x14ac:dyDescent="0.65">
      <c r="B245" s="32"/>
    </row>
    <row r="246" spans="2:2" x14ac:dyDescent="0.65">
      <c r="B246" s="32"/>
    </row>
    <row r="247" spans="2:2" x14ac:dyDescent="0.65">
      <c r="B247" s="32"/>
    </row>
    <row r="248" spans="2:2" x14ac:dyDescent="0.65">
      <c r="B248" s="32"/>
    </row>
    <row r="249" spans="2:2" x14ac:dyDescent="0.65">
      <c r="B249" s="32"/>
    </row>
    <row r="250" spans="2:2" x14ac:dyDescent="0.65">
      <c r="B250" s="32"/>
    </row>
    <row r="251" spans="2:2" x14ac:dyDescent="0.65">
      <c r="B251" s="32"/>
    </row>
    <row r="252" spans="2:2" x14ac:dyDescent="0.65">
      <c r="B252" s="32"/>
    </row>
    <row r="253" spans="2:2" x14ac:dyDescent="0.65">
      <c r="B253" s="32"/>
    </row>
    <row r="254" spans="2:2" x14ac:dyDescent="0.65">
      <c r="B254" s="32"/>
    </row>
    <row r="255" spans="2:2" x14ac:dyDescent="0.65">
      <c r="B255" s="32"/>
    </row>
    <row r="256" spans="2:2" x14ac:dyDescent="0.65">
      <c r="B256" s="32"/>
    </row>
    <row r="257" spans="2:2" x14ac:dyDescent="0.65">
      <c r="B257" s="32"/>
    </row>
    <row r="258" spans="2:2" x14ac:dyDescent="0.65">
      <c r="B258" s="32"/>
    </row>
    <row r="259" spans="2:2" x14ac:dyDescent="0.65">
      <c r="B259" s="32"/>
    </row>
    <row r="260" spans="2:2" x14ac:dyDescent="0.65">
      <c r="B260" s="32"/>
    </row>
    <row r="261" spans="2:2" x14ac:dyDescent="0.65">
      <c r="B261" s="32"/>
    </row>
    <row r="262" spans="2:2" x14ac:dyDescent="0.65">
      <c r="B262" s="32"/>
    </row>
    <row r="263" spans="2:2" x14ac:dyDescent="0.65">
      <c r="B263" s="32"/>
    </row>
    <row r="264" spans="2:2" x14ac:dyDescent="0.65">
      <c r="B264" s="32"/>
    </row>
    <row r="265" spans="2:2" x14ac:dyDescent="0.65">
      <c r="B265" s="32"/>
    </row>
    <row r="266" spans="2:2" x14ac:dyDescent="0.65">
      <c r="B266" s="32"/>
    </row>
    <row r="267" spans="2:2" x14ac:dyDescent="0.65">
      <c r="B267" s="32"/>
    </row>
    <row r="268" spans="2:2" x14ac:dyDescent="0.65">
      <c r="B268" s="32"/>
    </row>
    <row r="269" spans="2:2" x14ac:dyDescent="0.65">
      <c r="B269" s="32"/>
    </row>
    <row r="270" spans="2:2" x14ac:dyDescent="0.65">
      <c r="B270" s="32"/>
    </row>
    <row r="271" spans="2:2" x14ac:dyDescent="0.65">
      <c r="B271" s="32"/>
    </row>
    <row r="272" spans="2:2" x14ac:dyDescent="0.65">
      <c r="B272" s="32"/>
    </row>
    <row r="273" spans="2:2" x14ac:dyDescent="0.65">
      <c r="B273" s="32"/>
    </row>
    <row r="274" spans="2:2" x14ac:dyDescent="0.65">
      <c r="B274" s="32"/>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BD45F-4FE9-4579-9909-3C8323EFA84F}">
  <dimension ref="B2:B275"/>
  <sheetViews>
    <sheetView showGridLines="0" zoomScaleNormal="100" workbookViewId="0">
      <selection activeCell="B8" sqref="B8"/>
    </sheetView>
  </sheetViews>
  <sheetFormatPr defaultColWidth="9.1171875" defaultRowHeight="16.350000000000001" x14ac:dyDescent="0.65"/>
  <cols>
    <col min="1" max="1" width="4.1171875" style="31" customWidth="1"/>
    <col min="2" max="2" width="107.46875" style="2" customWidth="1"/>
    <col min="3" max="3" width="5.3515625" style="31" customWidth="1"/>
    <col min="4" max="16384" width="9.1171875" style="31"/>
  </cols>
  <sheetData>
    <row r="2" spans="2:2" x14ac:dyDescent="0.65">
      <c r="B2" s="2" t="s">
        <v>44</v>
      </c>
    </row>
    <row r="4" spans="2:2" ht="81.7" x14ac:dyDescent="0.65">
      <c r="B4" s="32" t="s">
        <v>41</v>
      </c>
    </row>
    <row r="5" spans="2:2" x14ac:dyDescent="0.65">
      <c r="B5" s="32"/>
    </row>
    <row r="6" spans="2:2" x14ac:dyDescent="0.65">
      <c r="B6" s="32" t="s">
        <v>49</v>
      </c>
    </row>
    <row r="7" spans="2:2" ht="40.5" customHeight="1" x14ac:dyDescent="0.65">
      <c r="B7" s="32"/>
    </row>
    <row r="8" spans="2:2" ht="326.7" x14ac:dyDescent="0.65">
      <c r="B8" s="32" t="s">
        <v>50</v>
      </c>
    </row>
    <row r="9" spans="2:2" ht="38.25" customHeight="1" x14ac:dyDescent="0.65">
      <c r="B9" s="32"/>
    </row>
    <row r="10" spans="2:2" ht="32.700000000000003" x14ac:dyDescent="0.65">
      <c r="B10" s="32" t="s">
        <v>42</v>
      </c>
    </row>
    <row r="11" spans="2:2" x14ac:dyDescent="0.65">
      <c r="B11" s="32"/>
    </row>
    <row r="12" spans="2:2" x14ac:dyDescent="0.65">
      <c r="B12" s="32"/>
    </row>
    <row r="13" spans="2:2" x14ac:dyDescent="0.65">
      <c r="B13" s="32"/>
    </row>
    <row r="14" spans="2:2" x14ac:dyDescent="0.65">
      <c r="B14" s="32"/>
    </row>
    <row r="15" spans="2:2" x14ac:dyDescent="0.65">
      <c r="B15" s="32"/>
    </row>
    <row r="16" spans="2:2" x14ac:dyDescent="0.65">
      <c r="B16" s="32"/>
    </row>
    <row r="17" spans="2:2" x14ac:dyDescent="0.65">
      <c r="B17" s="32"/>
    </row>
    <row r="18" spans="2:2" x14ac:dyDescent="0.65">
      <c r="B18" s="32"/>
    </row>
    <row r="19" spans="2:2" x14ac:dyDescent="0.65">
      <c r="B19" s="32"/>
    </row>
    <row r="20" spans="2:2" x14ac:dyDescent="0.65">
      <c r="B20" s="32"/>
    </row>
    <row r="21" spans="2:2" x14ac:dyDescent="0.65">
      <c r="B21" s="32"/>
    </row>
    <row r="22" spans="2:2" x14ac:dyDescent="0.65">
      <c r="B22" s="32"/>
    </row>
    <row r="23" spans="2:2" x14ac:dyDescent="0.65">
      <c r="B23" s="32"/>
    </row>
    <row r="24" spans="2:2" x14ac:dyDescent="0.65">
      <c r="B24" s="32"/>
    </row>
    <row r="25" spans="2:2" x14ac:dyDescent="0.65">
      <c r="B25" s="32"/>
    </row>
    <row r="26" spans="2:2" x14ac:dyDescent="0.65">
      <c r="B26" s="32"/>
    </row>
    <row r="27" spans="2:2" x14ac:dyDescent="0.65">
      <c r="B27" s="32"/>
    </row>
    <row r="28" spans="2:2" x14ac:dyDescent="0.65">
      <c r="B28" s="32"/>
    </row>
    <row r="29" spans="2:2" x14ac:dyDescent="0.65">
      <c r="B29" s="32"/>
    </row>
    <row r="30" spans="2:2" x14ac:dyDescent="0.65">
      <c r="B30" s="32"/>
    </row>
    <row r="31" spans="2:2" x14ac:dyDescent="0.65">
      <c r="B31" s="32"/>
    </row>
    <row r="32" spans="2:2" x14ac:dyDescent="0.65">
      <c r="B32" s="32"/>
    </row>
    <row r="33" spans="2:2" x14ac:dyDescent="0.65">
      <c r="B33" s="32"/>
    </row>
    <row r="34" spans="2:2" x14ac:dyDescent="0.65">
      <c r="B34" s="32"/>
    </row>
    <row r="35" spans="2:2" x14ac:dyDescent="0.65">
      <c r="B35" s="32"/>
    </row>
    <row r="36" spans="2:2" x14ac:dyDescent="0.65">
      <c r="B36" s="32"/>
    </row>
    <row r="37" spans="2:2" x14ac:dyDescent="0.65">
      <c r="B37" s="32"/>
    </row>
    <row r="38" spans="2:2" x14ac:dyDescent="0.65">
      <c r="B38" s="32"/>
    </row>
    <row r="39" spans="2:2" x14ac:dyDescent="0.65">
      <c r="B39" s="32"/>
    </row>
    <row r="40" spans="2:2" x14ac:dyDescent="0.65">
      <c r="B40" s="32"/>
    </row>
    <row r="41" spans="2:2" x14ac:dyDescent="0.65">
      <c r="B41" s="32"/>
    </row>
    <row r="42" spans="2:2" x14ac:dyDescent="0.65">
      <c r="B42" s="32"/>
    </row>
    <row r="43" spans="2:2" x14ac:dyDescent="0.65">
      <c r="B43" s="32"/>
    </row>
    <row r="44" spans="2:2" x14ac:dyDescent="0.65">
      <c r="B44" s="32"/>
    </row>
    <row r="45" spans="2:2" x14ac:dyDescent="0.65">
      <c r="B45" s="32"/>
    </row>
    <row r="46" spans="2:2" x14ac:dyDescent="0.65">
      <c r="B46" s="32"/>
    </row>
    <row r="47" spans="2:2" x14ac:dyDescent="0.65">
      <c r="B47" s="32"/>
    </row>
    <row r="48" spans="2:2" x14ac:dyDescent="0.65">
      <c r="B48" s="32"/>
    </row>
    <row r="49" spans="2:2" x14ac:dyDescent="0.65">
      <c r="B49" s="32"/>
    </row>
    <row r="50" spans="2:2" x14ac:dyDescent="0.65">
      <c r="B50" s="32"/>
    </row>
    <row r="51" spans="2:2" x14ac:dyDescent="0.65">
      <c r="B51" s="32"/>
    </row>
    <row r="52" spans="2:2" x14ac:dyDescent="0.65">
      <c r="B52" s="32"/>
    </row>
    <row r="53" spans="2:2" x14ac:dyDescent="0.65">
      <c r="B53" s="32"/>
    </row>
    <row r="54" spans="2:2" x14ac:dyDescent="0.65">
      <c r="B54" s="32"/>
    </row>
    <row r="55" spans="2:2" x14ac:dyDescent="0.65">
      <c r="B55" s="32"/>
    </row>
    <row r="56" spans="2:2" x14ac:dyDescent="0.65">
      <c r="B56" s="32"/>
    </row>
    <row r="57" spans="2:2" x14ac:dyDescent="0.65">
      <c r="B57" s="32"/>
    </row>
    <row r="58" spans="2:2" x14ac:dyDescent="0.65">
      <c r="B58" s="32"/>
    </row>
    <row r="59" spans="2:2" x14ac:dyDescent="0.65">
      <c r="B59" s="32"/>
    </row>
    <row r="60" spans="2:2" x14ac:dyDescent="0.65">
      <c r="B60" s="32"/>
    </row>
    <row r="61" spans="2:2" x14ac:dyDescent="0.65">
      <c r="B61" s="32"/>
    </row>
    <row r="62" spans="2:2" x14ac:dyDescent="0.65">
      <c r="B62" s="32"/>
    </row>
    <row r="63" spans="2:2" x14ac:dyDescent="0.65">
      <c r="B63" s="32"/>
    </row>
    <row r="64" spans="2:2" x14ac:dyDescent="0.65">
      <c r="B64" s="32"/>
    </row>
    <row r="65" spans="2:2" x14ac:dyDescent="0.65">
      <c r="B65" s="32"/>
    </row>
    <row r="66" spans="2:2" x14ac:dyDescent="0.65">
      <c r="B66" s="32"/>
    </row>
    <row r="67" spans="2:2" x14ac:dyDescent="0.65">
      <c r="B67" s="32"/>
    </row>
    <row r="68" spans="2:2" x14ac:dyDescent="0.65">
      <c r="B68" s="32"/>
    </row>
    <row r="69" spans="2:2" x14ac:dyDescent="0.65">
      <c r="B69" s="32"/>
    </row>
    <row r="70" spans="2:2" x14ac:dyDescent="0.65">
      <c r="B70" s="32"/>
    </row>
    <row r="71" spans="2:2" x14ac:dyDescent="0.65">
      <c r="B71" s="32"/>
    </row>
    <row r="72" spans="2:2" x14ac:dyDescent="0.65">
      <c r="B72" s="32"/>
    </row>
    <row r="73" spans="2:2" x14ac:dyDescent="0.65">
      <c r="B73" s="32"/>
    </row>
    <row r="74" spans="2:2" x14ac:dyDescent="0.65">
      <c r="B74" s="32"/>
    </row>
    <row r="75" spans="2:2" x14ac:dyDescent="0.65">
      <c r="B75" s="32"/>
    </row>
    <row r="76" spans="2:2" x14ac:dyDescent="0.65">
      <c r="B76" s="32"/>
    </row>
    <row r="77" spans="2:2" x14ac:dyDescent="0.65">
      <c r="B77" s="32"/>
    </row>
    <row r="78" spans="2:2" x14ac:dyDescent="0.65">
      <c r="B78" s="32"/>
    </row>
    <row r="79" spans="2:2" x14ac:dyDescent="0.65">
      <c r="B79" s="32"/>
    </row>
    <row r="80" spans="2:2" x14ac:dyDescent="0.65">
      <c r="B80" s="32"/>
    </row>
    <row r="81" spans="2:2" x14ac:dyDescent="0.65">
      <c r="B81" s="32"/>
    </row>
    <row r="82" spans="2:2" x14ac:dyDescent="0.65">
      <c r="B82" s="32"/>
    </row>
    <row r="83" spans="2:2" x14ac:dyDescent="0.65">
      <c r="B83" s="32"/>
    </row>
    <row r="84" spans="2:2" x14ac:dyDescent="0.65">
      <c r="B84" s="32"/>
    </row>
    <row r="85" spans="2:2" x14ac:dyDescent="0.65">
      <c r="B85" s="32"/>
    </row>
    <row r="86" spans="2:2" x14ac:dyDescent="0.65">
      <c r="B86" s="32"/>
    </row>
    <row r="87" spans="2:2" x14ac:dyDescent="0.65">
      <c r="B87" s="32"/>
    </row>
    <row r="88" spans="2:2" x14ac:dyDescent="0.65">
      <c r="B88" s="32"/>
    </row>
    <row r="89" spans="2:2" x14ac:dyDescent="0.65">
      <c r="B89" s="32"/>
    </row>
    <row r="90" spans="2:2" x14ac:dyDescent="0.65">
      <c r="B90" s="32"/>
    </row>
    <row r="91" spans="2:2" x14ac:dyDescent="0.65">
      <c r="B91" s="32"/>
    </row>
    <row r="92" spans="2:2" x14ac:dyDescent="0.65">
      <c r="B92" s="32"/>
    </row>
    <row r="93" spans="2:2" x14ac:dyDescent="0.65">
      <c r="B93" s="32"/>
    </row>
    <row r="94" spans="2:2" x14ac:dyDescent="0.65">
      <c r="B94" s="32"/>
    </row>
    <row r="95" spans="2:2" x14ac:dyDescent="0.65">
      <c r="B95" s="32"/>
    </row>
    <row r="96" spans="2:2" x14ac:dyDescent="0.65">
      <c r="B96" s="32"/>
    </row>
    <row r="97" spans="2:2" x14ac:dyDescent="0.65">
      <c r="B97" s="32"/>
    </row>
    <row r="98" spans="2:2" x14ac:dyDescent="0.65">
      <c r="B98" s="32"/>
    </row>
    <row r="99" spans="2:2" x14ac:dyDescent="0.65">
      <c r="B99" s="32"/>
    </row>
    <row r="100" spans="2:2" x14ac:dyDescent="0.65">
      <c r="B100" s="32"/>
    </row>
    <row r="101" spans="2:2" x14ac:dyDescent="0.65">
      <c r="B101" s="32"/>
    </row>
    <row r="102" spans="2:2" x14ac:dyDescent="0.65">
      <c r="B102" s="32"/>
    </row>
    <row r="103" spans="2:2" x14ac:dyDescent="0.65">
      <c r="B103" s="32"/>
    </row>
    <row r="104" spans="2:2" x14ac:dyDescent="0.65">
      <c r="B104" s="32"/>
    </row>
    <row r="105" spans="2:2" x14ac:dyDescent="0.65">
      <c r="B105" s="32"/>
    </row>
    <row r="106" spans="2:2" x14ac:dyDescent="0.65">
      <c r="B106" s="32"/>
    </row>
    <row r="107" spans="2:2" x14ac:dyDescent="0.65">
      <c r="B107" s="32"/>
    </row>
    <row r="108" spans="2:2" x14ac:dyDescent="0.65">
      <c r="B108" s="32"/>
    </row>
    <row r="109" spans="2:2" x14ac:dyDescent="0.65">
      <c r="B109" s="32"/>
    </row>
    <row r="110" spans="2:2" x14ac:dyDescent="0.65">
      <c r="B110" s="32"/>
    </row>
    <row r="111" spans="2:2" x14ac:dyDescent="0.65">
      <c r="B111" s="32"/>
    </row>
    <row r="112" spans="2:2" x14ac:dyDescent="0.65">
      <c r="B112" s="32"/>
    </row>
    <row r="113" spans="2:2" x14ac:dyDescent="0.65">
      <c r="B113" s="32"/>
    </row>
    <row r="114" spans="2:2" x14ac:dyDescent="0.65">
      <c r="B114" s="32"/>
    </row>
    <row r="115" spans="2:2" x14ac:dyDescent="0.65">
      <c r="B115" s="32"/>
    </row>
    <row r="116" spans="2:2" x14ac:dyDescent="0.65">
      <c r="B116" s="32"/>
    </row>
    <row r="117" spans="2:2" x14ac:dyDescent="0.65">
      <c r="B117" s="32"/>
    </row>
    <row r="118" spans="2:2" x14ac:dyDescent="0.65">
      <c r="B118" s="32"/>
    </row>
    <row r="119" spans="2:2" x14ac:dyDescent="0.65">
      <c r="B119" s="32"/>
    </row>
    <row r="120" spans="2:2" x14ac:dyDescent="0.65">
      <c r="B120" s="32"/>
    </row>
    <row r="121" spans="2:2" x14ac:dyDescent="0.65">
      <c r="B121" s="32"/>
    </row>
    <row r="122" spans="2:2" x14ac:dyDescent="0.65">
      <c r="B122" s="32"/>
    </row>
    <row r="123" spans="2:2" x14ac:dyDescent="0.65">
      <c r="B123" s="32"/>
    </row>
    <row r="124" spans="2:2" x14ac:dyDescent="0.65">
      <c r="B124" s="32"/>
    </row>
    <row r="125" spans="2:2" x14ac:dyDescent="0.65">
      <c r="B125" s="32"/>
    </row>
    <row r="126" spans="2:2" x14ac:dyDescent="0.65">
      <c r="B126" s="32"/>
    </row>
    <row r="127" spans="2:2" x14ac:dyDescent="0.65">
      <c r="B127" s="32"/>
    </row>
    <row r="128" spans="2:2" x14ac:dyDescent="0.65">
      <c r="B128" s="32"/>
    </row>
    <row r="129" spans="2:2" x14ac:dyDescent="0.65">
      <c r="B129" s="32"/>
    </row>
    <row r="130" spans="2:2" x14ac:dyDescent="0.65">
      <c r="B130" s="32"/>
    </row>
    <row r="131" spans="2:2" x14ac:dyDescent="0.65">
      <c r="B131" s="32"/>
    </row>
    <row r="132" spans="2:2" x14ac:dyDescent="0.65">
      <c r="B132" s="32"/>
    </row>
    <row r="133" spans="2:2" x14ac:dyDescent="0.65">
      <c r="B133" s="32"/>
    </row>
    <row r="134" spans="2:2" x14ac:dyDescent="0.65">
      <c r="B134" s="32"/>
    </row>
    <row r="135" spans="2:2" x14ac:dyDescent="0.65">
      <c r="B135" s="32"/>
    </row>
    <row r="136" spans="2:2" x14ac:dyDescent="0.65">
      <c r="B136" s="32"/>
    </row>
    <row r="137" spans="2:2" x14ac:dyDescent="0.65">
      <c r="B137" s="32"/>
    </row>
    <row r="138" spans="2:2" x14ac:dyDescent="0.65">
      <c r="B138" s="32"/>
    </row>
    <row r="139" spans="2:2" x14ac:dyDescent="0.65">
      <c r="B139" s="32"/>
    </row>
    <row r="140" spans="2:2" x14ac:dyDescent="0.65">
      <c r="B140" s="32"/>
    </row>
    <row r="141" spans="2:2" x14ac:dyDescent="0.65">
      <c r="B141" s="32"/>
    </row>
    <row r="142" spans="2:2" x14ac:dyDescent="0.65">
      <c r="B142" s="32"/>
    </row>
    <row r="143" spans="2:2" x14ac:dyDescent="0.65">
      <c r="B143" s="32"/>
    </row>
    <row r="144" spans="2:2" x14ac:dyDescent="0.65">
      <c r="B144" s="32"/>
    </row>
    <row r="145" spans="2:2" x14ac:dyDescent="0.65">
      <c r="B145" s="32"/>
    </row>
    <row r="146" spans="2:2" x14ac:dyDescent="0.65">
      <c r="B146" s="32"/>
    </row>
    <row r="147" spans="2:2" x14ac:dyDescent="0.65">
      <c r="B147" s="32"/>
    </row>
    <row r="148" spans="2:2" x14ac:dyDescent="0.65">
      <c r="B148" s="32"/>
    </row>
    <row r="149" spans="2:2" x14ac:dyDescent="0.65">
      <c r="B149" s="32"/>
    </row>
    <row r="150" spans="2:2" x14ac:dyDescent="0.65">
      <c r="B150" s="32"/>
    </row>
    <row r="151" spans="2:2" x14ac:dyDescent="0.65">
      <c r="B151" s="32"/>
    </row>
    <row r="152" spans="2:2" x14ac:dyDescent="0.65">
      <c r="B152" s="32"/>
    </row>
    <row r="153" spans="2:2" x14ac:dyDescent="0.65">
      <c r="B153" s="32"/>
    </row>
    <row r="154" spans="2:2" x14ac:dyDescent="0.65">
      <c r="B154" s="32"/>
    </row>
    <row r="155" spans="2:2" x14ac:dyDescent="0.65">
      <c r="B155" s="32"/>
    </row>
    <row r="156" spans="2:2" x14ac:dyDescent="0.65">
      <c r="B156" s="32"/>
    </row>
    <row r="157" spans="2:2" x14ac:dyDescent="0.65">
      <c r="B157" s="32"/>
    </row>
    <row r="158" spans="2:2" x14ac:dyDescent="0.65">
      <c r="B158" s="32"/>
    </row>
    <row r="159" spans="2:2" x14ac:dyDescent="0.65">
      <c r="B159" s="32"/>
    </row>
    <row r="160" spans="2:2" x14ac:dyDescent="0.65">
      <c r="B160" s="32"/>
    </row>
    <row r="161" spans="2:2" x14ac:dyDescent="0.65">
      <c r="B161" s="32"/>
    </row>
    <row r="162" spans="2:2" x14ac:dyDescent="0.65">
      <c r="B162" s="32"/>
    </row>
    <row r="163" spans="2:2" x14ac:dyDescent="0.65">
      <c r="B163" s="32"/>
    </row>
    <row r="164" spans="2:2" x14ac:dyDescent="0.65">
      <c r="B164" s="32"/>
    </row>
    <row r="165" spans="2:2" x14ac:dyDescent="0.65">
      <c r="B165" s="32"/>
    </row>
    <row r="166" spans="2:2" x14ac:dyDescent="0.65">
      <c r="B166" s="32"/>
    </row>
    <row r="167" spans="2:2" x14ac:dyDescent="0.65">
      <c r="B167" s="32"/>
    </row>
    <row r="168" spans="2:2" x14ac:dyDescent="0.65">
      <c r="B168" s="32"/>
    </row>
    <row r="169" spans="2:2" x14ac:dyDescent="0.65">
      <c r="B169" s="32"/>
    </row>
    <row r="170" spans="2:2" x14ac:dyDescent="0.65">
      <c r="B170" s="32"/>
    </row>
    <row r="171" spans="2:2" x14ac:dyDescent="0.65">
      <c r="B171" s="32"/>
    </row>
    <row r="172" spans="2:2" x14ac:dyDescent="0.65">
      <c r="B172" s="32"/>
    </row>
    <row r="173" spans="2:2" x14ac:dyDescent="0.65">
      <c r="B173" s="32"/>
    </row>
    <row r="174" spans="2:2" x14ac:dyDescent="0.65">
      <c r="B174" s="32"/>
    </row>
    <row r="175" spans="2:2" x14ac:dyDescent="0.65">
      <c r="B175" s="32"/>
    </row>
    <row r="176" spans="2:2" x14ac:dyDescent="0.65">
      <c r="B176" s="32"/>
    </row>
    <row r="177" spans="2:2" x14ac:dyDescent="0.65">
      <c r="B177" s="32"/>
    </row>
    <row r="178" spans="2:2" x14ac:dyDescent="0.65">
      <c r="B178" s="32"/>
    </row>
    <row r="179" spans="2:2" x14ac:dyDescent="0.65">
      <c r="B179" s="32"/>
    </row>
    <row r="180" spans="2:2" x14ac:dyDescent="0.65">
      <c r="B180" s="32"/>
    </row>
    <row r="181" spans="2:2" x14ac:dyDescent="0.65">
      <c r="B181" s="32"/>
    </row>
    <row r="182" spans="2:2" x14ac:dyDescent="0.65">
      <c r="B182" s="32"/>
    </row>
    <row r="183" spans="2:2" x14ac:dyDescent="0.65">
      <c r="B183" s="32"/>
    </row>
    <row r="184" spans="2:2" x14ac:dyDescent="0.65">
      <c r="B184" s="32"/>
    </row>
    <row r="185" spans="2:2" x14ac:dyDescent="0.65">
      <c r="B185" s="32"/>
    </row>
    <row r="186" spans="2:2" x14ac:dyDescent="0.65">
      <c r="B186" s="32"/>
    </row>
    <row r="187" spans="2:2" x14ac:dyDescent="0.65">
      <c r="B187" s="32"/>
    </row>
    <row r="188" spans="2:2" x14ac:dyDescent="0.65">
      <c r="B188" s="32"/>
    </row>
    <row r="189" spans="2:2" x14ac:dyDescent="0.65">
      <c r="B189" s="32"/>
    </row>
    <row r="190" spans="2:2" x14ac:dyDescent="0.65">
      <c r="B190" s="32"/>
    </row>
    <row r="191" spans="2:2" x14ac:dyDescent="0.65">
      <c r="B191" s="32"/>
    </row>
    <row r="192" spans="2:2" x14ac:dyDescent="0.65">
      <c r="B192" s="32"/>
    </row>
    <row r="193" spans="2:2" x14ac:dyDescent="0.65">
      <c r="B193" s="32"/>
    </row>
    <row r="194" spans="2:2" x14ac:dyDescent="0.65">
      <c r="B194" s="32"/>
    </row>
    <row r="195" spans="2:2" x14ac:dyDescent="0.65">
      <c r="B195" s="32"/>
    </row>
    <row r="196" spans="2:2" x14ac:dyDescent="0.65">
      <c r="B196" s="32"/>
    </row>
    <row r="197" spans="2:2" x14ac:dyDescent="0.65">
      <c r="B197" s="32"/>
    </row>
    <row r="198" spans="2:2" x14ac:dyDescent="0.65">
      <c r="B198" s="32"/>
    </row>
    <row r="199" spans="2:2" x14ac:dyDescent="0.65">
      <c r="B199" s="32"/>
    </row>
    <row r="200" spans="2:2" x14ac:dyDescent="0.65">
      <c r="B200" s="32"/>
    </row>
    <row r="201" spans="2:2" x14ac:dyDescent="0.65">
      <c r="B201" s="32"/>
    </row>
    <row r="202" spans="2:2" x14ac:dyDescent="0.65">
      <c r="B202" s="32"/>
    </row>
    <row r="203" spans="2:2" x14ac:dyDescent="0.65">
      <c r="B203" s="32"/>
    </row>
    <row r="204" spans="2:2" x14ac:dyDescent="0.65">
      <c r="B204" s="32"/>
    </row>
    <row r="205" spans="2:2" x14ac:dyDescent="0.65">
      <c r="B205" s="32"/>
    </row>
    <row r="206" spans="2:2" x14ac:dyDescent="0.65">
      <c r="B206" s="32"/>
    </row>
    <row r="207" spans="2:2" x14ac:dyDescent="0.65">
      <c r="B207" s="32"/>
    </row>
    <row r="208" spans="2:2" x14ac:dyDescent="0.65">
      <c r="B208" s="32"/>
    </row>
    <row r="209" spans="2:2" x14ac:dyDescent="0.65">
      <c r="B209" s="32"/>
    </row>
    <row r="210" spans="2:2" x14ac:dyDescent="0.65">
      <c r="B210" s="32"/>
    </row>
    <row r="211" spans="2:2" x14ac:dyDescent="0.65">
      <c r="B211" s="32"/>
    </row>
    <row r="212" spans="2:2" x14ac:dyDescent="0.65">
      <c r="B212" s="32"/>
    </row>
    <row r="213" spans="2:2" x14ac:dyDescent="0.65">
      <c r="B213" s="32"/>
    </row>
    <row r="214" spans="2:2" x14ac:dyDescent="0.65">
      <c r="B214" s="32"/>
    </row>
    <row r="215" spans="2:2" x14ac:dyDescent="0.65">
      <c r="B215" s="32"/>
    </row>
    <row r="216" spans="2:2" x14ac:dyDescent="0.65">
      <c r="B216" s="32"/>
    </row>
    <row r="217" spans="2:2" x14ac:dyDescent="0.65">
      <c r="B217" s="32"/>
    </row>
    <row r="218" spans="2:2" x14ac:dyDescent="0.65">
      <c r="B218" s="32"/>
    </row>
    <row r="219" spans="2:2" x14ac:dyDescent="0.65">
      <c r="B219" s="32"/>
    </row>
    <row r="220" spans="2:2" x14ac:dyDescent="0.65">
      <c r="B220" s="32"/>
    </row>
    <row r="221" spans="2:2" x14ac:dyDescent="0.65">
      <c r="B221" s="32"/>
    </row>
    <row r="222" spans="2:2" x14ac:dyDescent="0.65">
      <c r="B222" s="32"/>
    </row>
    <row r="223" spans="2:2" x14ac:dyDescent="0.65">
      <c r="B223" s="32"/>
    </row>
    <row r="224" spans="2:2" x14ac:dyDescent="0.65">
      <c r="B224" s="32"/>
    </row>
    <row r="225" spans="2:2" x14ac:dyDescent="0.65">
      <c r="B225" s="32"/>
    </row>
    <row r="226" spans="2:2" x14ac:dyDescent="0.65">
      <c r="B226" s="32"/>
    </row>
    <row r="227" spans="2:2" x14ac:dyDescent="0.65">
      <c r="B227" s="32"/>
    </row>
    <row r="228" spans="2:2" x14ac:dyDescent="0.65">
      <c r="B228" s="32"/>
    </row>
    <row r="229" spans="2:2" x14ac:dyDescent="0.65">
      <c r="B229" s="32"/>
    </row>
    <row r="230" spans="2:2" x14ac:dyDescent="0.65">
      <c r="B230" s="32"/>
    </row>
    <row r="231" spans="2:2" x14ac:dyDescent="0.65">
      <c r="B231" s="32"/>
    </row>
    <row r="232" spans="2:2" x14ac:dyDescent="0.65">
      <c r="B232" s="32"/>
    </row>
    <row r="233" spans="2:2" x14ac:dyDescent="0.65">
      <c r="B233" s="32"/>
    </row>
    <row r="234" spans="2:2" x14ac:dyDescent="0.65">
      <c r="B234" s="32"/>
    </row>
    <row r="235" spans="2:2" x14ac:dyDescent="0.65">
      <c r="B235" s="32"/>
    </row>
    <row r="236" spans="2:2" x14ac:dyDescent="0.65">
      <c r="B236" s="32"/>
    </row>
    <row r="237" spans="2:2" x14ac:dyDescent="0.65">
      <c r="B237" s="32"/>
    </row>
    <row r="238" spans="2:2" x14ac:dyDescent="0.65">
      <c r="B238" s="32"/>
    </row>
    <row r="239" spans="2:2" x14ac:dyDescent="0.65">
      <c r="B239" s="32"/>
    </row>
    <row r="240" spans="2:2" x14ac:dyDescent="0.65">
      <c r="B240" s="32"/>
    </row>
    <row r="241" spans="2:2" x14ac:dyDescent="0.65">
      <c r="B241" s="32"/>
    </row>
    <row r="242" spans="2:2" x14ac:dyDescent="0.65">
      <c r="B242" s="32"/>
    </row>
    <row r="243" spans="2:2" x14ac:dyDescent="0.65">
      <c r="B243" s="32"/>
    </row>
    <row r="244" spans="2:2" x14ac:dyDescent="0.65">
      <c r="B244" s="32"/>
    </row>
    <row r="245" spans="2:2" x14ac:dyDescent="0.65">
      <c r="B245" s="32"/>
    </row>
    <row r="246" spans="2:2" x14ac:dyDescent="0.65">
      <c r="B246" s="32"/>
    </row>
    <row r="247" spans="2:2" x14ac:dyDescent="0.65">
      <c r="B247" s="32"/>
    </row>
    <row r="248" spans="2:2" x14ac:dyDescent="0.65">
      <c r="B248" s="32"/>
    </row>
    <row r="249" spans="2:2" x14ac:dyDescent="0.65">
      <c r="B249" s="32"/>
    </row>
    <row r="250" spans="2:2" x14ac:dyDescent="0.65">
      <c r="B250" s="32"/>
    </row>
    <row r="251" spans="2:2" x14ac:dyDescent="0.65">
      <c r="B251" s="32"/>
    </row>
    <row r="252" spans="2:2" x14ac:dyDescent="0.65">
      <c r="B252" s="32"/>
    </row>
    <row r="253" spans="2:2" x14ac:dyDescent="0.65">
      <c r="B253" s="32"/>
    </row>
    <row r="254" spans="2:2" x14ac:dyDescent="0.65">
      <c r="B254" s="32"/>
    </row>
    <row r="255" spans="2:2" x14ac:dyDescent="0.65">
      <c r="B255" s="32"/>
    </row>
    <row r="256" spans="2:2" x14ac:dyDescent="0.65">
      <c r="B256" s="32"/>
    </row>
    <row r="257" spans="2:2" x14ac:dyDescent="0.65">
      <c r="B257" s="32"/>
    </row>
    <row r="258" spans="2:2" x14ac:dyDescent="0.65">
      <c r="B258" s="32"/>
    </row>
    <row r="259" spans="2:2" x14ac:dyDescent="0.65">
      <c r="B259" s="32"/>
    </row>
    <row r="260" spans="2:2" x14ac:dyDescent="0.65">
      <c r="B260" s="32"/>
    </row>
    <row r="261" spans="2:2" x14ac:dyDescent="0.65">
      <c r="B261" s="32"/>
    </row>
    <row r="262" spans="2:2" x14ac:dyDescent="0.65">
      <c r="B262" s="32"/>
    </row>
    <row r="263" spans="2:2" x14ac:dyDescent="0.65">
      <c r="B263" s="32"/>
    </row>
    <row r="264" spans="2:2" x14ac:dyDescent="0.65">
      <c r="B264" s="32"/>
    </row>
    <row r="265" spans="2:2" x14ac:dyDescent="0.65">
      <c r="B265" s="32"/>
    </row>
    <row r="266" spans="2:2" x14ac:dyDescent="0.65">
      <c r="B266" s="32"/>
    </row>
    <row r="267" spans="2:2" x14ac:dyDescent="0.65">
      <c r="B267" s="32"/>
    </row>
    <row r="268" spans="2:2" x14ac:dyDescent="0.65">
      <c r="B268" s="32"/>
    </row>
    <row r="269" spans="2:2" x14ac:dyDescent="0.65">
      <c r="B269" s="32"/>
    </row>
    <row r="270" spans="2:2" x14ac:dyDescent="0.65">
      <c r="B270" s="32"/>
    </row>
    <row r="271" spans="2:2" x14ac:dyDescent="0.65">
      <c r="B271" s="32"/>
    </row>
    <row r="272" spans="2:2" x14ac:dyDescent="0.65">
      <c r="B272" s="32"/>
    </row>
    <row r="273" spans="2:2" x14ac:dyDescent="0.65">
      <c r="B273" s="32"/>
    </row>
    <row r="274" spans="2:2" x14ac:dyDescent="0.65">
      <c r="B274" s="32"/>
    </row>
    <row r="275" spans="2:2" x14ac:dyDescent="0.65">
      <c r="B275" s="32"/>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C5D59-0689-4C50-8389-33EC75A46DBF}">
  <dimension ref="B1:N43"/>
  <sheetViews>
    <sheetView showGridLines="0" topLeftCell="A5" zoomScale="115" zoomScaleNormal="115" workbookViewId="0">
      <selection activeCell="J9" sqref="J9"/>
    </sheetView>
  </sheetViews>
  <sheetFormatPr defaultColWidth="11.41015625" defaultRowHeight="15" x14ac:dyDescent="0.5"/>
  <cols>
    <col min="1" max="1" width="2.703125" style="9" customWidth="1"/>
    <col min="2" max="2" width="15.64453125" style="10" customWidth="1"/>
    <col min="3" max="3" width="18.703125" style="10" customWidth="1"/>
    <col min="4" max="4" width="14.05859375" style="10" customWidth="1"/>
    <col min="5" max="5" width="10.64453125" style="10" customWidth="1"/>
    <col min="6" max="7" width="10.64453125" style="9" customWidth="1"/>
    <col min="8" max="8" width="12.64453125" style="9" customWidth="1"/>
    <col min="9" max="14" width="10.64453125" style="9" customWidth="1"/>
    <col min="15" max="16384" width="11.41015625" style="9"/>
  </cols>
  <sheetData>
    <row r="1" spans="2:8" s="8" customFormat="1" x14ac:dyDescent="0.5">
      <c r="B1" s="6"/>
      <c r="C1" s="6"/>
      <c r="D1" s="7"/>
      <c r="E1" s="7"/>
    </row>
    <row r="2" spans="2:8" ht="15.75" customHeight="1" x14ac:dyDescent="0.5">
      <c r="B2" s="46" t="s">
        <v>91</v>
      </c>
      <c r="C2" s="46"/>
      <c r="D2" s="46"/>
      <c r="E2" s="46"/>
      <c r="F2" s="46"/>
      <c r="G2" s="46"/>
      <c r="H2" s="46"/>
    </row>
    <row r="3" spans="2:8" ht="30" x14ac:dyDescent="0.5">
      <c r="B3" s="16" t="s">
        <v>7</v>
      </c>
      <c r="C3" s="15" t="s">
        <v>6</v>
      </c>
      <c r="D3" s="15" t="s">
        <v>47</v>
      </c>
      <c r="E3" s="15" t="s">
        <v>21</v>
      </c>
      <c r="F3" s="15" t="s">
        <v>45</v>
      </c>
      <c r="G3" s="15" t="s">
        <v>15</v>
      </c>
      <c r="H3" s="17" t="s">
        <v>16</v>
      </c>
    </row>
    <row r="4" spans="2:8" x14ac:dyDescent="0.5">
      <c r="B4" s="18">
        <v>1</v>
      </c>
      <c r="C4" s="19" t="s">
        <v>5</v>
      </c>
      <c r="D4" s="19" t="s">
        <v>4</v>
      </c>
      <c r="E4" s="44">
        <v>60</v>
      </c>
      <c r="F4" s="44">
        <v>0.25</v>
      </c>
      <c r="G4" s="44">
        <v>0</v>
      </c>
      <c r="H4" s="20">
        <v>2</v>
      </c>
    </row>
    <row r="5" spans="2:8" x14ac:dyDescent="0.5">
      <c r="B5" s="18">
        <v>2</v>
      </c>
      <c r="C5" s="19" t="s">
        <v>3</v>
      </c>
      <c r="D5" s="19" t="s">
        <v>2</v>
      </c>
      <c r="E5" s="44">
        <v>300</v>
      </c>
      <c r="F5" s="44">
        <v>0.6</v>
      </c>
      <c r="G5" s="44">
        <v>0.1</v>
      </c>
      <c r="H5" s="20" t="s">
        <v>17</v>
      </c>
    </row>
    <row r="6" spans="2:8" x14ac:dyDescent="0.5">
      <c r="B6" s="21">
        <v>3</v>
      </c>
      <c r="C6" s="22" t="s">
        <v>1</v>
      </c>
      <c r="D6" s="22" t="s">
        <v>0</v>
      </c>
      <c r="E6" s="45">
        <v>300</v>
      </c>
      <c r="F6" s="45">
        <v>2</v>
      </c>
      <c r="G6" s="45">
        <v>0.2</v>
      </c>
      <c r="H6" s="23" t="s">
        <v>18</v>
      </c>
    </row>
    <row r="7" spans="2:8" ht="15.75" customHeight="1" x14ac:dyDescent="0.5">
      <c r="B7" s="46" t="s">
        <v>14</v>
      </c>
      <c r="C7" s="46"/>
      <c r="D7" s="46"/>
      <c r="E7" s="46"/>
      <c r="F7" s="46"/>
      <c r="G7" s="46"/>
      <c r="H7" s="46"/>
    </row>
    <row r="8" spans="2:8" x14ac:dyDescent="0.5">
      <c r="B8" s="46"/>
      <c r="C8" s="46"/>
      <c r="D8" s="46"/>
      <c r="E8" s="46"/>
      <c r="F8" s="46"/>
      <c r="G8" s="46"/>
      <c r="H8" s="46"/>
    </row>
    <row r="9" spans="2:8" x14ac:dyDescent="0.5">
      <c r="B9" s="13"/>
      <c r="C9" s="13"/>
      <c r="D9" s="13"/>
      <c r="E9" s="13"/>
      <c r="F9" s="13"/>
      <c r="G9" s="13"/>
      <c r="H9" s="13"/>
    </row>
    <row r="10" spans="2:8" x14ac:dyDescent="0.5">
      <c r="B10" s="9" t="s">
        <v>19</v>
      </c>
      <c r="C10" s="13"/>
      <c r="D10" s="13"/>
      <c r="E10" s="13"/>
      <c r="F10" s="13"/>
      <c r="G10" s="13"/>
      <c r="H10" s="13"/>
    </row>
    <row r="11" spans="2:8" x14ac:dyDescent="0.5">
      <c r="B11" s="28" t="s">
        <v>24</v>
      </c>
      <c r="C11" s="17" t="s">
        <v>25</v>
      </c>
      <c r="D11" s="13"/>
      <c r="E11" s="13"/>
      <c r="F11" s="13"/>
      <c r="G11" s="13"/>
      <c r="H11" s="13"/>
    </row>
    <row r="12" spans="2:8" x14ac:dyDescent="0.5">
      <c r="B12" s="24" t="s">
        <v>27</v>
      </c>
      <c r="C12" s="25">
        <v>1</v>
      </c>
      <c r="D12" s="13"/>
      <c r="E12" s="13"/>
      <c r="F12" s="13"/>
      <c r="G12" s="13"/>
      <c r="H12" s="13"/>
    </row>
    <row r="13" spans="2:8" x14ac:dyDescent="0.5">
      <c r="B13" s="24" t="s">
        <v>28</v>
      </c>
      <c r="C13" s="33">
        <f>C12*60</f>
        <v>60</v>
      </c>
      <c r="D13" s="13"/>
      <c r="E13" s="13"/>
      <c r="F13" s="13"/>
      <c r="G13" s="13"/>
      <c r="H13" s="13"/>
    </row>
    <row r="14" spans="2:8" x14ac:dyDescent="0.5">
      <c r="B14" s="26" t="s">
        <v>20</v>
      </c>
      <c r="C14" s="25">
        <v>9750.4755283144204</v>
      </c>
      <c r="D14" s="9"/>
      <c r="E14" s="13"/>
      <c r="F14" s="13"/>
      <c r="G14" s="13"/>
      <c r="H14" s="13"/>
    </row>
    <row r="15" spans="2:8" x14ac:dyDescent="0.5">
      <c r="B15" s="26" t="s">
        <v>26</v>
      </c>
      <c r="C15" s="25">
        <v>82.232498168945298</v>
      </c>
      <c r="D15" s="13"/>
      <c r="E15" s="13"/>
      <c r="F15" s="13"/>
      <c r="G15" s="13"/>
      <c r="H15" s="13"/>
    </row>
    <row r="16" spans="2:8" x14ac:dyDescent="0.5">
      <c r="B16" s="26" t="s">
        <v>45</v>
      </c>
      <c r="C16" s="20">
        <f>IF(C15&lt;$E$4,$F$4,IF(C15&lt;$E$5,$F$5,$F$6))</f>
        <v>0.6</v>
      </c>
      <c r="D16" s="13"/>
      <c r="E16" s="13"/>
      <c r="F16" s="13"/>
      <c r="G16" s="13"/>
      <c r="H16" s="13"/>
    </row>
    <row r="17" spans="2:14" x14ac:dyDescent="0.5">
      <c r="B17" s="24" t="s">
        <v>46</v>
      </c>
      <c r="C17" s="11">
        <f>IF(C15&lt;$E$4,(C14/$F$4)/3600,IF(C15&lt;$E$5,(C14/$F$5)/3600,(C14/$F$6)/3600))</f>
        <v>4.5141090408863063</v>
      </c>
      <c r="D17" s="14" t="s">
        <v>48</v>
      </c>
    </row>
    <row r="18" spans="2:14" x14ac:dyDescent="0.5">
      <c r="B18" s="24" t="s">
        <v>22</v>
      </c>
      <c r="C18" s="11">
        <f>IF(C15&lt;$E$4,$G$4,IF(C15&lt;$E$5,$G$5,$G$6))</f>
        <v>0.1</v>
      </c>
      <c r="D18" s="14" t="s">
        <v>48</v>
      </c>
    </row>
    <row r="19" spans="2:14" x14ac:dyDescent="0.5">
      <c r="B19" s="29" t="s">
        <v>23</v>
      </c>
      <c r="C19" s="30">
        <f>ROUND(IF(C15&lt;$E$4,$H$4,IF(C15&lt;$E$5,C14/(4*$F$5*C13),C14/($F$6*C13))),0)</f>
        <v>68</v>
      </c>
      <c r="D19" s="14"/>
    </row>
    <row r="20" spans="2:14" x14ac:dyDescent="0.5">
      <c r="B20" s="27" t="s">
        <v>43</v>
      </c>
      <c r="C20" s="12">
        <f>IF(C19&gt;99,99,IF(C19=0,1,C19))</f>
        <v>68</v>
      </c>
      <c r="D20" s="14" t="s">
        <v>48</v>
      </c>
    </row>
    <row r="22" spans="2:14" x14ac:dyDescent="0.5">
      <c r="B22" s="9" t="s">
        <v>83</v>
      </c>
    </row>
    <row r="23" spans="2:14" x14ac:dyDescent="0.5">
      <c r="B23" s="39" t="s">
        <v>82</v>
      </c>
      <c r="C23" s="40" t="s">
        <v>51</v>
      </c>
      <c r="D23" s="40" t="s">
        <v>52</v>
      </c>
      <c r="E23" s="40" t="s">
        <v>53</v>
      </c>
      <c r="F23" s="40" t="s">
        <v>54</v>
      </c>
      <c r="G23" s="40" t="s">
        <v>55</v>
      </c>
      <c r="H23" s="40" t="s">
        <v>56</v>
      </c>
      <c r="I23" s="40" t="s">
        <v>78</v>
      </c>
      <c r="J23" s="40" t="s">
        <v>77</v>
      </c>
      <c r="K23" s="40" t="s">
        <v>23</v>
      </c>
      <c r="L23" s="40" t="s">
        <v>79</v>
      </c>
      <c r="M23" s="40" t="s">
        <v>22</v>
      </c>
      <c r="N23" s="41" t="s">
        <v>80</v>
      </c>
    </row>
    <row r="24" spans="2:14" x14ac:dyDescent="0.5">
      <c r="B24" s="36" t="s">
        <v>81</v>
      </c>
      <c r="C24" s="35" t="s">
        <v>57</v>
      </c>
      <c r="D24" s="35">
        <v>1052.6874419186299</v>
      </c>
      <c r="E24" s="35">
        <v>3.9596557617188E-2</v>
      </c>
      <c r="F24" s="35">
        <v>1.09776265346198</v>
      </c>
      <c r="G24" s="42">
        <v>3.7614733529000002E-5</v>
      </c>
      <c r="H24" s="35" t="s">
        <v>58</v>
      </c>
      <c r="I24" s="35">
        <v>82.146202087402301</v>
      </c>
      <c r="J24" s="34">
        <f>IF(I24&lt;$E$4,$F$4,IF(I24&lt;$E$5,$F$5,$F$6))</f>
        <v>0.6</v>
      </c>
      <c r="K24" s="34">
        <f>ROUND(IF(I24&lt;$E$4,$H$4,IF(I24&lt;$E$5,D24/(4*$F$5*$C$13),D24/($F$6*$C$13))),0)</f>
        <v>7</v>
      </c>
      <c r="L24" s="34">
        <f t="shared" ref="L24:L42" si="0">IF(I24&lt;$E$4,(D24/$F$4)/3600,IF(I24&lt;$E$5,(D24/$F$5)/3600,(D24/$F$6)/3600))</f>
        <v>0.4873552971845509</v>
      </c>
      <c r="M24" s="34">
        <f t="shared" ref="M24:M42" si="1">IF(I24&lt;$E$4,$G$4,IF(I24&lt;$E$5,$G$5,$G$6))</f>
        <v>0.1</v>
      </c>
      <c r="N24" s="11">
        <f>IF(K24&gt;99,99,IF(K24=0,1,K24))</f>
        <v>7</v>
      </c>
    </row>
    <row r="25" spans="2:14" x14ac:dyDescent="0.5">
      <c r="B25" s="36" t="s">
        <v>81</v>
      </c>
      <c r="C25" s="35" t="s">
        <v>59</v>
      </c>
      <c r="D25" s="35">
        <v>2214.3688792489802</v>
      </c>
      <c r="E25" s="35">
        <v>5.0150680541992196</v>
      </c>
      <c r="F25" s="35">
        <v>1.15260976611237</v>
      </c>
      <c r="G25" s="35">
        <v>2.2647843822209998E-3</v>
      </c>
      <c r="H25" s="35" t="s">
        <v>58</v>
      </c>
      <c r="I25" s="35">
        <v>83.661056518554702</v>
      </c>
      <c r="J25" s="34">
        <f>IF(I25&lt;$E$4,$F$4,IF(I25&lt;$E$5,$F$5,$F$6))</f>
        <v>0.6</v>
      </c>
      <c r="K25" s="34">
        <f>ROUND(IF(I25&lt;$E$4,$H$4,IF(I25&lt;$E$5,D25/(4*$F$5*$C$13),D25/($F$6*$C$13))),0)</f>
        <v>15</v>
      </c>
      <c r="L25" s="34">
        <f t="shared" si="0"/>
        <v>1.0251707774300836</v>
      </c>
      <c r="M25" s="34">
        <f t="shared" si="1"/>
        <v>0.1</v>
      </c>
      <c r="N25" s="11">
        <f t="shared" ref="N25:N42" si="2">IF(K25&gt;99,99,IF(K25=0,1,K25))</f>
        <v>15</v>
      </c>
    </row>
    <row r="26" spans="2:14" x14ac:dyDescent="0.5">
      <c r="B26" s="36" t="s">
        <v>81</v>
      </c>
      <c r="C26" s="35" t="s">
        <v>60</v>
      </c>
      <c r="D26" s="35">
        <v>812.52503404213098</v>
      </c>
      <c r="E26" s="35">
        <v>4.2198181152343697</v>
      </c>
      <c r="F26" s="35">
        <v>1.09971027809434</v>
      </c>
      <c r="G26" s="35">
        <v>5.1934622792380002E-3</v>
      </c>
      <c r="H26" s="35" t="s">
        <v>58</v>
      </c>
      <c r="I26" s="35">
        <v>84.264968872070298</v>
      </c>
      <c r="J26" s="34">
        <f>IF(I26&lt;$E$4,$F$4,IF(I26&lt;$E$5,$F$5,$F$6))</f>
        <v>0.6</v>
      </c>
      <c r="K26" s="34">
        <f>ROUND(IF(I26&lt;$E$4,$H$4,IF(I26&lt;$E$5,D26/(4*$F$5*$C$13),D26/($F$6*$C$13))),0)</f>
        <v>6</v>
      </c>
      <c r="L26" s="34">
        <f t="shared" si="0"/>
        <v>0.37616899724172737</v>
      </c>
      <c r="M26" s="34">
        <f t="shared" si="1"/>
        <v>0.1</v>
      </c>
      <c r="N26" s="11">
        <f t="shared" si="2"/>
        <v>6</v>
      </c>
    </row>
    <row r="27" spans="2:14" x14ac:dyDescent="0.5">
      <c r="B27" s="36" t="s">
        <v>81</v>
      </c>
      <c r="C27" s="35" t="s">
        <v>61</v>
      </c>
      <c r="D27" s="35">
        <v>306.792701376602</v>
      </c>
      <c r="E27" s="35">
        <v>1.7322082519531199</v>
      </c>
      <c r="F27" s="35">
        <v>1</v>
      </c>
      <c r="G27" s="35">
        <v>5.6461846849050002E-3</v>
      </c>
      <c r="H27" s="35" t="s">
        <v>58</v>
      </c>
      <c r="I27" s="35">
        <v>81.087654113769503</v>
      </c>
      <c r="J27" s="34">
        <f>IF(I27&lt;$E$4,$F$4,IF(I27&lt;$E$5,$F$5,$F$6))</f>
        <v>0.6</v>
      </c>
      <c r="K27" s="34">
        <f>ROUND(IF(I27&lt;$E$4,$H$4,IF(I27&lt;$E$5,D27/(4*$F$5*$C$13),D27/($F$6*$C$13))),0)</f>
        <v>2</v>
      </c>
      <c r="L27" s="34">
        <f t="shared" si="0"/>
        <v>0.14203365804472315</v>
      </c>
      <c r="M27" s="34">
        <f t="shared" si="1"/>
        <v>0.1</v>
      </c>
      <c r="N27" s="11">
        <f t="shared" si="2"/>
        <v>2</v>
      </c>
    </row>
    <row r="28" spans="2:14" x14ac:dyDescent="0.5">
      <c r="B28" s="36" t="s">
        <v>81</v>
      </c>
      <c r="C28" s="35" t="s">
        <v>62</v>
      </c>
      <c r="D28" s="35">
        <v>3138.1446037980099</v>
      </c>
      <c r="E28" s="35">
        <v>10.493408203125</v>
      </c>
      <c r="F28" s="35">
        <v>1.1900200162855299</v>
      </c>
      <c r="G28" s="35">
        <v>3.343825581022E-3</v>
      </c>
      <c r="H28" s="35" t="s">
        <v>58</v>
      </c>
      <c r="I28" s="35">
        <v>83.017272949218807</v>
      </c>
      <c r="J28" s="34">
        <f>IF(I28&lt;$E$4,$F$4,IF(I28&lt;$E$5,$F$5,$F$6))</f>
        <v>0.6</v>
      </c>
      <c r="K28" s="34">
        <f>ROUND(IF(I28&lt;$E$4,$H$4,IF(I28&lt;$E$5,D28/(4*$F$5*$C$13),D28/($F$6*$C$13))),0)</f>
        <v>22</v>
      </c>
      <c r="L28" s="34">
        <f t="shared" si="0"/>
        <v>1.4528447239805602</v>
      </c>
      <c r="M28" s="34">
        <f t="shared" si="1"/>
        <v>0.1</v>
      </c>
      <c r="N28" s="11">
        <f t="shared" si="2"/>
        <v>22</v>
      </c>
    </row>
    <row r="29" spans="2:14" x14ac:dyDescent="0.5">
      <c r="B29" s="36" t="s">
        <v>81</v>
      </c>
      <c r="C29" s="35" t="s">
        <v>63</v>
      </c>
      <c r="D29" s="35">
        <v>1504.4308351914499</v>
      </c>
      <c r="E29" s="35">
        <v>1.16963958740234</v>
      </c>
      <c r="F29" s="35">
        <v>1.2120932311380499</v>
      </c>
      <c r="G29" s="35">
        <v>7.7746318411100004E-4</v>
      </c>
      <c r="H29" s="35" t="s">
        <v>58</v>
      </c>
      <c r="I29" s="35">
        <v>90.837333679199205</v>
      </c>
      <c r="J29" s="34">
        <f t="shared" ref="J29:J42" si="3">IF(I29&lt;$E$4,$F$4,IF(I29&lt;$E$5,$F$5,$F$6))</f>
        <v>0.6</v>
      </c>
      <c r="K29" s="34">
        <f t="shared" ref="K29:K42" si="4">ROUND(IF(I29&lt;$E$4,$H$4,IF(I29&lt;$E$5,D29/(4*$F$5*$C$13),D29/($F$6*$C$13))),0)</f>
        <v>10</v>
      </c>
      <c r="L29" s="34">
        <f t="shared" si="0"/>
        <v>0.69649575703307876</v>
      </c>
      <c r="M29" s="34">
        <f t="shared" si="1"/>
        <v>0.1</v>
      </c>
      <c r="N29" s="11">
        <f t="shared" si="2"/>
        <v>10</v>
      </c>
    </row>
    <row r="30" spans="2:14" x14ac:dyDescent="0.5">
      <c r="B30" s="36" t="s">
        <v>81</v>
      </c>
      <c r="C30" s="35" t="s">
        <v>64</v>
      </c>
      <c r="D30" s="35">
        <v>480.31346950722002</v>
      </c>
      <c r="E30" s="35">
        <v>7.86087799072265</v>
      </c>
      <c r="F30" s="35">
        <v>1.16696962122673</v>
      </c>
      <c r="G30" s="35">
        <v>1.6366141051151001E-2</v>
      </c>
      <c r="H30" s="35" t="s">
        <v>58</v>
      </c>
      <c r="I30" s="35">
        <v>98.604133605957003</v>
      </c>
      <c r="J30" s="34">
        <f t="shared" si="3"/>
        <v>0.6</v>
      </c>
      <c r="K30" s="34">
        <f t="shared" si="4"/>
        <v>3</v>
      </c>
      <c r="L30" s="34">
        <f t="shared" si="0"/>
        <v>0.22236734699408336</v>
      </c>
      <c r="M30" s="34">
        <f t="shared" si="1"/>
        <v>0.1</v>
      </c>
      <c r="N30" s="11">
        <f t="shared" si="2"/>
        <v>3</v>
      </c>
    </row>
    <row r="31" spans="2:14" x14ac:dyDescent="0.5">
      <c r="B31" s="36" t="s">
        <v>81</v>
      </c>
      <c r="C31" s="35" t="s">
        <v>65</v>
      </c>
      <c r="D31" s="35">
        <v>2007.8383952873301</v>
      </c>
      <c r="E31" s="35">
        <v>3.1578063964844E-2</v>
      </c>
      <c r="F31" s="35">
        <v>1.0778579614880499</v>
      </c>
      <c r="G31" s="42">
        <v>1.5727393220000002E-5</v>
      </c>
      <c r="H31" s="35" t="s">
        <v>58</v>
      </c>
      <c r="I31" s="35">
        <v>98.528877258300795</v>
      </c>
      <c r="J31" s="34">
        <f t="shared" si="3"/>
        <v>0.6</v>
      </c>
      <c r="K31" s="34">
        <f t="shared" si="4"/>
        <v>14</v>
      </c>
      <c r="L31" s="34">
        <f t="shared" si="0"/>
        <v>0.9295548126330232</v>
      </c>
      <c r="M31" s="34">
        <f t="shared" si="1"/>
        <v>0.1</v>
      </c>
      <c r="N31" s="11">
        <f t="shared" si="2"/>
        <v>14</v>
      </c>
    </row>
    <row r="32" spans="2:14" x14ac:dyDescent="0.5">
      <c r="B32" s="36" t="s">
        <v>81</v>
      </c>
      <c r="C32" s="35" t="s">
        <v>66</v>
      </c>
      <c r="D32" s="35">
        <v>4419.1284818909598</v>
      </c>
      <c r="E32" s="35">
        <v>6.0207214355468697</v>
      </c>
      <c r="F32" s="35">
        <v>1.22495673931062</v>
      </c>
      <c r="G32" s="35">
        <v>1.3624228080760001E-3</v>
      </c>
      <c r="H32" s="35" t="s">
        <v>58</v>
      </c>
      <c r="I32" s="35">
        <v>106.842567443848</v>
      </c>
      <c r="J32" s="34">
        <f t="shared" si="3"/>
        <v>0.6</v>
      </c>
      <c r="K32" s="34">
        <f t="shared" si="4"/>
        <v>31</v>
      </c>
      <c r="L32" s="34">
        <f t="shared" si="0"/>
        <v>2.0458928156902592</v>
      </c>
      <c r="M32" s="34">
        <f t="shared" si="1"/>
        <v>0.1</v>
      </c>
      <c r="N32" s="11">
        <f t="shared" si="2"/>
        <v>31</v>
      </c>
    </row>
    <row r="33" spans="2:14" x14ac:dyDescent="0.5">
      <c r="B33" s="36" t="s">
        <v>81</v>
      </c>
      <c r="C33" s="35" t="s">
        <v>67</v>
      </c>
      <c r="D33" s="35">
        <v>9750.4755283144204</v>
      </c>
      <c r="E33" s="35">
        <v>13.3757553100585</v>
      </c>
      <c r="F33" s="35">
        <v>1.2673326759994901</v>
      </c>
      <c r="G33" s="35">
        <v>1.371805433614E-3</v>
      </c>
      <c r="H33" s="35" t="s">
        <v>58</v>
      </c>
      <c r="I33" s="35">
        <v>82.232498168945298</v>
      </c>
      <c r="J33" s="34">
        <f t="shared" si="3"/>
        <v>0.6</v>
      </c>
      <c r="K33" s="34">
        <f t="shared" si="4"/>
        <v>68</v>
      </c>
      <c r="L33" s="34">
        <f t="shared" si="0"/>
        <v>4.5141090408863063</v>
      </c>
      <c r="M33" s="34">
        <f t="shared" si="1"/>
        <v>0.1</v>
      </c>
      <c r="N33" s="11">
        <f t="shared" si="2"/>
        <v>68</v>
      </c>
    </row>
    <row r="34" spans="2:14" x14ac:dyDescent="0.5">
      <c r="B34" s="36" t="s">
        <v>81</v>
      </c>
      <c r="C34" s="35" t="s">
        <v>68</v>
      </c>
      <c r="D34" s="35">
        <v>1948.7592425986099</v>
      </c>
      <c r="E34" s="35">
        <v>5.8508758544921804</v>
      </c>
      <c r="F34" s="35">
        <v>1.46329755411188</v>
      </c>
      <c r="G34" s="35">
        <v>3.0023595150159999E-3</v>
      </c>
      <c r="H34" s="35" t="s">
        <v>58</v>
      </c>
      <c r="I34" s="35">
        <v>78.631752014160199</v>
      </c>
      <c r="J34" s="34">
        <f t="shared" si="3"/>
        <v>0.6</v>
      </c>
      <c r="K34" s="34">
        <f t="shared" si="4"/>
        <v>14</v>
      </c>
      <c r="L34" s="34">
        <f t="shared" si="0"/>
        <v>0.90220335305491206</v>
      </c>
      <c r="M34" s="34">
        <f t="shared" si="1"/>
        <v>0.1</v>
      </c>
      <c r="N34" s="11">
        <f t="shared" si="2"/>
        <v>14</v>
      </c>
    </row>
    <row r="35" spans="2:14" x14ac:dyDescent="0.5">
      <c r="B35" s="36" t="s">
        <v>81</v>
      </c>
      <c r="C35" s="35" t="s">
        <v>69</v>
      </c>
      <c r="D35" s="35">
        <v>6791.2766201920904</v>
      </c>
      <c r="E35" s="35">
        <v>18.292015075683501</v>
      </c>
      <c r="F35" s="35">
        <v>1.1682867633829599</v>
      </c>
      <c r="G35" s="35">
        <v>2.6934575189140001E-3</v>
      </c>
      <c r="H35" s="35" t="s">
        <v>58</v>
      </c>
      <c r="I35" s="35">
        <v>87.634117126464801</v>
      </c>
      <c r="J35" s="34">
        <f t="shared" si="3"/>
        <v>0.6</v>
      </c>
      <c r="K35" s="34">
        <f t="shared" si="4"/>
        <v>47</v>
      </c>
      <c r="L35" s="34">
        <f t="shared" si="0"/>
        <v>3.1441095463852271</v>
      </c>
      <c r="M35" s="34">
        <f t="shared" si="1"/>
        <v>0.1</v>
      </c>
      <c r="N35" s="11">
        <f t="shared" si="2"/>
        <v>47</v>
      </c>
    </row>
    <row r="36" spans="2:14" x14ac:dyDescent="0.5">
      <c r="B36" s="36" t="s">
        <v>81</v>
      </c>
      <c r="C36" s="35" t="s">
        <v>70</v>
      </c>
      <c r="D36" s="35">
        <v>4676.4115953257196</v>
      </c>
      <c r="E36" s="35">
        <v>36.208351135253899</v>
      </c>
      <c r="F36" s="35">
        <v>1.2637308364015001</v>
      </c>
      <c r="G36" s="35">
        <v>7.7427639541920003E-3</v>
      </c>
      <c r="H36" s="35" t="s">
        <v>58</v>
      </c>
      <c r="I36" s="35">
        <v>109.323036193848</v>
      </c>
      <c r="J36" s="34">
        <f t="shared" si="3"/>
        <v>0.6</v>
      </c>
      <c r="K36" s="34">
        <f t="shared" si="4"/>
        <v>32</v>
      </c>
      <c r="L36" s="34">
        <f t="shared" si="0"/>
        <v>2.1650053682063519</v>
      </c>
      <c r="M36" s="34">
        <f t="shared" si="1"/>
        <v>0.1</v>
      </c>
      <c r="N36" s="11">
        <f t="shared" si="2"/>
        <v>32</v>
      </c>
    </row>
    <row r="37" spans="2:14" x14ac:dyDescent="0.5">
      <c r="B37" s="36" t="s">
        <v>81</v>
      </c>
      <c r="C37" s="35" t="s">
        <v>71</v>
      </c>
      <c r="D37" s="35">
        <v>2346.7349482674599</v>
      </c>
      <c r="E37" s="35">
        <v>15.4802093505859</v>
      </c>
      <c r="F37" s="35">
        <v>1.2662899618863199</v>
      </c>
      <c r="G37" s="35">
        <v>6.5964881811700002E-3</v>
      </c>
      <c r="H37" s="35" t="s">
        <v>58</v>
      </c>
      <c r="I37" s="35">
        <v>136.53871154785199</v>
      </c>
      <c r="J37" s="34">
        <f t="shared" si="3"/>
        <v>0.6</v>
      </c>
      <c r="K37" s="34">
        <f t="shared" si="4"/>
        <v>16</v>
      </c>
      <c r="L37" s="34">
        <f t="shared" si="0"/>
        <v>1.0864513649386389</v>
      </c>
      <c r="M37" s="34">
        <f t="shared" si="1"/>
        <v>0.1</v>
      </c>
      <c r="N37" s="11">
        <f t="shared" si="2"/>
        <v>16</v>
      </c>
    </row>
    <row r="38" spans="2:14" x14ac:dyDescent="0.5">
      <c r="B38" s="36" t="s">
        <v>81</v>
      </c>
      <c r="C38" s="35" t="s">
        <v>72</v>
      </c>
      <c r="D38" s="35">
        <v>4554.9148638168299</v>
      </c>
      <c r="E38" s="35">
        <v>29.3015747070312</v>
      </c>
      <c r="F38" s="35">
        <v>1.5905670202208699</v>
      </c>
      <c r="G38" s="35">
        <v>6.4329577133910004E-3</v>
      </c>
      <c r="H38" s="35" t="s">
        <v>58</v>
      </c>
      <c r="I38" s="35">
        <v>109.91001129150401</v>
      </c>
      <c r="J38" s="34">
        <f t="shared" si="3"/>
        <v>0.6</v>
      </c>
      <c r="K38" s="34">
        <f t="shared" si="4"/>
        <v>32</v>
      </c>
      <c r="L38" s="34">
        <f t="shared" si="0"/>
        <v>2.1087568813966806</v>
      </c>
      <c r="M38" s="34">
        <f t="shared" si="1"/>
        <v>0.1</v>
      </c>
      <c r="N38" s="11">
        <f t="shared" si="2"/>
        <v>32</v>
      </c>
    </row>
    <row r="39" spans="2:14" x14ac:dyDescent="0.5">
      <c r="B39" s="36" t="s">
        <v>81</v>
      </c>
      <c r="C39" s="35" t="s">
        <v>73</v>
      </c>
      <c r="D39" s="35">
        <v>8468.1780681584405</v>
      </c>
      <c r="E39" s="35">
        <v>7.6516380310058603</v>
      </c>
      <c r="F39" s="35">
        <v>1.21591229968776</v>
      </c>
      <c r="G39" s="35">
        <v>9.0357547626199999E-4</v>
      </c>
      <c r="H39" s="35" t="s">
        <v>58</v>
      </c>
      <c r="I39" s="35">
        <v>62.740562438964801</v>
      </c>
      <c r="J39" s="34">
        <f t="shared" si="3"/>
        <v>0.6</v>
      </c>
      <c r="K39" s="34">
        <f t="shared" si="4"/>
        <v>59</v>
      </c>
      <c r="L39" s="34">
        <f t="shared" si="0"/>
        <v>3.9204528093326112</v>
      </c>
      <c r="M39" s="34">
        <f t="shared" si="1"/>
        <v>0.1</v>
      </c>
      <c r="N39" s="11">
        <f t="shared" si="2"/>
        <v>59</v>
      </c>
    </row>
    <row r="40" spans="2:14" x14ac:dyDescent="0.5">
      <c r="B40" s="36" t="s">
        <v>81</v>
      </c>
      <c r="C40" s="35" t="s">
        <v>74</v>
      </c>
      <c r="D40" s="35">
        <v>5567.3194321154397</v>
      </c>
      <c r="E40" s="35">
        <v>8.62030029296875</v>
      </c>
      <c r="F40" s="35">
        <v>1.2950148610724099</v>
      </c>
      <c r="G40" s="35">
        <v>1.5483753713219999E-3</v>
      </c>
      <c r="H40" s="35" t="s">
        <v>58</v>
      </c>
      <c r="I40" s="35">
        <v>69.165557861328097</v>
      </c>
      <c r="J40" s="34">
        <f t="shared" si="3"/>
        <v>0.6</v>
      </c>
      <c r="K40" s="34">
        <f t="shared" si="4"/>
        <v>39</v>
      </c>
      <c r="L40" s="34">
        <f t="shared" si="0"/>
        <v>2.5774627000534442</v>
      </c>
      <c r="M40" s="34">
        <f t="shared" si="1"/>
        <v>0.1</v>
      </c>
      <c r="N40" s="11">
        <f t="shared" si="2"/>
        <v>39</v>
      </c>
    </row>
    <row r="41" spans="2:14" x14ac:dyDescent="0.5">
      <c r="B41" s="36" t="s">
        <v>81</v>
      </c>
      <c r="C41" s="35" t="s">
        <v>75</v>
      </c>
      <c r="D41" s="35">
        <v>1544.7590937973901</v>
      </c>
      <c r="E41" s="35">
        <v>2.1586227416992099</v>
      </c>
      <c r="F41" s="35">
        <v>1.2910739843402099</v>
      </c>
      <c r="G41" s="35">
        <v>1.3973847121969999E-3</v>
      </c>
      <c r="H41" s="35" t="s">
        <v>58</v>
      </c>
      <c r="I41" s="35">
        <v>73.386154174804702</v>
      </c>
      <c r="J41" s="34">
        <f t="shared" si="3"/>
        <v>0.6</v>
      </c>
      <c r="K41" s="34">
        <f t="shared" si="4"/>
        <v>11</v>
      </c>
      <c r="L41" s="34">
        <f t="shared" si="0"/>
        <v>0.71516624712842136</v>
      </c>
      <c r="M41" s="34">
        <f t="shared" si="1"/>
        <v>0.1</v>
      </c>
      <c r="N41" s="11">
        <f t="shared" si="2"/>
        <v>11</v>
      </c>
    </row>
    <row r="42" spans="2:14" x14ac:dyDescent="0.5">
      <c r="B42" s="36" t="s">
        <v>81</v>
      </c>
      <c r="C42" s="35" t="s">
        <v>76</v>
      </c>
      <c r="D42" s="35">
        <v>3047.0183307345601</v>
      </c>
      <c r="E42" s="35">
        <v>1.8390045166015601</v>
      </c>
      <c r="F42" s="35">
        <v>1.4072559008632799</v>
      </c>
      <c r="G42" s="35">
        <v>6.0354232137399999E-4</v>
      </c>
      <c r="H42" s="35" t="s">
        <v>58</v>
      </c>
      <c r="I42" s="35">
        <v>78.397857666015597</v>
      </c>
      <c r="J42" s="34">
        <f t="shared" si="3"/>
        <v>0.6</v>
      </c>
      <c r="K42" s="34">
        <f t="shared" si="4"/>
        <v>21</v>
      </c>
      <c r="L42" s="34">
        <f t="shared" si="0"/>
        <v>1.4106566345993334</v>
      </c>
      <c r="M42" s="34">
        <f t="shared" si="1"/>
        <v>0.1</v>
      </c>
      <c r="N42" s="11">
        <f t="shared" si="2"/>
        <v>21</v>
      </c>
    </row>
    <row r="43" spans="2:14" x14ac:dyDescent="0.5">
      <c r="B43" s="37"/>
      <c r="C43" s="38"/>
      <c r="D43" s="38"/>
      <c r="E43" s="38"/>
      <c r="F43" s="38"/>
      <c r="G43" s="38"/>
      <c r="H43" s="38"/>
      <c r="I43" s="38"/>
      <c r="J43" s="43"/>
      <c r="K43" s="43"/>
      <c r="L43" s="43"/>
      <c r="M43" s="43"/>
      <c r="N43" s="12"/>
    </row>
  </sheetData>
  <mergeCells count="2">
    <mergeCell ref="B7:H8"/>
    <mergeCell ref="B2:H2"/>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1961B-321B-4490-9B9C-D513C3F35BFB}">
  <dimension ref="B1:N43"/>
  <sheetViews>
    <sheetView showGridLines="0" tabSelected="1" topLeftCell="B1" zoomScale="115" zoomScaleNormal="115" workbookViewId="0">
      <selection activeCell="D5" sqref="D5"/>
    </sheetView>
  </sheetViews>
  <sheetFormatPr defaultColWidth="11.41015625" defaultRowHeight="15" x14ac:dyDescent="0.5"/>
  <cols>
    <col min="1" max="1" width="2.703125" style="9" customWidth="1"/>
    <col min="2" max="2" width="15.64453125" style="10" customWidth="1"/>
    <col min="3" max="3" width="18.703125" style="10" customWidth="1"/>
    <col min="4" max="4" width="17.05859375" style="10" customWidth="1"/>
    <col min="5" max="5" width="10.64453125" style="10" customWidth="1"/>
    <col min="6" max="7" width="10.64453125" style="9" customWidth="1"/>
    <col min="8" max="8" width="12.64453125" style="9" customWidth="1"/>
    <col min="9" max="14" width="10.64453125" style="9" customWidth="1"/>
    <col min="15" max="16384" width="11.41015625" style="9"/>
  </cols>
  <sheetData>
    <row r="1" spans="2:8" s="8" customFormat="1" x14ac:dyDescent="0.5">
      <c r="B1" s="6"/>
      <c r="C1" s="6"/>
      <c r="D1" s="7"/>
      <c r="E1" s="7"/>
    </row>
    <row r="2" spans="2:8" ht="15.75" customHeight="1" x14ac:dyDescent="0.5">
      <c r="B2" s="46" t="s">
        <v>90</v>
      </c>
      <c r="C2" s="46"/>
      <c r="D2" s="46"/>
      <c r="E2" s="46"/>
      <c r="F2" s="46"/>
      <c r="G2" s="46"/>
      <c r="H2" s="46"/>
    </row>
    <row r="3" spans="2:8" ht="30" x14ac:dyDescent="0.5">
      <c r="B3" s="16" t="s">
        <v>7</v>
      </c>
      <c r="C3" s="15" t="s">
        <v>6</v>
      </c>
      <c r="D3" s="15" t="s">
        <v>85</v>
      </c>
      <c r="E3" s="15" t="s">
        <v>86</v>
      </c>
      <c r="F3" s="15" t="s">
        <v>45</v>
      </c>
      <c r="G3" s="15" t="s">
        <v>15</v>
      </c>
      <c r="H3" s="17" t="s">
        <v>16</v>
      </c>
    </row>
    <row r="4" spans="2:8" x14ac:dyDescent="0.5">
      <c r="B4" s="18">
        <v>1</v>
      </c>
      <c r="C4" s="19" t="s">
        <v>5</v>
      </c>
      <c r="D4" s="19" t="s">
        <v>87</v>
      </c>
      <c r="E4" s="44">
        <v>1E-3</v>
      </c>
      <c r="F4" s="44">
        <v>0.25</v>
      </c>
      <c r="G4" s="44">
        <v>0</v>
      </c>
      <c r="H4" s="20">
        <v>2</v>
      </c>
    </row>
    <row r="5" spans="2:8" x14ac:dyDescent="0.5">
      <c r="B5" s="18">
        <v>2</v>
      </c>
      <c r="C5" s="19" t="s">
        <v>3</v>
      </c>
      <c r="D5" s="19" t="s">
        <v>88</v>
      </c>
      <c r="E5" s="44">
        <v>0.02</v>
      </c>
      <c r="F5" s="44">
        <v>0.6</v>
      </c>
      <c r="G5" s="44">
        <v>0.1</v>
      </c>
      <c r="H5" s="20" t="s">
        <v>17</v>
      </c>
    </row>
    <row r="6" spans="2:8" x14ac:dyDescent="0.5">
      <c r="B6" s="21">
        <v>3</v>
      </c>
      <c r="C6" s="22" t="s">
        <v>1</v>
      </c>
      <c r="D6" s="22" t="s">
        <v>89</v>
      </c>
      <c r="E6" s="45">
        <v>0.02</v>
      </c>
      <c r="F6" s="45">
        <v>2</v>
      </c>
      <c r="G6" s="45">
        <v>0.2</v>
      </c>
      <c r="H6" s="23" t="s">
        <v>18</v>
      </c>
    </row>
    <row r="7" spans="2:8" ht="15.75" customHeight="1" x14ac:dyDescent="0.5">
      <c r="B7" s="46" t="s">
        <v>14</v>
      </c>
      <c r="C7" s="46"/>
      <c r="D7" s="46"/>
      <c r="E7" s="46"/>
      <c r="F7" s="46"/>
      <c r="G7" s="46"/>
      <c r="H7" s="46"/>
    </row>
    <row r="8" spans="2:8" x14ac:dyDescent="0.5">
      <c r="B8" s="46"/>
      <c r="C8" s="46"/>
      <c r="D8" s="46"/>
      <c r="E8" s="46"/>
      <c r="F8" s="46"/>
      <c r="G8" s="46"/>
      <c r="H8" s="46"/>
    </row>
    <row r="9" spans="2:8" x14ac:dyDescent="0.5">
      <c r="B9" s="13"/>
      <c r="C9" s="13"/>
      <c r="D9" s="13"/>
      <c r="E9" s="13"/>
      <c r="F9" s="13"/>
      <c r="G9" s="13"/>
      <c r="H9" s="13"/>
    </row>
    <row r="10" spans="2:8" x14ac:dyDescent="0.5">
      <c r="B10" s="9" t="s">
        <v>19</v>
      </c>
      <c r="C10" s="13"/>
      <c r="D10" s="13"/>
      <c r="E10" s="13"/>
      <c r="F10" s="13"/>
      <c r="G10" s="13"/>
      <c r="H10" s="13"/>
    </row>
    <row r="11" spans="2:8" x14ac:dyDescent="0.5">
      <c r="B11" s="28" t="s">
        <v>24</v>
      </c>
      <c r="C11" s="17" t="s">
        <v>25</v>
      </c>
      <c r="D11" s="13"/>
      <c r="E11" s="13"/>
      <c r="F11" s="13"/>
      <c r="G11" s="13"/>
      <c r="H11" s="13"/>
    </row>
    <row r="12" spans="2:8" x14ac:dyDescent="0.5">
      <c r="B12" s="24" t="s">
        <v>27</v>
      </c>
      <c r="C12" s="25">
        <v>1</v>
      </c>
      <c r="D12" s="13"/>
      <c r="E12" s="13"/>
      <c r="F12" s="13"/>
      <c r="G12" s="13"/>
      <c r="H12" s="13"/>
    </row>
    <row r="13" spans="2:8" x14ac:dyDescent="0.5">
      <c r="B13" s="24" t="s">
        <v>28</v>
      </c>
      <c r="C13" s="33">
        <f>C12*60</f>
        <v>60</v>
      </c>
      <c r="D13" s="13"/>
      <c r="E13" s="13"/>
      <c r="F13" s="13"/>
      <c r="G13" s="13"/>
      <c r="H13" s="13"/>
    </row>
    <row r="14" spans="2:8" x14ac:dyDescent="0.5">
      <c r="B14" s="26" t="s">
        <v>20</v>
      </c>
      <c r="C14" s="25">
        <v>9750.4755283144204</v>
      </c>
      <c r="D14" s="9"/>
      <c r="E14" s="13"/>
      <c r="F14" s="13"/>
      <c r="G14" s="13"/>
      <c r="H14" s="13"/>
    </row>
    <row r="15" spans="2:8" x14ac:dyDescent="0.5">
      <c r="B15" s="26" t="s">
        <v>84</v>
      </c>
      <c r="C15" s="25">
        <v>3.7614733529000002E-5</v>
      </c>
      <c r="D15" s="13"/>
      <c r="E15" s="13"/>
      <c r="F15" s="13"/>
      <c r="G15" s="13"/>
      <c r="H15" s="13"/>
    </row>
    <row r="16" spans="2:8" x14ac:dyDescent="0.5">
      <c r="B16" s="26" t="s">
        <v>45</v>
      </c>
      <c r="C16" s="20">
        <f>IF(C15&lt;$E$4,$F$4,IF(C15&lt;$E$5,$F$5,$F$6))</f>
        <v>0.25</v>
      </c>
      <c r="D16" s="13"/>
      <c r="E16" s="13"/>
      <c r="F16" s="13"/>
      <c r="G16" s="13"/>
      <c r="H16" s="13"/>
    </row>
    <row r="17" spans="2:14" x14ac:dyDescent="0.5">
      <c r="B17" s="24" t="s">
        <v>46</v>
      </c>
      <c r="C17" s="11">
        <f>IF(C15&lt;$E$4,(C14/$F$4)/3600,IF(C15&lt;$E$5,(C14/$F$5)/3600,(C14/$F$6)/3600))</f>
        <v>10.833861698127134</v>
      </c>
      <c r="D17" s="14" t="s">
        <v>48</v>
      </c>
    </row>
    <row r="18" spans="2:14" x14ac:dyDescent="0.5">
      <c r="B18" s="24" t="s">
        <v>22</v>
      </c>
      <c r="C18" s="11">
        <f>IF(C15&lt;$E$4,$G$4,IF(C15&lt;$E$5,$G$5,$G$6))</f>
        <v>0</v>
      </c>
      <c r="D18" s="14" t="s">
        <v>48</v>
      </c>
    </row>
    <row r="19" spans="2:14" x14ac:dyDescent="0.5">
      <c r="B19" s="29" t="s">
        <v>23</v>
      </c>
      <c r="C19" s="30">
        <f>ROUND(IF(C15&lt;$E$4,$H$4,IF(C15&lt;$E$5,C14/(4*$F$5*C13),C14/($F$6*C13))),0)</f>
        <v>2</v>
      </c>
      <c r="D19" s="14"/>
    </row>
    <row r="20" spans="2:14" x14ac:dyDescent="0.5">
      <c r="B20" s="27" t="s">
        <v>43</v>
      </c>
      <c r="C20" s="12">
        <f>IF(C19&gt;99,99,IF(C19=0,1,C19))</f>
        <v>2</v>
      </c>
      <c r="D20" s="14" t="s">
        <v>48</v>
      </c>
    </row>
    <row r="22" spans="2:14" x14ac:dyDescent="0.5">
      <c r="B22" s="9" t="s">
        <v>83</v>
      </c>
    </row>
    <row r="23" spans="2:14" x14ac:dyDescent="0.5">
      <c r="B23" s="39" t="s">
        <v>82</v>
      </c>
      <c r="C23" s="40" t="s">
        <v>51</v>
      </c>
      <c r="D23" s="40" t="s">
        <v>52</v>
      </c>
      <c r="E23" s="40" t="s">
        <v>53</v>
      </c>
      <c r="F23" s="40" t="s">
        <v>54</v>
      </c>
      <c r="G23" s="40" t="s">
        <v>55</v>
      </c>
      <c r="H23" s="40" t="s">
        <v>56</v>
      </c>
      <c r="I23" s="40" t="s">
        <v>78</v>
      </c>
      <c r="J23" s="40" t="s">
        <v>77</v>
      </c>
      <c r="K23" s="40" t="s">
        <v>23</v>
      </c>
      <c r="L23" s="40" t="s">
        <v>79</v>
      </c>
      <c r="M23" s="40" t="s">
        <v>22</v>
      </c>
      <c r="N23" s="41" t="s">
        <v>80</v>
      </c>
    </row>
    <row r="24" spans="2:14" x14ac:dyDescent="0.5">
      <c r="B24" s="36" t="s">
        <v>81</v>
      </c>
      <c r="C24" s="35" t="s">
        <v>57</v>
      </c>
      <c r="D24" s="35">
        <v>1052.6874419186299</v>
      </c>
      <c r="E24" s="35">
        <v>3.9596557617188E-2</v>
      </c>
      <c r="F24" s="35">
        <v>1.09776265346198</v>
      </c>
      <c r="G24" s="42">
        <v>3.7614733529000002E-5</v>
      </c>
      <c r="H24" s="35" t="s">
        <v>58</v>
      </c>
      <c r="I24" s="35">
        <v>82.146202087402301</v>
      </c>
      <c r="J24" s="34">
        <f>IF(G24&lt;$E$4,$F$4,IF(I24&lt;$E$5,$F$5,$F$6))</f>
        <v>0.25</v>
      </c>
      <c r="K24" s="34">
        <f>ROUND(IF(G24&lt;$E$4,$H$4,IF(G24&lt;$E$5,D24/(4*$F$5*$C$13),D24/($F$6*$C$13))),0)</f>
        <v>2</v>
      </c>
      <c r="L24" s="34">
        <f>IF(G24&lt;$E$4,(D24/$F$4)/3600,IF(G24&lt;$E$5,(D24/$F$5)/3600,(D24/$F$6)/3600))</f>
        <v>1.1696527132429222</v>
      </c>
      <c r="M24" s="34">
        <f>IF(G24&lt;$E$4,$G$4,IF(G24&lt;$E$5,$G$5,$G$6))</f>
        <v>0</v>
      </c>
      <c r="N24" s="11">
        <f>IF(K24&gt;99,99,IF(K24=0,1,K24))</f>
        <v>2</v>
      </c>
    </row>
    <row r="25" spans="2:14" x14ac:dyDescent="0.5">
      <c r="B25" s="36" t="s">
        <v>81</v>
      </c>
      <c r="C25" s="35" t="s">
        <v>59</v>
      </c>
      <c r="D25" s="35">
        <v>2214.3688792489802</v>
      </c>
      <c r="E25" s="35">
        <v>5.0150680541992196</v>
      </c>
      <c r="F25" s="35">
        <v>1.15260976611237</v>
      </c>
      <c r="G25" s="35">
        <v>2.2647843822209998E-3</v>
      </c>
      <c r="H25" s="35" t="s">
        <v>58</v>
      </c>
      <c r="I25" s="35">
        <v>83.661056518554702</v>
      </c>
      <c r="J25" s="34">
        <f t="shared" ref="J25:J42" si="0">IF(G25&lt;$E$4,$F$4,IF(I25&lt;$E$5,$F$5,$F$6))</f>
        <v>2</v>
      </c>
      <c r="K25" s="34">
        <f t="shared" ref="K25:K42" si="1">ROUND(IF(G25&lt;$E$4,$H$4,IF(G25&lt;$E$5,D25/(4*$F$5*$C$13),D25/($F$6*$C$13))),0)</f>
        <v>15</v>
      </c>
      <c r="L25" s="34">
        <f t="shared" ref="L25:L42" si="2">IF(G25&lt;$E$4,(D25/$F$4)/3600,IF(G25&lt;$E$5,(D25/$F$5)/3600,(D25/$F$6)/3600))</f>
        <v>1.0251707774300836</v>
      </c>
      <c r="M25" s="34">
        <f>IF(G25&lt;$E$4,$G$4,IF(G25&lt;$E$5,$G$5,$G$6))</f>
        <v>0.1</v>
      </c>
      <c r="N25" s="11">
        <f>IF(K25&gt;99,99,IF(K25=0,1,K25))</f>
        <v>15</v>
      </c>
    </row>
    <row r="26" spans="2:14" x14ac:dyDescent="0.5">
      <c r="B26" s="36" t="s">
        <v>81</v>
      </c>
      <c r="C26" s="35" t="s">
        <v>60</v>
      </c>
      <c r="D26" s="35">
        <v>812.52503404213098</v>
      </c>
      <c r="E26" s="35">
        <v>4.2198181152343697</v>
      </c>
      <c r="F26" s="35">
        <v>1.09971027809434</v>
      </c>
      <c r="G26" s="35">
        <v>5.1934622792380002E-3</v>
      </c>
      <c r="H26" s="35" t="s">
        <v>58</v>
      </c>
      <c r="I26" s="35">
        <v>84.264968872070298</v>
      </c>
      <c r="J26" s="34">
        <f t="shared" si="0"/>
        <v>2</v>
      </c>
      <c r="K26" s="34">
        <f t="shared" si="1"/>
        <v>6</v>
      </c>
      <c r="L26" s="34">
        <f t="shared" si="2"/>
        <v>0.37616899724172737</v>
      </c>
      <c r="M26" s="34">
        <f>IF(G26&lt;$E$4,$G$4,IF(G26&lt;$E$5,$G$5,$G$6))</f>
        <v>0.1</v>
      </c>
      <c r="N26" s="11">
        <f>IF(K26&gt;99,99,IF(K26=0,1,K26))</f>
        <v>6</v>
      </c>
    </row>
    <row r="27" spans="2:14" x14ac:dyDescent="0.5">
      <c r="B27" s="36" t="s">
        <v>81</v>
      </c>
      <c r="C27" s="35" t="s">
        <v>61</v>
      </c>
      <c r="D27" s="35">
        <v>306.792701376602</v>
      </c>
      <c r="E27" s="35">
        <v>1.7322082519531199</v>
      </c>
      <c r="F27" s="35">
        <v>1</v>
      </c>
      <c r="G27" s="35">
        <v>5.6461846849050002E-3</v>
      </c>
      <c r="H27" s="35" t="s">
        <v>58</v>
      </c>
      <c r="I27" s="35">
        <v>81.087654113769503</v>
      </c>
      <c r="J27" s="34">
        <f t="shared" si="0"/>
        <v>2</v>
      </c>
      <c r="K27" s="34">
        <f t="shared" si="1"/>
        <v>2</v>
      </c>
      <c r="L27" s="34">
        <f t="shared" si="2"/>
        <v>0.14203365804472315</v>
      </c>
      <c r="M27" s="34">
        <f>IF(G27&lt;$E$4,$G$4,IF(G27&lt;$E$5,$G$5,$G$6))</f>
        <v>0.1</v>
      </c>
      <c r="N27" s="11">
        <f>IF(K27&gt;99,99,IF(K27=0,1,K27))</f>
        <v>2</v>
      </c>
    </row>
    <row r="28" spans="2:14" x14ac:dyDescent="0.5">
      <c r="B28" s="36" t="s">
        <v>81</v>
      </c>
      <c r="C28" s="35" t="s">
        <v>62</v>
      </c>
      <c r="D28" s="35">
        <v>3138.1446037980099</v>
      </c>
      <c r="E28" s="35">
        <v>10.493408203125</v>
      </c>
      <c r="F28" s="35">
        <v>1.1900200162855299</v>
      </c>
      <c r="G28" s="35">
        <v>3.343825581022E-3</v>
      </c>
      <c r="H28" s="35" t="s">
        <v>58</v>
      </c>
      <c r="I28" s="35">
        <v>83.017272949218807</v>
      </c>
      <c r="J28" s="34">
        <f t="shared" si="0"/>
        <v>2</v>
      </c>
      <c r="K28" s="34">
        <f t="shared" si="1"/>
        <v>22</v>
      </c>
      <c r="L28" s="34">
        <f t="shared" si="2"/>
        <v>1.4528447239805602</v>
      </c>
      <c r="M28" s="34">
        <f>IF(G28&lt;$E$4,$G$4,IF(G28&lt;$E$5,$G$5,$G$6))</f>
        <v>0.1</v>
      </c>
      <c r="N28" s="11">
        <f t="shared" ref="N25:N42" si="3">IF(K28&gt;99,99,IF(K28=0,1,K28))</f>
        <v>22</v>
      </c>
    </row>
    <row r="29" spans="2:14" x14ac:dyDescent="0.5">
      <c r="B29" s="36" t="s">
        <v>81</v>
      </c>
      <c r="C29" s="35" t="s">
        <v>63</v>
      </c>
      <c r="D29" s="35">
        <v>1504.4308351914499</v>
      </c>
      <c r="E29" s="35">
        <v>1.16963958740234</v>
      </c>
      <c r="F29" s="35">
        <v>1.2120932311380499</v>
      </c>
      <c r="G29" s="35">
        <v>7.7746318411100004E-4</v>
      </c>
      <c r="H29" s="35" t="s">
        <v>58</v>
      </c>
      <c r="I29" s="35">
        <v>90.837333679199205</v>
      </c>
      <c r="J29" s="34">
        <f t="shared" si="0"/>
        <v>0.25</v>
      </c>
      <c r="K29" s="34">
        <f t="shared" si="1"/>
        <v>2</v>
      </c>
      <c r="L29" s="34">
        <f t="shared" si="2"/>
        <v>1.6715898168793888</v>
      </c>
      <c r="M29" s="34">
        <f t="shared" ref="M25:M42" si="4">IF(G29&lt;$E$4,$G$4,IF(G29&lt;$E$5,$G$5,$G$6))</f>
        <v>0</v>
      </c>
      <c r="N29" s="11">
        <f t="shared" si="3"/>
        <v>2</v>
      </c>
    </row>
    <row r="30" spans="2:14" x14ac:dyDescent="0.5">
      <c r="B30" s="36" t="s">
        <v>81</v>
      </c>
      <c r="C30" s="35" t="s">
        <v>64</v>
      </c>
      <c r="D30" s="35">
        <v>480.31346950722002</v>
      </c>
      <c r="E30" s="35">
        <v>7.86087799072265</v>
      </c>
      <c r="F30" s="35">
        <v>1.16696962122673</v>
      </c>
      <c r="G30" s="35">
        <v>1.6366141051151001E-2</v>
      </c>
      <c r="H30" s="35" t="s">
        <v>58</v>
      </c>
      <c r="I30" s="35">
        <v>98.604133605957003</v>
      </c>
      <c r="J30" s="34">
        <f t="shared" si="0"/>
        <v>2</v>
      </c>
      <c r="K30" s="34">
        <f t="shared" si="1"/>
        <v>3</v>
      </c>
      <c r="L30" s="34">
        <f t="shared" si="2"/>
        <v>0.22236734699408336</v>
      </c>
      <c r="M30" s="34">
        <f t="shared" si="4"/>
        <v>0.1</v>
      </c>
      <c r="N30" s="11">
        <f t="shared" si="3"/>
        <v>3</v>
      </c>
    </row>
    <row r="31" spans="2:14" x14ac:dyDescent="0.5">
      <c r="B31" s="36" t="s">
        <v>81</v>
      </c>
      <c r="C31" s="35" t="s">
        <v>65</v>
      </c>
      <c r="D31" s="35">
        <v>2007.8383952873301</v>
      </c>
      <c r="E31" s="35">
        <v>3.1578063964844E-2</v>
      </c>
      <c r="F31" s="35">
        <v>1.0778579614880499</v>
      </c>
      <c r="G31" s="42">
        <v>1.5727393220000002E-5</v>
      </c>
      <c r="H31" s="35" t="s">
        <v>58</v>
      </c>
      <c r="I31" s="35">
        <v>98.528877258300795</v>
      </c>
      <c r="J31" s="34">
        <f t="shared" si="0"/>
        <v>0.25</v>
      </c>
      <c r="K31" s="34">
        <f t="shared" si="1"/>
        <v>2</v>
      </c>
      <c r="L31" s="34">
        <f t="shared" si="2"/>
        <v>2.2309315503192555</v>
      </c>
      <c r="M31" s="34">
        <f t="shared" si="4"/>
        <v>0</v>
      </c>
      <c r="N31" s="11">
        <f t="shared" si="3"/>
        <v>2</v>
      </c>
    </row>
    <row r="32" spans="2:14" x14ac:dyDescent="0.5">
      <c r="B32" s="36" t="s">
        <v>81</v>
      </c>
      <c r="C32" s="35" t="s">
        <v>66</v>
      </c>
      <c r="D32" s="35">
        <v>4419.1284818909598</v>
      </c>
      <c r="E32" s="35">
        <v>6.0207214355468697</v>
      </c>
      <c r="F32" s="35">
        <v>1.22495673931062</v>
      </c>
      <c r="G32" s="35">
        <v>1.3624228080760001E-3</v>
      </c>
      <c r="H32" s="35" t="s">
        <v>58</v>
      </c>
      <c r="I32" s="35">
        <v>106.842567443848</v>
      </c>
      <c r="J32" s="34">
        <f t="shared" si="0"/>
        <v>2</v>
      </c>
      <c r="K32" s="34">
        <f t="shared" si="1"/>
        <v>31</v>
      </c>
      <c r="L32" s="34">
        <f t="shared" si="2"/>
        <v>2.0458928156902592</v>
      </c>
      <c r="M32" s="34">
        <f t="shared" si="4"/>
        <v>0.1</v>
      </c>
      <c r="N32" s="11">
        <f t="shared" si="3"/>
        <v>31</v>
      </c>
    </row>
    <row r="33" spans="2:14" x14ac:dyDescent="0.5">
      <c r="B33" s="36" t="s">
        <v>81</v>
      </c>
      <c r="C33" s="35" t="s">
        <v>67</v>
      </c>
      <c r="D33" s="35">
        <v>9750.4755283144204</v>
      </c>
      <c r="E33" s="35">
        <v>13.3757553100585</v>
      </c>
      <c r="F33" s="35">
        <v>1.2673326759994901</v>
      </c>
      <c r="G33" s="35">
        <v>1.371805433614E-3</v>
      </c>
      <c r="H33" s="35" t="s">
        <v>58</v>
      </c>
      <c r="I33" s="35">
        <v>82.232498168945298</v>
      </c>
      <c r="J33" s="34">
        <f t="shared" si="0"/>
        <v>2</v>
      </c>
      <c r="K33" s="34">
        <f t="shared" si="1"/>
        <v>68</v>
      </c>
      <c r="L33" s="34">
        <f t="shared" si="2"/>
        <v>4.5141090408863063</v>
      </c>
      <c r="M33" s="34">
        <f t="shared" si="4"/>
        <v>0.1</v>
      </c>
      <c r="N33" s="11">
        <f t="shared" si="3"/>
        <v>68</v>
      </c>
    </row>
    <row r="34" spans="2:14" x14ac:dyDescent="0.5">
      <c r="B34" s="36" t="s">
        <v>81</v>
      </c>
      <c r="C34" s="35" t="s">
        <v>68</v>
      </c>
      <c r="D34" s="35">
        <v>1948.7592425986099</v>
      </c>
      <c r="E34" s="35">
        <v>5.8508758544921804</v>
      </c>
      <c r="F34" s="35">
        <v>1.46329755411188</v>
      </c>
      <c r="G34" s="35">
        <v>3.0023595150159999E-3</v>
      </c>
      <c r="H34" s="35" t="s">
        <v>58</v>
      </c>
      <c r="I34" s="35">
        <v>78.631752014160199</v>
      </c>
      <c r="J34" s="34">
        <f t="shared" si="0"/>
        <v>2</v>
      </c>
      <c r="K34" s="34">
        <f t="shared" si="1"/>
        <v>14</v>
      </c>
      <c r="L34" s="34">
        <f t="shared" si="2"/>
        <v>0.90220335305491206</v>
      </c>
      <c r="M34" s="34">
        <f t="shared" si="4"/>
        <v>0.1</v>
      </c>
      <c r="N34" s="11">
        <f t="shared" si="3"/>
        <v>14</v>
      </c>
    </row>
    <row r="35" spans="2:14" x14ac:dyDescent="0.5">
      <c r="B35" s="36" t="s">
        <v>81</v>
      </c>
      <c r="C35" s="35" t="s">
        <v>69</v>
      </c>
      <c r="D35" s="35">
        <v>6791.2766201920904</v>
      </c>
      <c r="E35" s="35">
        <v>18.292015075683501</v>
      </c>
      <c r="F35" s="35">
        <v>1.1682867633829599</v>
      </c>
      <c r="G35" s="35">
        <v>2.6934575189140001E-3</v>
      </c>
      <c r="H35" s="35" t="s">
        <v>58</v>
      </c>
      <c r="I35" s="35">
        <v>87.634117126464801</v>
      </c>
      <c r="J35" s="34">
        <f t="shared" si="0"/>
        <v>2</v>
      </c>
      <c r="K35" s="34">
        <f t="shared" si="1"/>
        <v>47</v>
      </c>
      <c r="L35" s="34">
        <f t="shared" si="2"/>
        <v>3.1441095463852271</v>
      </c>
      <c r="M35" s="34">
        <f t="shared" si="4"/>
        <v>0.1</v>
      </c>
      <c r="N35" s="11">
        <f t="shared" si="3"/>
        <v>47</v>
      </c>
    </row>
    <row r="36" spans="2:14" x14ac:dyDescent="0.5">
      <c r="B36" s="36" t="s">
        <v>81</v>
      </c>
      <c r="C36" s="35" t="s">
        <v>70</v>
      </c>
      <c r="D36" s="35">
        <v>4676.4115953257196</v>
      </c>
      <c r="E36" s="35">
        <v>36.208351135253899</v>
      </c>
      <c r="F36" s="35">
        <v>1.2637308364015001</v>
      </c>
      <c r="G36" s="35">
        <v>7.7427639541920003E-3</v>
      </c>
      <c r="H36" s="35" t="s">
        <v>58</v>
      </c>
      <c r="I36" s="35">
        <v>109.323036193848</v>
      </c>
      <c r="J36" s="34">
        <f t="shared" si="0"/>
        <v>2</v>
      </c>
      <c r="K36" s="34">
        <f t="shared" si="1"/>
        <v>32</v>
      </c>
      <c r="L36" s="34">
        <f t="shared" si="2"/>
        <v>2.1650053682063519</v>
      </c>
      <c r="M36" s="34">
        <f t="shared" si="4"/>
        <v>0.1</v>
      </c>
      <c r="N36" s="11">
        <f t="shared" si="3"/>
        <v>32</v>
      </c>
    </row>
    <row r="37" spans="2:14" x14ac:dyDescent="0.5">
      <c r="B37" s="36" t="s">
        <v>81</v>
      </c>
      <c r="C37" s="35" t="s">
        <v>71</v>
      </c>
      <c r="D37" s="35">
        <v>2346.7349482674599</v>
      </c>
      <c r="E37" s="35">
        <v>15.4802093505859</v>
      </c>
      <c r="F37" s="35">
        <v>1.2662899618863199</v>
      </c>
      <c r="G37" s="35">
        <v>6.5964881811700002E-3</v>
      </c>
      <c r="H37" s="35" t="s">
        <v>58</v>
      </c>
      <c r="I37" s="35">
        <v>136.53871154785199</v>
      </c>
      <c r="J37" s="34">
        <f t="shared" si="0"/>
        <v>2</v>
      </c>
      <c r="K37" s="34">
        <f t="shared" si="1"/>
        <v>16</v>
      </c>
      <c r="L37" s="34">
        <f t="shared" si="2"/>
        <v>1.0864513649386389</v>
      </c>
      <c r="M37" s="34">
        <f t="shared" si="4"/>
        <v>0.1</v>
      </c>
      <c r="N37" s="11">
        <f t="shared" si="3"/>
        <v>16</v>
      </c>
    </row>
    <row r="38" spans="2:14" x14ac:dyDescent="0.5">
      <c r="B38" s="36" t="s">
        <v>81</v>
      </c>
      <c r="C38" s="35" t="s">
        <v>72</v>
      </c>
      <c r="D38" s="35">
        <v>4554.9148638168299</v>
      </c>
      <c r="E38" s="35">
        <v>29.3015747070312</v>
      </c>
      <c r="F38" s="35">
        <v>1.5905670202208699</v>
      </c>
      <c r="G38" s="35">
        <v>6.4329577133910004E-3</v>
      </c>
      <c r="H38" s="35" t="s">
        <v>58</v>
      </c>
      <c r="I38" s="35">
        <v>109.91001129150401</v>
      </c>
      <c r="J38" s="34">
        <f t="shared" si="0"/>
        <v>2</v>
      </c>
      <c r="K38" s="34">
        <f t="shared" si="1"/>
        <v>32</v>
      </c>
      <c r="L38" s="34">
        <f t="shared" si="2"/>
        <v>2.1087568813966806</v>
      </c>
      <c r="M38" s="34">
        <f t="shared" si="4"/>
        <v>0.1</v>
      </c>
      <c r="N38" s="11">
        <f t="shared" si="3"/>
        <v>32</v>
      </c>
    </row>
    <row r="39" spans="2:14" x14ac:dyDescent="0.5">
      <c r="B39" s="36" t="s">
        <v>81</v>
      </c>
      <c r="C39" s="35" t="s">
        <v>73</v>
      </c>
      <c r="D39" s="35">
        <v>8468.1780681584405</v>
      </c>
      <c r="E39" s="35">
        <v>7.6516380310058603</v>
      </c>
      <c r="F39" s="35">
        <v>1.21591229968776</v>
      </c>
      <c r="G39" s="35">
        <v>9.0357547626199999E-4</v>
      </c>
      <c r="H39" s="35" t="s">
        <v>58</v>
      </c>
      <c r="I39" s="35">
        <v>62.740562438964801</v>
      </c>
      <c r="J39" s="34">
        <f t="shared" si="0"/>
        <v>0.25</v>
      </c>
      <c r="K39" s="34">
        <f t="shared" si="1"/>
        <v>2</v>
      </c>
      <c r="L39" s="34">
        <f t="shared" si="2"/>
        <v>9.4090867423982676</v>
      </c>
      <c r="M39" s="34">
        <f t="shared" si="4"/>
        <v>0</v>
      </c>
      <c r="N39" s="11">
        <f t="shared" si="3"/>
        <v>2</v>
      </c>
    </row>
    <row r="40" spans="2:14" x14ac:dyDescent="0.5">
      <c r="B40" s="36" t="s">
        <v>81</v>
      </c>
      <c r="C40" s="35" t="s">
        <v>74</v>
      </c>
      <c r="D40" s="35">
        <v>5567.3194321154397</v>
      </c>
      <c r="E40" s="35">
        <v>8.62030029296875</v>
      </c>
      <c r="F40" s="35">
        <v>1.2950148610724099</v>
      </c>
      <c r="G40" s="35">
        <v>1.5483753713219999E-3</v>
      </c>
      <c r="H40" s="35" t="s">
        <v>58</v>
      </c>
      <c r="I40" s="35">
        <v>69.165557861328097</v>
      </c>
      <c r="J40" s="34">
        <f t="shared" si="0"/>
        <v>2</v>
      </c>
      <c r="K40" s="34">
        <f t="shared" si="1"/>
        <v>39</v>
      </c>
      <c r="L40" s="34">
        <f t="shared" si="2"/>
        <v>2.5774627000534442</v>
      </c>
      <c r="M40" s="34">
        <f t="shared" si="4"/>
        <v>0.1</v>
      </c>
      <c r="N40" s="11">
        <f t="shared" si="3"/>
        <v>39</v>
      </c>
    </row>
    <row r="41" spans="2:14" x14ac:dyDescent="0.5">
      <c r="B41" s="36" t="s">
        <v>81</v>
      </c>
      <c r="C41" s="35" t="s">
        <v>75</v>
      </c>
      <c r="D41" s="35">
        <v>1544.7590937973901</v>
      </c>
      <c r="E41" s="35">
        <v>2.1586227416992099</v>
      </c>
      <c r="F41" s="35">
        <v>1.2910739843402099</v>
      </c>
      <c r="G41" s="35">
        <v>1.3973847121969999E-3</v>
      </c>
      <c r="H41" s="35" t="s">
        <v>58</v>
      </c>
      <c r="I41" s="35">
        <v>73.386154174804702</v>
      </c>
      <c r="J41" s="34">
        <f t="shared" si="0"/>
        <v>2</v>
      </c>
      <c r="K41" s="34">
        <f t="shared" si="1"/>
        <v>11</v>
      </c>
      <c r="L41" s="34">
        <f t="shared" si="2"/>
        <v>0.71516624712842136</v>
      </c>
      <c r="M41" s="34">
        <f t="shared" si="4"/>
        <v>0.1</v>
      </c>
      <c r="N41" s="11">
        <f t="shared" si="3"/>
        <v>11</v>
      </c>
    </row>
    <row r="42" spans="2:14" x14ac:dyDescent="0.5">
      <c r="B42" s="36" t="s">
        <v>81</v>
      </c>
      <c r="C42" s="35" t="s">
        <v>76</v>
      </c>
      <c r="D42" s="35">
        <v>3047.0183307345601</v>
      </c>
      <c r="E42" s="35">
        <v>1.8390045166015601</v>
      </c>
      <c r="F42" s="35">
        <v>1.4072559008632799</v>
      </c>
      <c r="G42" s="35">
        <v>6.0354232137399999E-4</v>
      </c>
      <c r="H42" s="35" t="s">
        <v>58</v>
      </c>
      <c r="I42" s="35">
        <v>78.397857666015597</v>
      </c>
      <c r="J42" s="34">
        <f t="shared" si="0"/>
        <v>0.25</v>
      </c>
      <c r="K42" s="34">
        <f t="shared" si="1"/>
        <v>2</v>
      </c>
      <c r="L42" s="34">
        <f t="shared" si="2"/>
        <v>3.3855759230384002</v>
      </c>
      <c r="M42" s="34">
        <f t="shared" si="4"/>
        <v>0</v>
      </c>
      <c r="N42" s="11">
        <f t="shared" si="3"/>
        <v>2</v>
      </c>
    </row>
    <row r="43" spans="2:14" x14ac:dyDescent="0.5">
      <c r="B43" s="37"/>
      <c r="C43" s="38"/>
      <c r="D43" s="38"/>
      <c r="E43" s="38"/>
      <c r="F43" s="38"/>
      <c r="G43" s="38"/>
      <c r="H43" s="38"/>
      <c r="I43" s="38"/>
      <c r="J43" s="43"/>
      <c r="K43" s="43"/>
      <c r="L43" s="43"/>
      <c r="M43" s="43"/>
      <c r="N43" s="12"/>
    </row>
  </sheetData>
  <mergeCells count="2">
    <mergeCell ref="B2:H2"/>
    <mergeCell ref="B7:H8"/>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BBA55-1A16-4669-AEC1-4C38582E7DEA}">
  <dimension ref="B2:B22"/>
  <sheetViews>
    <sheetView showGridLines="0" showRowColHeaders="0" zoomScale="115" zoomScaleNormal="115" workbookViewId="0">
      <selection activeCell="B7" sqref="B7"/>
    </sheetView>
  </sheetViews>
  <sheetFormatPr defaultColWidth="11.41015625" defaultRowHeight="16.350000000000001" x14ac:dyDescent="0.5"/>
  <cols>
    <col min="1" max="1" width="2.703125" style="2" customWidth="1"/>
    <col min="2" max="2" width="63.87890625" style="2" customWidth="1"/>
    <col min="3" max="16384" width="11.41015625" style="2"/>
  </cols>
  <sheetData>
    <row r="2" spans="2:2" x14ac:dyDescent="0.5">
      <c r="B2" s="1" t="s">
        <v>9</v>
      </c>
    </row>
    <row r="3" spans="2:2" x14ac:dyDescent="0.5">
      <c r="B3" s="3" t="s">
        <v>8</v>
      </c>
    </row>
    <row r="4" spans="2:2" x14ac:dyDescent="0.5">
      <c r="B4" s="3" t="s">
        <v>10</v>
      </c>
    </row>
    <row r="5" spans="2:2" x14ac:dyDescent="0.5">
      <c r="B5" s="1"/>
    </row>
    <row r="6" spans="2:2" x14ac:dyDescent="0.5">
      <c r="B6" s="1" t="s">
        <v>11</v>
      </c>
    </row>
    <row r="7" spans="2:2" x14ac:dyDescent="0.5">
      <c r="B7" s="4" t="s">
        <v>12</v>
      </c>
    </row>
    <row r="22" spans="2:2" x14ac:dyDescent="0.5">
      <c r="B22" s="5" t="s">
        <v>13</v>
      </c>
    </row>
  </sheetData>
  <sheetProtection algorithmName="SHA-512" hashValue="bTceIAnuQBpB8+f6rzttpkszPIc8jELrlfCRKErPltUjte8lOzcd5XNQgb2o9GYWOc1rapIGzlpccuIQ5ZvneQ==" saltValue="rlLEvjSGVDIHlX8xFrO/6Q==" spinCount="100000" sheet="1" objects="1" scenarios="1" selectLockedCells="1"/>
  <hyperlinks>
    <hyperlink ref="B3" r:id="rId1" xr:uid="{F5EDC719-A5CC-4B72-A8AE-8227C012BF11}"/>
    <hyperlink ref="B4" r:id="rId2" xr:uid="{59E653BE-DEB2-4E93-86B6-BC6C3347EF02}"/>
    <hyperlink ref="B7" r:id="rId3" xr:uid="{3F29C7F4-0426-4061-94CE-75D08C89A905}"/>
  </hyperlinks>
  <pageMargins left="0.7" right="0.7" top="0.75" bottom="0.75" header="0.3" footer="0.3"/>
  <pageSetup paperSize="9" orientation="portrait" r:id="rId4"/>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Text</vt:lpstr>
      <vt:lpstr>ByElevationRange</vt:lpstr>
      <vt:lpstr>BySlopeRange</vt:lpstr>
      <vt:lpstr>{R}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WILLIAM RICARDO AGUILAR PIÑA</cp:lastModifiedBy>
  <dcterms:created xsi:type="dcterms:W3CDTF">2019-04-24T13:14:00Z</dcterms:created>
  <dcterms:modified xsi:type="dcterms:W3CDTF">2026-07-02T18:14:02Z</dcterms:modified>
</cp:coreProperties>
</file>